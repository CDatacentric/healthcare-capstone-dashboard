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LENOVO\OneDrive\EXCEL-Learn_With_George\EXCEL\"/>
    </mc:Choice>
  </mc:AlternateContent>
  <xr:revisionPtr revIDLastSave="0" documentId="13_ncr:1_{087A906F-D304-4BBF-B6CB-CD88BBA479B6}" xr6:coauthVersionLast="47" xr6:coauthVersionMax="47" xr10:uidLastSave="{00000000-0000-0000-0000-000000000000}"/>
  <bookViews>
    <workbookView xWindow="-108" yWindow="-108" windowWidth="23256" windowHeight="12456" firstSheet="3" activeTab="3" xr2:uid="{00000000-000D-0000-FFFF-FFFF00000000}"/>
  </bookViews>
  <sheets>
    <sheet name="Dashboard" sheetId="16" state="hidden" r:id="rId1"/>
    <sheet name="PIVOT TABLE" sheetId="14" state="hidden" r:id="rId2"/>
    <sheet name="KPI, CHARTS, SLICERS" sheetId="10" state="hidden" r:id="rId3"/>
    <sheet name="Cleaned Dataset" sheetId="9" r:id="rId4"/>
    <sheet name="Raw Data" sheetId="19" state="hidden" r:id="rId5"/>
    <sheet name="Analysis" sheetId="18" state="hidden" r:id="rId6"/>
    <sheet name="Lookup table" sheetId="20" state="hidden" r:id="rId7"/>
  </sheets>
  <definedNames>
    <definedName name="_xlnm._FilterDatabase" localSheetId="4" hidden="1">'Raw Data'!$A$1:$U$1</definedName>
    <definedName name="ExternalData_1" localSheetId="3" hidden="1">'Cleaned Dataset'!$A$1:$T$501</definedName>
    <definedName name="Slicer_Diagnosis">#N/A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 i="9" l="1"/>
  <c r="AD3" i="9"/>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C2" i="9"/>
  <c r="AC3" i="9"/>
  <c r="AC4" i="9"/>
  <c r="AC5" i="9"/>
  <c r="AC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D15" i="14"/>
  <c r="AB34" i="14"/>
  <c r="AB33" i="14"/>
  <c r="AB32" i="14"/>
  <c r="AB31" i="14"/>
  <c r="AB30" i="14"/>
  <c r="AB29" i="14"/>
  <c r="AB28" i="14"/>
  <c r="AB27" i="14"/>
  <c r="AB26" i="14"/>
  <c r="AB25" i="14"/>
  <c r="AE9" i="14"/>
  <c r="AE10" i="14"/>
  <c r="AE11" i="14"/>
  <c r="AE12" i="14"/>
  <c r="AE13" i="14"/>
  <c r="AE14" i="14"/>
  <c r="AE15" i="14"/>
  <c r="AE16" i="14"/>
  <c r="AE17" i="14"/>
  <c r="AE8" i="14"/>
  <c r="AD9" i="14"/>
  <c r="AD10" i="14"/>
  <c r="AD11" i="14"/>
  <c r="AD12" i="14"/>
  <c r="AD13" i="14"/>
  <c r="AD14" i="14"/>
  <c r="AD15" i="14"/>
  <c r="AD16" i="14"/>
  <c r="AD17" i="14"/>
  <c r="AD8" i="14"/>
  <c r="V34" i="14"/>
  <c r="V33" i="14"/>
  <c r="V32" i="14"/>
  <c r="V31" i="14"/>
  <c r="V30" i="14"/>
  <c r="V29" i="14"/>
  <c r="V28" i="14"/>
  <c r="V27" i="14"/>
  <c r="V26" i="14"/>
  <c r="V25" i="14"/>
  <c r="Y9" i="14"/>
  <c r="Y10" i="14"/>
  <c r="Y11" i="14"/>
  <c r="Y12" i="14"/>
  <c r="Y13" i="14"/>
  <c r="Y14" i="14"/>
  <c r="Y15" i="14"/>
  <c r="Y16" i="14"/>
  <c r="Y17" i="14"/>
  <c r="Y8" i="14"/>
  <c r="X9" i="14"/>
  <c r="X10" i="14"/>
  <c r="X11" i="14"/>
  <c r="X12" i="14"/>
  <c r="X13" i="14"/>
  <c r="X14" i="14"/>
  <c r="X15" i="14"/>
  <c r="X16" i="14"/>
  <c r="X17" i="14"/>
  <c r="X8" i="14"/>
  <c r="P34" i="14"/>
  <c r="P33" i="14"/>
  <c r="P32" i="14"/>
  <c r="P31" i="14"/>
  <c r="P30" i="14"/>
  <c r="P29" i="14"/>
  <c r="P28" i="14"/>
  <c r="P27" i="14"/>
  <c r="P26" i="14"/>
  <c r="P25" i="14"/>
  <c r="S9" i="14"/>
  <c r="S10" i="14"/>
  <c r="S11" i="14"/>
  <c r="S12" i="14"/>
  <c r="S13" i="14"/>
  <c r="S14" i="14"/>
  <c r="S15" i="14"/>
  <c r="S16" i="14"/>
  <c r="S17" i="14"/>
  <c r="S8" i="14"/>
  <c r="R9" i="14"/>
  <c r="R10" i="14"/>
  <c r="R11" i="14"/>
  <c r="R12" i="14"/>
  <c r="R13" i="14"/>
  <c r="R14" i="14"/>
  <c r="R15" i="14"/>
  <c r="R16" i="14"/>
  <c r="R17" i="14"/>
  <c r="R8" i="14"/>
  <c r="J34" i="14"/>
  <c r="J33" i="14"/>
  <c r="J32" i="14"/>
  <c r="J31" i="14"/>
  <c r="J30" i="14"/>
  <c r="J29" i="14"/>
  <c r="J28" i="14"/>
  <c r="J27" i="14"/>
  <c r="J26" i="14"/>
  <c r="J25" i="14"/>
  <c r="M9" i="14"/>
  <c r="M10" i="14"/>
  <c r="M11" i="14"/>
  <c r="M12" i="14"/>
  <c r="M13" i="14"/>
  <c r="M14" i="14"/>
  <c r="M15" i="14"/>
  <c r="M16" i="14"/>
  <c r="M17" i="14"/>
  <c r="M8" i="14"/>
  <c r="L9" i="14"/>
  <c r="L10" i="14"/>
  <c r="L11" i="14"/>
  <c r="L12" i="14"/>
  <c r="L13" i="14"/>
  <c r="L14" i="14"/>
  <c r="L15" i="14"/>
  <c r="L16" i="14"/>
  <c r="L17" i="14"/>
  <c r="L8" i="14"/>
  <c r="E5" i="14"/>
  <c r="E4" i="14"/>
  <c r="E3" i="14"/>
  <c r="E2" i="14"/>
  <c r="AB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A2" i="9"/>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Z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Y2"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X2" i="9"/>
  <c r="X3"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X171" i="9"/>
  <c r="X172" i="9"/>
  <c r="X173" i="9"/>
  <c r="X174" i="9"/>
  <c r="X175" i="9"/>
  <c r="X176" i="9"/>
  <c r="X177" i="9"/>
  <c r="X178" i="9"/>
  <c r="X179" i="9"/>
  <c r="X180" i="9"/>
  <c r="X181" i="9"/>
  <c r="X182" i="9"/>
  <c r="X183" i="9"/>
  <c r="X184" i="9"/>
  <c r="X185" i="9"/>
  <c r="X186" i="9"/>
  <c r="X187" i="9"/>
  <c r="X188" i="9"/>
  <c r="X189" i="9"/>
  <c r="X190" i="9"/>
  <c r="X191" i="9"/>
  <c r="X192" i="9"/>
  <c r="X193" i="9"/>
  <c r="X194" i="9"/>
  <c r="X195" i="9"/>
  <c r="X196" i="9"/>
  <c r="X197" i="9"/>
  <c r="X198" i="9"/>
  <c r="X199" i="9"/>
  <c r="X200" i="9"/>
  <c r="X201" i="9"/>
  <c r="X202" i="9"/>
  <c r="X203" i="9"/>
  <c r="X204" i="9"/>
  <c r="X205" i="9"/>
  <c r="X206" i="9"/>
  <c r="X207" i="9"/>
  <c r="X208" i="9"/>
  <c r="X209" i="9"/>
  <c r="X210" i="9"/>
  <c r="X211" i="9"/>
  <c r="X212" i="9"/>
  <c r="X213" i="9"/>
  <c r="X214" i="9"/>
  <c r="X215" i="9"/>
  <c r="X216" i="9"/>
  <c r="X217" i="9"/>
  <c r="X218" i="9"/>
  <c r="X219" i="9"/>
  <c r="X220" i="9"/>
  <c r="X221"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281" i="9"/>
  <c r="X282" i="9"/>
  <c r="X283" i="9"/>
  <c r="X284" i="9"/>
  <c r="X285" i="9"/>
  <c r="X286" i="9"/>
  <c r="X287" i="9"/>
  <c r="X288" i="9"/>
  <c r="X289" i="9"/>
  <c r="X290" i="9"/>
  <c r="X291" i="9"/>
  <c r="X292" i="9"/>
  <c r="X293" i="9"/>
  <c r="X294" i="9"/>
  <c r="X295" i="9"/>
  <c r="X296" i="9"/>
  <c r="X297" i="9"/>
  <c r="X298" i="9"/>
  <c r="X299" i="9"/>
  <c r="X300" i="9"/>
  <c r="X301" i="9"/>
  <c r="X302" i="9"/>
  <c r="X303" i="9"/>
  <c r="X304" i="9"/>
  <c r="X305" i="9"/>
  <c r="X306" i="9"/>
  <c r="X307" i="9"/>
  <c r="X308" i="9"/>
  <c r="X309" i="9"/>
  <c r="X310" i="9"/>
  <c r="X311" i="9"/>
  <c r="X312" i="9"/>
  <c r="X313" i="9"/>
  <c r="X314" i="9"/>
  <c r="X315" i="9"/>
  <c r="X316" i="9"/>
  <c r="X317" i="9"/>
  <c r="X318" i="9"/>
  <c r="X319" i="9"/>
  <c r="X320" i="9"/>
  <c r="X321" i="9"/>
  <c r="X322" i="9"/>
  <c r="X323" i="9"/>
  <c r="X324" i="9"/>
  <c r="X325" i="9"/>
  <c r="X326" i="9"/>
  <c r="X327" i="9"/>
  <c r="X328" i="9"/>
  <c r="X329" i="9"/>
  <c r="X330" i="9"/>
  <c r="X331" i="9"/>
  <c r="X332" i="9"/>
  <c r="X333" i="9"/>
  <c r="X334" i="9"/>
  <c r="X335" i="9"/>
  <c r="X336" i="9"/>
  <c r="X337" i="9"/>
  <c r="X338" i="9"/>
  <c r="X339" i="9"/>
  <c r="X340" i="9"/>
  <c r="X341" i="9"/>
  <c r="X342" i="9"/>
  <c r="X343" i="9"/>
  <c r="X344" i="9"/>
  <c r="X345" i="9"/>
  <c r="X346" i="9"/>
  <c r="X347" i="9"/>
  <c r="X348" i="9"/>
  <c r="X349" i="9"/>
  <c r="X350" i="9"/>
  <c r="X351" i="9"/>
  <c r="X352" i="9"/>
  <c r="X353" i="9"/>
  <c r="X354" i="9"/>
  <c r="X355" i="9"/>
  <c r="X356" i="9"/>
  <c r="X357" i="9"/>
  <c r="X358" i="9"/>
  <c r="X359" i="9"/>
  <c r="X360" i="9"/>
  <c r="X361" i="9"/>
  <c r="X362" i="9"/>
  <c r="X363" i="9"/>
  <c r="X364" i="9"/>
  <c r="X365" i="9"/>
  <c r="X366" i="9"/>
  <c r="X367" i="9"/>
  <c r="X368" i="9"/>
  <c r="X369" i="9"/>
  <c r="X370" i="9"/>
  <c r="X371" i="9"/>
  <c r="X372" i="9"/>
  <c r="X373" i="9"/>
  <c r="X374" i="9"/>
  <c r="X375" i="9"/>
  <c r="X376" i="9"/>
  <c r="X377" i="9"/>
  <c r="X378" i="9"/>
  <c r="X379" i="9"/>
  <c r="X380" i="9"/>
  <c r="X381" i="9"/>
  <c r="X382" i="9"/>
  <c r="X383" i="9"/>
  <c r="X384" i="9"/>
  <c r="X385" i="9"/>
  <c r="X386" i="9"/>
  <c r="X387" i="9"/>
  <c r="X388" i="9"/>
  <c r="X389" i="9"/>
  <c r="X390" i="9"/>
  <c r="X391" i="9"/>
  <c r="X392" i="9"/>
  <c r="X393" i="9"/>
  <c r="X394" i="9"/>
  <c r="X395" i="9"/>
  <c r="X396" i="9"/>
  <c r="X397" i="9"/>
  <c r="X398" i="9"/>
  <c r="X399" i="9"/>
  <c r="X400" i="9"/>
  <c r="X401" i="9"/>
  <c r="X402" i="9"/>
  <c r="X403" i="9"/>
  <c r="X404" i="9"/>
  <c r="X405" i="9"/>
  <c r="X406" i="9"/>
  <c r="X407" i="9"/>
  <c r="X408" i="9"/>
  <c r="X409" i="9"/>
  <c r="X410" i="9"/>
  <c r="X411" i="9"/>
  <c r="X412" i="9"/>
  <c r="X413" i="9"/>
  <c r="X414" i="9"/>
  <c r="X415" i="9"/>
  <c r="X416" i="9"/>
  <c r="X417" i="9"/>
  <c r="X418" i="9"/>
  <c r="X419" i="9"/>
  <c r="X420" i="9"/>
  <c r="X421" i="9"/>
  <c r="X422" i="9"/>
  <c r="X423" i="9"/>
  <c r="X424" i="9"/>
  <c r="X425" i="9"/>
  <c r="X426" i="9"/>
  <c r="X427" i="9"/>
  <c r="X428" i="9"/>
  <c r="X429" i="9"/>
  <c r="X430" i="9"/>
  <c r="X431" i="9"/>
  <c r="X432" i="9"/>
  <c r="X433" i="9"/>
  <c r="X434" i="9"/>
  <c r="X435" i="9"/>
  <c r="X436" i="9"/>
  <c r="X437" i="9"/>
  <c r="X438" i="9"/>
  <c r="X439" i="9"/>
  <c r="X440" i="9"/>
  <c r="X441" i="9"/>
  <c r="X442" i="9"/>
  <c r="X443" i="9"/>
  <c r="X444" i="9"/>
  <c r="X445" i="9"/>
  <c r="X446" i="9"/>
  <c r="X447" i="9"/>
  <c r="X448" i="9"/>
  <c r="X449" i="9"/>
  <c r="X450" i="9"/>
  <c r="X451" i="9"/>
  <c r="X452" i="9"/>
  <c r="X453" i="9"/>
  <c r="X454" i="9"/>
  <c r="X455" i="9"/>
  <c r="X456" i="9"/>
  <c r="X457" i="9"/>
  <c r="X458" i="9"/>
  <c r="X459" i="9"/>
  <c r="X460" i="9"/>
  <c r="X461" i="9"/>
  <c r="X462" i="9"/>
  <c r="X463" i="9"/>
  <c r="X464" i="9"/>
  <c r="X465" i="9"/>
  <c r="X466" i="9"/>
  <c r="X467" i="9"/>
  <c r="X468" i="9"/>
  <c r="X469" i="9"/>
  <c r="X470" i="9"/>
  <c r="X471" i="9"/>
  <c r="X472" i="9"/>
  <c r="X473" i="9"/>
  <c r="X474" i="9"/>
  <c r="X475" i="9"/>
  <c r="X476" i="9"/>
  <c r="X477" i="9"/>
  <c r="X478" i="9"/>
  <c r="X479" i="9"/>
  <c r="X480" i="9"/>
  <c r="X481" i="9"/>
  <c r="X482" i="9"/>
  <c r="X483" i="9"/>
  <c r="X484" i="9"/>
  <c r="X485" i="9"/>
  <c r="X486" i="9"/>
  <c r="X487" i="9"/>
  <c r="X488" i="9"/>
  <c r="X489" i="9"/>
  <c r="X490" i="9"/>
  <c r="X491" i="9"/>
  <c r="X492" i="9"/>
  <c r="X493" i="9"/>
  <c r="X494" i="9"/>
  <c r="X495" i="9"/>
  <c r="X496" i="9"/>
  <c r="X497" i="9"/>
  <c r="X498" i="9"/>
  <c r="X499" i="9"/>
  <c r="X500" i="9"/>
  <c r="X501" i="9"/>
  <c r="V2" i="9"/>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U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AE2" i="9" l="1"/>
  <c r="AE3" i="9"/>
  <c r="AE4" i="9"/>
  <c r="AE5" i="9"/>
  <c r="AE6" i="9"/>
  <c r="AE7" i="9"/>
  <c r="AE8" i="9"/>
  <c r="AE9" i="9"/>
  <c r="AE10" i="9"/>
  <c r="AE11" i="9"/>
  <c r="AE12" i="9"/>
  <c r="AE13" i="9"/>
  <c r="AE14" i="9"/>
  <c r="AE15" i="9"/>
  <c r="AE16" i="9"/>
  <c r="AE17" i="9"/>
  <c r="AE18" i="9"/>
  <c r="AE19" i="9"/>
  <c r="AE20" i="9"/>
  <c r="AE21" i="9"/>
  <c r="AE22" i="9"/>
  <c r="AE23" i="9"/>
  <c r="AE24" i="9"/>
  <c r="AE25" i="9"/>
  <c r="AE26" i="9"/>
  <c r="AE27" i="9"/>
  <c r="AE28" i="9"/>
  <c r="AE29" i="9"/>
  <c r="AE30" i="9"/>
  <c r="AE31" i="9"/>
  <c r="AE32" i="9"/>
  <c r="AE33" i="9"/>
  <c r="AE34" i="9"/>
  <c r="AE35" i="9"/>
  <c r="AE36" i="9"/>
  <c r="AE37" i="9"/>
  <c r="AE38" i="9"/>
  <c r="AE39" i="9"/>
  <c r="AE40" i="9"/>
  <c r="AE41" i="9"/>
  <c r="AE42" i="9"/>
  <c r="AE43" i="9"/>
  <c r="AE44" i="9"/>
  <c r="AE45" i="9"/>
  <c r="AE46" i="9"/>
  <c r="AE47" i="9"/>
  <c r="AE48" i="9"/>
  <c r="AE49" i="9"/>
  <c r="AE50" i="9"/>
  <c r="AE51" i="9"/>
  <c r="AE52" i="9"/>
  <c r="AE53" i="9"/>
  <c r="AE54" i="9"/>
  <c r="AE55" i="9"/>
  <c r="AE56" i="9"/>
  <c r="AE57" i="9"/>
  <c r="AE58" i="9"/>
  <c r="AE59" i="9"/>
  <c r="AE60" i="9"/>
  <c r="AE61" i="9"/>
  <c r="AE62" i="9"/>
  <c r="AE63" i="9"/>
  <c r="AE64" i="9"/>
  <c r="AE65" i="9"/>
  <c r="AE66" i="9"/>
  <c r="AE67" i="9"/>
  <c r="AE68" i="9"/>
  <c r="AE69" i="9"/>
  <c r="AE70" i="9"/>
  <c r="AE71" i="9"/>
  <c r="AE72" i="9"/>
  <c r="AE73" i="9"/>
  <c r="AE74" i="9"/>
  <c r="AE75" i="9"/>
  <c r="AE76" i="9"/>
  <c r="AE77" i="9"/>
  <c r="AE78" i="9"/>
  <c r="AE79" i="9"/>
  <c r="AE80" i="9"/>
  <c r="AE81" i="9"/>
  <c r="AE82" i="9"/>
  <c r="AE83" i="9"/>
  <c r="AE84" i="9"/>
  <c r="AE85" i="9"/>
  <c r="AE86" i="9"/>
  <c r="AE87" i="9"/>
  <c r="AE88" i="9"/>
  <c r="AE89" i="9"/>
  <c r="AE90" i="9"/>
  <c r="AE91" i="9"/>
  <c r="AE92" i="9"/>
  <c r="AE93" i="9"/>
  <c r="AE94" i="9"/>
  <c r="AE95" i="9"/>
  <c r="AE96" i="9"/>
  <c r="AE97" i="9"/>
  <c r="AE98" i="9"/>
  <c r="AE99" i="9"/>
  <c r="AE100" i="9"/>
  <c r="AE101" i="9"/>
  <c r="AE102" i="9"/>
  <c r="AE103" i="9"/>
  <c r="AE104" i="9"/>
  <c r="AE105" i="9"/>
  <c r="AE106" i="9"/>
  <c r="AE107" i="9"/>
  <c r="AE108" i="9"/>
  <c r="AE109" i="9"/>
  <c r="AE110" i="9"/>
  <c r="AE111" i="9"/>
  <c r="AE112" i="9"/>
  <c r="AE113" i="9"/>
  <c r="AE114" i="9"/>
  <c r="AE115" i="9"/>
  <c r="AE116" i="9"/>
  <c r="AE117" i="9"/>
  <c r="AE118" i="9"/>
  <c r="AE119" i="9"/>
  <c r="AE120" i="9"/>
  <c r="AE121" i="9"/>
  <c r="AE122" i="9"/>
  <c r="AE123" i="9"/>
  <c r="AE124" i="9"/>
  <c r="AE125" i="9"/>
  <c r="AE126" i="9"/>
  <c r="AE127" i="9"/>
  <c r="AE128" i="9"/>
  <c r="AE129" i="9"/>
  <c r="AE130" i="9"/>
  <c r="AE131" i="9"/>
  <c r="AE132" i="9"/>
  <c r="AE133" i="9"/>
  <c r="AE134" i="9"/>
  <c r="AE135" i="9"/>
  <c r="AE136" i="9"/>
  <c r="AE137" i="9"/>
  <c r="AE138" i="9"/>
  <c r="AE139" i="9"/>
  <c r="AE140" i="9"/>
  <c r="AE141" i="9"/>
  <c r="AE142" i="9"/>
  <c r="AE143" i="9"/>
  <c r="AE144" i="9"/>
  <c r="AE145" i="9"/>
  <c r="AE146" i="9"/>
  <c r="AE147" i="9"/>
  <c r="AE148" i="9"/>
  <c r="AE149" i="9"/>
  <c r="AE150" i="9"/>
  <c r="AE151" i="9"/>
  <c r="AE152" i="9"/>
  <c r="AE153" i="9"/>
  <c r="AE154" i="9"/>
  <c r="AE155" i="9"/>
  <c r="AE156" i="9"/>
  <c r="AE157" i="9"/>
  <c r="AE158" i="9"/>
  <c r="AE159" i="9"/>
  <c r="AE160" i="9"/>
  <c r="AE161" i="9"/>
  <c r="AE162" i="9"/>
  <c r="AE163" i="9"/>
  <c r="AE164" i="9"/>
  <c r="AE165" i="9"/>
  <c r="AE166" i="9"/>
  <c r="AE167" i="9"/>
  <c r="AE168" i="9"/>
  <c r="AE169" i="9"/>
  <c r="AE170" i="9"/>
  <c r="AE171" i="9"/>
  <c r="AE172" i="9"/>
  <c r="AE173" i="9"/>
  <c r="AE174" i="9"/>
  <c r="AE175" i="9"/>
  <c r="AE176" i="9"/>
  <c r="AE177" i="9"/>
  <c r="AE178" i="9"/>
  <c r="AE179" i="9"/>
  <c r="AE180" i="9"/>
  <c r="AE181" i="9"/>
  <c r="AE182" i="9"/>
  <c r="AE183" i="9"/>
  <c r="AE184" i="9"/>
  <c r="AE185" i="9"/>
  <c r="AE186" i="9"/>
  <c r="AE187" i="9"/>
  <c r="AE188" i="9"/>
  <c r="AE189" i="9"/>
  <c r="AE190" i="9"/>
  <c r="AE191" i="9"/>
  <c r="AE192" i="9"/>
  <c r="AE193" i="9"/>
  <c r="AE194" i="9"/>
  <c r="AE195" i="9"/>
  <c r="AE196" i="9"/>
  <c r="AE197" i="9"/>
  <c r="AE198" i="9"/>
  <c r="AE199" i="9"/>
  <c r="AE200" i="9"/>
  <c r="AE201" i="9"/>
  <c r="AE202" i="9"/>
  <c r="AE203" i="9"/>
  <c r="AE204" i="9"/>
  <c r="AE205" i="9"/>
  <c r="AE206" i="9"/>
  <c r="AE207" i="9"/>
  <c r="AE208" i="9"/>
  <c r="AE209" i="9"/>
  <c r="AE210" i="9"/>
  <c r="AE211" i="9"/>
  <c r="AE212" i="9"/>
  <c r="AE213" i="9"/>
  <c r="AE214" i="9"/>
  <c r="AE215" i="9"/>
  <c r="AE216" i="9"/>
  <c r="AE217" i="9"/>
  <c r="AE218" i="9"/>
  <c r="AE219" i="9"/>
  <c r="AE220" i="9"/>
  <c r="AE221" i="9"/>
  <c r="AE222" i="9"/>
  <c r="AE223" i="9"/>
  <c r="AE224" i="9"/>
  <c r="AE225" i="9"/>
  <c r="AE226" i="9"/>
  <c r="AE227" i="9"/>
  <c r="AE228" i="9"/>
  <c r="AE229" i="9"/>
  <c r="AE230" i="9"/>
  <c r="AE231" i="9"/>
  <c r="AE232" i="9"/>
  <c r="AE233" i="9"/>
  <c r="AE234" i="9"/>
  <c r="AE235" i="9"/>
  <c r="AE236" i="9"/>
  <c r="AE237" i="9"/>
  <c r="AE238" i="9"/>
  <c r="AE239" i="9"/>
  <c r="AE240" i="9"/>
  <c r="AE241" i="9"/>
  <c r="AE242" i="9"/>
  <c r="AE243" i="9"/>
  <c r="AE244" i="9"/>
  <c r="AE245" i="9"/>
  <c r="AE246" i="9"/>
  <c r="AE247" i="9"/>
  <c r="AE248" i="9"/>
  <c r="AE249" i="9"/>
  <c r="AE250" i="9"/>
  <c r="AE251" i="9"/>
  <c r="AE252" i="9"/>
  <c r="AE253" i="9"/>
  <c r="AE254" i="9"/>
  <c r="AE255" i="9"/>
  <c r="AE256" i="9"/>
  <c r="AE257" i="9"/>
  <c r="AE258" i="9"/>
  <c r="AE259" i="9"/>
  <c r="AE260"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G4" i="14"/>
  <c r="Q32" i="14"/>
  <c r="R30" i="14"/>
  <c r="Q29" i="14"/>
  <c r="Q25" i="14"/>
  <c r="R33" i="14"/>
  <c r="Q28" i="14"/>
  <c r="Q27" i="14"/>
  <c r="Q26" i="14"/>
  <c r="R32" i="14"/>
  <c r="Q34" i="14"/>
  <c r="R28" i="14"/>
  <c r="R34" i="14"/>
  <c r="Q31" i="14"/>
  <c r="R29" i="14"/>
  <c r="R27" i="14"/>
  <c r="R26" i="14"/>
  <c r="R25" i="14"/>
  <c r="Q33" i="14"/>
  <c r="R31" i="14"/>
  <c r="Q30" i="14"/>
  <c r="W34" i="14"/>
  <c r="X32" i="14"/>
  <c r="W31" i="14"/>
  <c r="X30" i="14"/>
  <c r="W29" i="14"/>
  <c r="X28" i="14"/>
  <c r="W28" i="14"/>
  <c r="X27" i="14"/>
  <c r="L33" i="14"/>
  <c r="L30" i="14"/>
  <c r="L28" i="14"/>
  <c r="K34" i="14"/>
  <c r="K32" i="14"/>
  <c r="K28" i="14"/>
  <c r="K25" i="14"/>
  <c r="K31" i="14"/>
  <c r="X34" i="14"/>
  <c r="W33" i="14"/>
  <c r="W32" i="14"/>
  <c r="W30" i="14"/>
  <c r="X29" i="14"/>
  <c r="X26" i="14"/>
  <c r="W25" i="14"/>
  <c r="L31" i="14"/>
  <c r="L27" i="14"/>
  <c r="L25" i="14"/>
  <c r="K30" i="14"/>
  <c r="K27" i="14"/>
  <c r="G2" i="14"/>
  <c r="X33" i="14"/>
  <c r="X31" i="14"/>
  <c r="W27" i="14"/>
  <c r="W26" i="14"/>
  <c r="X25" i="14"/>
  <c r="L34" i="14"/>
  <c r="L32" i="14"/>
  <c r="L29" i="14"/>
  <c r="L26" i="14"/>
  <c r="K33" i="14"/>
  <c r="K29" i="14"/>
  <c r="K26" i="14"/>
  <c r="G3" i="14"/>
  <c r="AD34" i="14"/>
  <c r="AD30" i="14"/>
  <c r="AC28" i="14"/>
  <c r="AC26" i="14"/>
  <c r="AC25" i="14"/>
  <c r="AC33" i="14"/>
  <c r="AC27" i="14"/>
  <c r="AD33" i="14"/>
  <c r="AC32" i="14"/>
  <c r="AD31" i="14"/>
  <c r="AC31" i="14"/>
  <c r="AD26" i="14"/>
  <c r="AD25" i="14"/>
  <c r="AC30" i="14"/>
  <c r="AD29" i="14"/>
  <c r="AC29" i="14"/>
  <c r="AD28" i="14"/>
  <c r="AD27" i="14"/>
  <c r="AC34" i="14"/>
  <c r="AD32" i="14"/>
  <c r="G5" i="14"/>
  <c r="W96" i="9"/>
  <c r="W97"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39" i="9"/>
  <c r="W56" i="9"/>
  <c r="W60" i="9"/>
  <c r="W62" i="9"/>
  <c r="W124" i="9"/>
  <c r="W126" i="9"/>
  <c r="W129" i="9"/>
  <c r="W132" i="9"/>
  <c r="W134" i="9"/>
  <c r="W136" i="9"/>
  <c r="W138" i="9"/>
  <c r="W141" i="9"/>
  <c r="W143" i="9"/>
  <c r="W145" i="9"/>
  <c r="W148" i="9"/>
  <c r="W151" i="9"/>
  <c r="W153" i="9"/>
  <c r="W156" i="9"/>
  <c r="W159" i="9"/>
  <c r="W161" i="9"/>
  <c r="W164" i="9"/>
  <c r="W167" i="9"/>
  <c r="W170" i="9"/>
  <c r="W173" i="9"/>
  <c r="W175" i="9"/>
  <c r="W177" i="9"/>
  <c r="W180" i="9"/>
  <c r="W183" i="9"/>
  <c r="W186" i="9"/>
  <c r="W188" i="9"/>
  <c r="W314" i="9"/>
  <c r="W319" i="9"/>
  <c r="W323" i="9"/>
  <c r="W326" i="9"/>
  <c r="W329" i="9"/>
  <c r="W333" i="9"/>
  <c r="W338" i="9"/>
  <c r="W342" i="9"/>
  <c r="W348" i="9"/>
  <c r="W352" i="9"/>
  <c r="W356" i="9"/>
  <c r="W361" i="9"/>
  <c r="W365" i="9"/>
  <c r="W370" i="9"/>
  <c r="W376"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5" i="9"/>
  <c r="W317" i="9"/>
  <c r="W320" i="9"/>
  <c r="W324" i="9"/>
  <c r="W327" i="9"/>
  <c r="W331" i="9"/>
  <c r="W335" i="9"/>
  <c r="W337" i="9"/>
  <c r="W341" i="9"/>
  <c r="W343" i="9"/>
  <c r="W349" i="9"/>
  <c r="W355" i="9"/>
  <c r="W360" i="9"/>
  <c r="W364" i="9"/>
  <c r="W369" i="9"/>
  <c r="W374"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313" i="9"/>
  <c r="W345" i="9"/>
  <c r="W351" i="9"/>
  <c r="W357" i="9"/>
  <c r="W363" i="9"/>
  <c r="W368" i="9"/>
  <c r="W372" i="9"/>
  <c r="W3" i="9"/>
  <c r="W6" i="9"/>
  <c r="W8" i="9"/>
  <c r="W10" i="9"/>
  <c r="W12" i="9"/>
  <c r="W14" i="9"/>
  <c r="W15" i="9"/>
  <c r="W17" i="9"/>
  <c r="W19" i="9"/>
  <c r="W21" i="9"/>
  <c r="W23" i="9"/>
  <c r="W24" i="9"/>
  <c r="W26" i="9"/>
  <c r="W28" i="9"/>
  <c r="W29" i="9"/>
  <c r="W31" i="9"/>
  <c r="W33" i="9"/>
  <c r="W35" i="9"/>
  <c r="W37" i="9"/>
  <c r="W40" i="9"/>
  <c r="W42" i="9"/>
  <c r="W44" i="9"/>
  <c r="W46" i="9"/>
  <c r="W47" i="9"/>
  <c r="W49" i="9"/>
  <c r="W51" i="9"/>
  <c r="W53" i="9"/>
  <c r="W55" i="9"/>
  <c r="W57" i="9"/>
  <c r="W59" i="9"/>
  <c r="W61" i="9"/>
  <c r="W63" i="9"/>
  <c r="W125" i="9"/>
  <c r="W128" i="9"/>
  <c r="W131" i="9"/>
  <c r="W133" i="9"/>
  <c r="W137" i="9"/>
  <c r="W139" i="9"/>
  <c r="W142" i="9"/>
  <c r="W146" i="9"/>
  <c r="W149" i="9"/>
  <c r="W152" i="9"/>
  <c r="W155" i="9"/>
  <c r="W157" i="9"/>
  <c r="W160" i="9"/>
  <c r="W162" i="9"/>
  <c r="W165" i="9"/>
  <c r="W168" i="9"/>
  <c r="W169" i="9"/>
  <c r="W172" i="9"/>
  <c r="W176" i="9"/>
  <c r="W178" i="9"/>
  <c r="W181" i="9"/>
  <c r="W182" i="9"/>
  <c r="W185" i="9"/>
  <c r="W187" i="9"/>
  <c r="W312" i="9"/>
  <c r="W316" i="9"/>
  <c r="W318" i="9"/>
  <c r="W322" i="9"/>
  <c r="W328" i="9"/>
  <c r="W330" i="9"/>
  <c r="W334" i="9"/>
  <c r="W336" i="9"/>
  <c r="W340" i="9"/>
  <c r="W344" i="9"/>
  <c r="W347" i="9"/>
  <c r="W350" i="9"/>
  <c r="W354" i="9"/>
  <c r="W358" i="9"/>
  <c r="W362" i="9"/>
  <c r="W366" i="9"/>
  <c r="W371" i="9"/>
  <c r="W375" i="9"/>
  <c r="W2" i="9"/>
  <c r="W4" i="9"/>
  <c r="W5" i="9"/>
  <c r="W7" i="9"/>
  <c r="W9" i="9"/>
  <c r="W11" i="9"/>
  <c r="W13" i="9"/>
  <c r="W16" i="9"/>
  <c r="W18" i="9"/>
  <c r="W20" i="9"/>
  <c r="W22" i="9"/>
  <c r="W25" i="9"/>
  <c r="W27" i="9"/>
  <c r="W30" i="9"/>
  <c r="W32" i="9"/>
  <c r="W34" i="9"/>
  <c r="W36" i="9"/>
  <c r="W38" i="9"/>
  <c r="W41" i="9"/>
  <c r="W43" i="9"/>
  <c r="W45" i="9"/>
  <c r="W48" i="9"/>
  <c r="W50" i="9"/>
  <c r="W52" i="9"/>
  <c r="W54" i="9"/>
  <c r="W58" i="9"/>
  <c r="W127" i="9"/>
  <c r="W130" i="9"/>
  <c r="W135" i="9"/>
  <c r="W140" i="9"/>
  <c r="W144" i="9"/>
  <c r="W147" i="9"/>
  <c r="W150" i="9"/>
  <c r="W154" i="9"/>
  <c r="W158" i="9"/>
  <c r="W163" i="9"/>
  <c r="W166" i="9"/>
  <c r="W171" i="9"/>
  <c r="W174" i="9"/>
  <c r="W179" i="9"/>
  <c r="W184" i="9"/>
  <c r="W311" i="9"/>
  <c r="W321" i="9"/>
  <c r="W325" i="9"/>
  <c r="W332" i="9"/>
  <c r="W339" i="9"/>
  <c r="W346" i="9"/>
  <c r="W353" i="9"/>
  <c r="W359" i="9"/>
  <c r="W367" i="9"/>
  <c r="W37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C7365D-ED9F-4866-BD87-47440EF42707}" keepAlive="1" name="Query - CAPSTONE PROJECT" description="Connection to the 'CAPSTONE PROJECT' query in the workbook." type="5" refreshedVersion="8" background="1" saveData="1">
    <dbPr connection="Provider=Microsoft.Mashup.OleDb.1;Data Source=$Workbook$;Location=&quot;CAPSTONE PROJECT&quot;;Extended Properties=&quot;&quot;" command="SELECT * FROM [CAPSTONE PROJECT]"/>
  </connection>
  <connection id="2" xr16:uid="{CD6611FD-8F2E-4677-A444-F18C9303F10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CCB8DC86-ACD2-4415-AC18-7735F8C6580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1D83A1F2-7EEA-4F15-B7AC-0F351D74485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83666E89-EA28-44D4-938C-7BDE3B8340B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<sst xmlns="http://schemas.openxmlformats.org/spreadsheetml/2006/main" count="12683" uniqueCount="1679">
  <si>
    <t>Occupation</t>
  </si>
  <si>
    <t>City</t>
  </si>
  <si>
    <t>Postcode</t>
  </si>
  <si>
    <t>Diagnosis</t>
  </si>
  <si>
    <t>Department</t>
  </si>
  <si>
    <t>Doctor</t>
  </si>
  <si>
    <t>Age</t>
  </si>
  <si>
    <t>P10001</t>
  </si>
  <si>
    <t>Divorced</t>
  </si>
  <si>
    <t>Consultant</t>
  </si>
  <si>
    <t>Sheffield</t>
  </si>
  <si>
    <t>SW59 5GM</t>
  </si>
  <si>
    <t>Migraine</t>
  </si>
  <si>
    <t>Critical</t>
  </si>
  <si>
    <t>Neurology</t>
  </si>
  <si>
    <t>Emergency</t>
  </si>
  <si>
    <t>Self-Pay</t>
  </si>
  <si>
    <t>P10002</t>
  </si>
  <si>
    <t>Married</t>
  </si>
  <si>
    <t>Manchester</t>
  </si>
  <si>
    <t>E40 8BS</t>
  </si>
  <si>
    <t>Kidney Disease</t>
  </si>
  <si>
    <t>High</t>
  </si>
  <si>
    <t>Oncology</t>
  </si>
  <si>
    <t>Surgery</t>
  </si>
  <si>
    <t>Employer</t>
  </si>
  <si>
    <t>P10003</t>
  </si>
  <si>
    <t>Engineer</t>
  </si>
  <si>
    <t>E34 9DO</t>
  </si>
  <si>
    <t>Arthritis</t>
  </si>
  <si>
    <t>Pediatrics</t>
  </si>
  <si>
    <t>NHS</t>
  </si>
  <si>
    <t>P10004</t>
  </si>
  <si>
    <t>Widowed</t>
  </si>
  <si>
    <t>Manager</t>
  </si>
  <si>
    <t>Cardiff</t>
  </si>
  <si>
    <t>M76 3NU</t>
  </si>
  <si>
    <t>Low</t>
  </si>
  <si>
    <t>Respiratory</t>
  </si>
  <si>
    <t>P10005</t>
  </si>
  <si>
    <t>Driver</t>
  </si>
  <si>
    <t>Birmingham</t>
  </si>
  <si>
    <t>B27 2YR</t>
  </si>
  <si>
    <t>Diabetes</t>
  </si>
  <si>
    <t>Medium</t>
  </si>
  <si>
    <t>Orthopedics</t>
  </si>
  <si>
    <t>P10006</t>
  </si>
  <si>
    <t>Single</t>
  </si>
  <si>
    <t>Cleaner</t>
  </si>
  <si>
    <t>M58 6QS</t>
  </si>
  <si>
    <t>Outpatient</t>
  </si>
  <si>
    <t>Private</t>
  </si>
  <si>
    <t>P10007</t>
  </si>
  <si>
    <t>Student</t>
  </si>
  <si>
    <t>Glasgow</t>
  </si>
  <si>
    <t>B38 8QT</t>
  </si>
  <si>
    <t>P10008</t>
  </si>
  <si>
    <t>Administrator</t>
  </si>
  <si>
    <t>London</t>
  </si>
  <si>
    <t>B72 9KV</t>
  </si>
  <si>
    <t>P10009</t>
  </si>
  <si>
    <t>Chef</t>
  </si>
  <si>
    <t>Liverpool</t>
  </si>
  <si>
    <t>E24 5WY</t>
  </si>
  <si>
    <t>General Medicine</t>
  </si>
  <si>
    <t>Inpatient</t>
  </si>
  <si>
    <t>P10010</t>
  </si>
  <si>
    <t>Accountant</t>
  </si>
  <si>
    <t>Nottingham</t>
  </si>
  <si>
    <t>M63 8NI</t>
  </si>
  <si>
    <t>P10011</t>
  </si>
  <si>
    <t>SW10 7XB</t>
  </si>
  <si>
    <t>Cancer</t>
  </si>
  <si>
    <t>Cardiology</t>
  </si>
  <si>
    <t>P10012</t>
  </si>
  <si>
    <t>Bristol</t>
  </si>
  <si>
    <t>N43 3CQ</t>
  </si>
  <si>
    <t>P10013</t>
  </si>
  <si>
    <t>Nurse</t>
  </si>
  <si>
    <t>E61 8UJ</t>
  </si>
  <si>
    <t>P10014</t>
  </si>
  <si>
    <t>E32 8OQ</t>
  </si>
  <si>
    <t>P10015</t>
  </si>
  <si>
    <t>E40 9MU</t>
  </si>
  <si>
    <t>P10016</t>
  </si>
  <si>
    <t>N21 3WY</t>
  </si>
  <si>
    <t>P10017</t>
  </si>
  <si>
    <t>SW7 8LR</t>
  </si>
  <si>
    <t>P10018</t>
  </si>
  <si>
    <t>E37 8WE</t>
  </si>
  <si>
    <t>P10019</t>
  </si>
  <si>
    <t>SW55 1TL</t>
  </si>
  <si>
    <t>P10020</t>
  </si>
  <si>
    <t>SW83 3YV</t>
  </si>
  <si>
    <t>P10021</t>
  </si>
  <si>
    <t>M50 6FP</t>
  </si>
  <si>
    <t>P10022</t>
  </si>
  <si>
    <t>E86 7LQ</t>
  </si>
  <si>
    <t>P10023</t>
  </si>
  <si>
    <t>SW34 8GT</t>
  </si>
  <si>
    <t>Hypertension</t>
  </si>
  <si>
    <t>P10024</t>
  </si>
  <si>
    <t>Leeds</t>
  </si>
  <si>
    <t>M4 6RS</t>
  </si>
  <si>
    <t>Pneumonia</t>
  </si>
  <si>
    <t>P10025</t>
  </si>
  <si>
    <t>E67 3JF</t>
  </si>
  <si>
    <t>P10026</t>
  </si>
  <si>
    <t>B34 4YS</t>
  </si>
  <si>
    <t>P10027</t>
  </si>
  <si>
    <t>B14 6HO</t>
  </si>
  <si>
    <t>Flu</t>
  </si>
  <si>
    <t>P10028</t>
  </si>
  <si>
    <t>E7 5PT</t>
  </si>
  <si>
    <t>Asthma</t>
  </si>
  <si>
    <t>P10029</t>
  </si>
  <si>
    <t>M48 6RL</t>
  </si>
  <si>
    <t>P10030</t>
  </si>
  <si>
    <t>E54 5ZX</t>
  </si>
  <si>
    <t>P10031</t>
  </si>
  <si>
    <t>B27 9KV</t>
  </si>
  <si>
    <t>P10032</t>
  </si>
  <si>
    <t>B87 9MM</t>
  </si>
  <si>
    <t>P10033</t>
  </si>
  <si>
    <t>E88 3AR</t>
  </si>
  <si>
    <t>P10034</t>
  </si>
  <si>
    <t>Teacher</t>
  </si>
  <si>
    <t>B78 2KJ</t>
  </si>
  <si>
    <t>P10035</t>
  </si>
  <si>
    <t>E34 7HO</t>
  </si>
  <si>
    <t>P10036</t>
  </si>
  <si>
    <t>E68 8QW</t>
  </si>
  <si>
    <t>P10037</t>
  </si>
  <si>
    <t>M33 1XG</t>
  </si>
  <si>
    <t>P10038</t>
  </si>
  <si>
    <t>N1 1JO</t>
  </si>
  <si>
    <t>P10039</t>
  </si>
  <si>
    <t>B38 4XS</t>
  </si>
  <si>
    <t>P10040</t>
  </si>
  <si>
    <t>Retail Assistant</t>
  </si>
  <si>
    <t>B53 7RQ</t>
  </si>
  <si>
    <t>P10041</t>
  </si>
  <si>
    <t>M32 4MH</t>
  </si>
  <si>
    <t>P10042</t>
  </si>
  <si>
    <t>N49 4PR</t>
  </si>
  <si>
    <t>P10043</t>
  </si>
  <si>
    <t>E1 9RN</t>
  </si>
  <si>
    <t>P10044</t>
  </si>
  <si>
    <t>E12 7MM</t>
  </si>
  <si>
    <t>P10045</t>
  </si>
  <si>
    <t>M10 5FS</t>
  </si>
  <si>
    <t>P10046</t>
  </si>
  <si>
    <t>B85 7CY</t>
  </si>
  <si>
    <t>P10047</t>
  </si>
  <si>
    <t>SW53 7YC</t>
  </si>
  <si>
    <t>P10048</t>
  </si>
  <si>
    <t>SW57 6NU</t>
  </si>
  <si>
    <t>P10049</t>
  </si>
  <si>
    <t>M87 8EU</t>
  </si>
  <si>
    <t>P10050</t>
  </si>
  <si>
    <t>E2 2IH</t>
  </si>
  <si>
    <t>P10051</t>
  </si>
  <si>
    <t>E3 6UD</t>
  </si>
  <si>
    <t>P10052</t>
  </si>
  <si>
    <t>B24 6KG</t>
  </si>
  <si>
    <t>P10053</t>
  </si>
  <si>
    <t>B50 7FP</t>
  </si>
  <si>
    <t>P10054</t>
  </si>
  <si>
    <t>SW29 9JF</t>
  </si>
  <si>
    <t>P10055</t>
  </si>
  <si>
    <t>SW91 7FT</t>
  </si>
  <si>
    <t>P10056</t>
  </si>
  <si>
    <t>M19 5UN</t>
  </si>
  <si>
    <t>P10057</t>
  </si>
  <si>
    <t>SW88 1BD</t>
  </si>
  <si>
    <t>P10058</t>
  </si>
  <si>
    <t>E28 8CE</t>
  </si>
  <si>
    <t>P10059</t>
  </si>
  <si>
    <t>N81 3NT</t>
  </si>
  <si>
    <t>P10060</t>
  </si>
  <si>
    <t>N64 7DH</t>
  </si>
  <si>
    <t>P10061</t>
  </si>
  <si>
    <t>E82 9RT</t>
  </si>
  <si>
    <t>P10062</t>
  </si>
  <si>
    <t>N90 1FP</t>
  </si>
  <si>
    <t>P10063</t>
  </si>
  <si>
    <t>B87 2HX</t>
  </si>
  <si>
    <t>P10064</t>
  </si>
  <si>
    <t>SW40 6CR</t>
  </si>
  <si>
    <t>P10065</t>
  </si>
  <si>
    <t>B31 7PB</t>
  </si>
  <si>
    <t>P10066</t>
  </si>
  <si>
    <t>SW30 2GE</t>
  </si>
  <si>
    <t>P10067</t>
  </si>
  <si>
    <t>SW34 3AM</t>
  </si>
  <si>
    <t>P10068</t>
  </si>
  <si>
    <t>M7 3SN</t>
  </si>
  <si>
    <t>P10069</t>
  </si>
  <si>
    <t>E49 6PR</t>
  </si>
  <si>
    <t>P10070</t>
  </si>
  <si>
    <t>N31 6ZX</t>
  </si>
  <si>
    <t>P10071</t>
  </si>
  <si>
    <t>N15 9LC</t>
  </si>
  <si>
    <t>P10072</t>
  </si>
  <si>
    <t>N78 6ZT</t>
  </si>
  <si>
    <t>P10073</t>
  </si>
  <si>
    <t>M13 8ZS</t>
  </si>
  <si>
    <t>P10074</t>
  </si>
  <si>
    <t>M90 9XX</t>
  </si>
  <si>
    <t>P10075</t>
  </si>
  <si>
    <t>E83 9MF</t>
  </si>
  <si>
    <t>P10076</t>
  </si>
  <si>
    <t>M39 2MW</t>
  </si>
  <si>
    <t>P10077</t>
  </si>
  <si>
    <t>B67 7DN</t>
  </si>
  <si>
    <t>P10078</t>
  </si>
  <si>
    <t>SW48 1KZ</t>
  </si>
  <si>
    <t>P10079</t>
  </si>
  <si>
    <t>M18 9SA</t>
  </si>
  <si>
    <t>P10080</t>
  </si>
  <si>
    <t>M7 3SY</t>
  </si>
  <si>
    <t>P10081</t>
  </si>
  <si>
    <t>SW87 9TM</t>
  </si>
  <si>
    <t>P10082</t>
  </si>
  <si>
    <t>SW34 7MM</t>
  </si>
  <si>
    <t>P10083</t>
  </si>
  <si>
    <t>SW75 5OD</t>
  </si>
  <si>
    <t>P10084</t>
  </si>
  <si>
    <t>E58 5GY</t>
  </si>
  <si>
    <t>P10085</t>
  </si>
  <si>
    <t>B40 3CB</t>
  </si>
  <si>
    <t>P10086</t>
  </si>
  <si>
    <t>E84 1BW</t>
  </si>
  <si>
    <t>P10087</t>
  </si>
  <si>
    <t>SW67 4LW</t>
  </si>
  <si>
    <t>P10088</t>
  </si>
  <si>
    <t>E38 6ZV</t>
  </si>
  <si>
    <t>P10089</t>
  </si>
  <si>
    <t>E17 1FD</t>
  </si>
  <si>
    <t>P10090</t>
  </si>
  <si>
    <t>B13 7VX</t>
  </si>
  <si>
    <t>P10091</t>
  </si>
  <si>
    <t>M12 8OK</t>
  </si>
  <si>
    <t>P10092</t>
  </si>
  <si>
    <t>E44 6UZ</t>
  </si>
  <si>
    <t>P10093</t>
  </si>
  <si>
    <t>B62 9YF</t>
  </si>
  <si>
    <t>P10094</t>
  </si>
  <si>
    <t>SW88 6VE</t>
  </si>
  <si>
    <t>P10095</t>
  </si>
  <si>
    <t>N97 9BL</t>
  </si>
  <si>
    <t>P10096</t>
  </si>
  <si>
    <t>B26 4JO</t>
  </si>
  <si>
    <t>P10097</t>
  </si>
  <si>
    <t>B29 3QC</t>
  </si>
  <si>
    <t>P10098</t>
  </si>
  <si>
    <t>E67 6QZ</t>
  </si>
  <si>
    <t>P10099</t>
  </si>
  <si>
    <t>E7 3ZI</t>
  </si>
  <si>
    <t>P10100</t>
  </si>
  <si>
    <t>M21 9HE</t>
  </si>
  <si>
    <t>P10101</t>
  </si>
  <si>
    <t>N86 1YR</t>
  </si>
  <si>
    <t>P10102</t>
  </si>
  <si>
    <t>N29 7IL</t>
  </si>
  <si>
    <t>P10103</t>
  </si>
  <si>
    <t>SW51 4YS</t>
  </si>
  <si>
    <t>P10104</t>
  </si>
  <si>
    <t>M61 8BB</t>
  </si>
  <si>
    <t>P10105</t>
  </si>
  <si>
    <t>N10 9UI</t>
  </si>
  <si>
    <t>P10106</t>
  </si>
  <si>
    <t>SW24 9MT</t>
  </si>
  <si>
    <t>P10107</t>
  </si>
  <si>
    <t>M20 2FP</t>
  </si>
  <si>
    <t>P10108</t>
  </si>
  <si>
    <t>B70 7IG</t>
  </si>
  <si>
    <t>P10109</t>
  </si>
  <si>
    <t>M33 5SL</t>
  </si>
  <si>
    <t>P10110</t>
  </si>
  <si>
    <t>SW92 1YF</t>
  </si>
  <si>
    <t>P10111</t>
  </si>
  <si>
    <t>SW93 9SL</t>
  </si>
  <si>
    <t>P10112</t>
  </si>
  <si>
    <t>B4 8DI</t>
  </si>
  <si>
    <t>P10113</t>
  </si>
  <si>
    <t>N95 4IG</t>
  </si>
  <si>
    <t>P10114</t>
  </si>
  <si>
    <t>M70 1QL</t>
  </si>
  <si>
    <t>P10115</t>
  </si>
  <si>
    <t>N74 3SV</t>
  </si>
  <si>
    <t>P10116</t>
  </si>
  <si>
    <t>SW61 2OX</t>
  </si>
  <si>
    <t>P10117</t>
  </si>
  <si>
    <t>B52 2CF</t>
  </si>
  <si>
    <t>P10118</t>
  </si>
  <si>
    <t>E99 7QY</t>
  </si>
  <si>
    <t>P10119</t>
  </si>
  <si>
    <t>M81 7QU</t>
  </si>
  <si>
    <t>P10120</t>
  </si>
  <si>
    <t>B56 7HF</t>
  </si>
  <si>
    <t>P10121</t>
  </si>
  <si>
    <t>E69 1FD</t>
  </si>
  <si>
    <t>P10122</t>
  </si>
  <si>
    <t>E99 4MY</t>
  </si>
  <si>
    <t>P10123</t>
  </si>
  <si>
    <t>N36 2MZ</t>
  </si>
  <si>
    <t>P10124</t>
  </si>
  <si>
    <t>E89 7LX</t>
  </si>
  <si>
    <t>P10125</t>
  </si>
  <si>
    <t>E80 6YT</t>
  </si>
  <si>
    <t>P10126</t>
  </si>
  <si>
    <t>B80 5BL</t>
  </si>
  <si>
    <t>P10127</t>
  </si>
  <si>
    <t>B85 4SU</t>
  </si>
  <si>
    <t>P10128</t>
  </si>
  <si>
    <t>SW47 8OM</t>
  </si>
  <si>
    <t>P10129</t>
  </si>
  <si>
    <t>SW12 7SG</t>
  </si>
  <si>
    <t>P10130</t>
  </si>
  <si>
    <t>B6 6RS</t>
  </si>
  <si>
    <t>P10131</t>
  </si>
  <si>
    <t>N63 7US</t>
  </si>
  <si>
    <t>P10132</t>
  </si>
  <si>
    <t>N97 2DX</t>
  </si>
  <si>
    <t>P10133</t>
  </si>
  <si>
    <t>E37 4ZW</t>
  </si>
  <si>
    <t>P10134</t>
  </si>
  <si>
    <t>B40 6PM</t>
  </si>
  <si>
    <t>P10135</t>
  </si>
  <si>
    <t>B20 7JT</t>
  </si>
  <si>
    <t>P10136</t>
  </si>
  <si>
    <t>SW53 7JO</t>
  </si>
  <si>
    <t>P10137</t>
  </si>
  <si>
    <t>M29 4YG</t>
  </si>
  <si>
    <t>P10138</t>
  </si>
  <si>
    <t>B50 9YU</t>
  </si>
  <si>
    <t>P10139</t>
  </si>
  <si>
    <t>SW42 3WX</t>
  </si>
  <si>
    <t>P10140</t>
  </si>
  <si>
    <t>E17 4AT</t>
  </si>
  <si>
    <t>P10141</t>
  </si>
  <si>
    <t>E14 7FF</t>
  </si>
  <si>
    <t>P10142</t>
  </si>
  <si>
    <t>SW55 6IQ</t>
  </si>
  <si>
    <t>P10143</t>
  </si>
  <si>
    <t>SW9 5JQ</t>
  </si>
  <si>
    <t>P10144</t>
  </si>
  <si>
    <t>B69 1GS</t>
  </si>
  <si>
    <t>P10145</t>
  </si>
  <si>
    <t>M65 1ZP</t>
  </si>
  <si>
    <t>P10146</t>
  </si>
  <si>
    <t>SW82 4KG</t>
  </si>
  <si>
    <t>P10147</t>
  </si>
  <si>
    <t>M87 1DM</t>
  </si>
  <si>
    <t>P10148</t>
  </si>
  <si>
    <t>N19 5LM</t>
  </si>
  <si>
    <t>P10149</t>
  </si>
  <si>
    <t>N71 3PM</t>
  </si>
  <si>
    <t>P10150</t>
  </si>
  <si>
    <t>E12 4ES</t>
  </si>
  <si>
    <t>P10151</t>
  </si>
  <si>
    <t>E31 7WS</t>
  </si>
  <si>
    <t>P10152</t>
  </si>
  <si>
    <t>M90 7TF</t>
  </si>
  <si>
    <t>P10153</t>
  </si>
  <si>
    <t>E67 2HP</t>
  </si>
  <si>
    <t>P10154</t>
  </si>
  <si>
    <t>E17 9CZ</t>
  </si>
  <si>
    <t>P10155</t>
  </si>
  <si>
    <t>M93 3GS</t>
  </si>
  <si>
    <t>P10156</t>
  </si>
  <si>
    <t>SW43 5IZ</t>
  </si>
  <si>
    <t>P10157</t>
  </si>
  <si>
    <t>E8 4TU</t>
  </si>
  <si>
    <t>P10158</t>
  </si>
  <si>
    <t>N57 2PG</t>
  </si>
  <si>
    <t>P10159</t>
  </si>
  <si>
    <t>E66 8PN</t>
  </si>
  <si>
    <t>P10160</t>
  </si>
  <si>
    <t>SW90 7DU</t>
  </si>
  <si>
    <t>P10161</t>
  </si>
  <si>
    <t>M87 9EX</t>
  </si>
  <si>
    <t>P10162</t>
  </si>
  <si>
    <t>SW16 9EK</t>
  </si>
  <si>
    <t>P10163</t>
  </si>
  <si>
    <t>N27 3UI</t>
  </si>
  <si>
    <t>P10164</t>
  </si>
  <si>
    <t>N15 3VP</t>
  </si>
  <si>
    <t>P10165</t>
  </si>
  <si>
    <t>SW30 2HX</t>
  </si>
  <si>
    <t>P10166</t>
  </si>
  <si>
    <t>N38 3ZZ</t>
  </si>
  <si>
    <t>P10167</t>
  </si>
  <si>
    <t>M62 2OP</t>
  </si>
  <si>
    <t>P10168</t>
  </si>
  <si>
    <t>M89 6QB</t>
  </si>
  <si>
    <t>P10169</t>
  </si>
  <si>
    <t>N97 4KL</t>
  </si>
  <si>
    <t>P10170</t>
  </si>
  <si>
    <t>M20 4QU</t>
  </si>
  <si>
    <t>P10171</t>
  </si>
  <si>
    <t>SW30 8LJ</t>
  </si>
  <si>
    <t>P10172</t>
  </si>
  <si>
    <t>B39 2AM</t>
  </si>
  <si>
    <t>P10173</t>
  </si>
  <si>
    <t>B29 8LC</t>
  </si>
  <si>
    <t>P10174</t>
  </si>
  <si>
    <t>B12 4XO</t>
  </si>
  <si>
    <t>P10175</t>
  </si>
  <si>
    <t>M38 9PB</t>
  </si>
  <si>
    <t>P10176</t>
  </si>
  <si>
    <t>SW81 8WD</t>
  </si>
  <si>
    <t>P10177</t>
  </si>
  <si>
    <t>SW88 6DR</t>
  </si>
  <si>
    <t>P10178</t>
  </si>
  <si>
    <t>N57 9YK</t>
  </si>
  <si>
    <t>P10179</t>
  </si>
  <si>
    <t>E97 2ZD</t>
  </si>
  <si>
    <t>P10180</t>
  </si>
  <si>
    <t>N57 2FL</t>
  </si>
  <si>
    <t>P10181</t>
  </si>
  <si>
    <t>M87 6FA</t>
  </si>
  <si>
    <t>P10182</t>
  </si>
  <si>
    <t>B52 8QI</t>
  </si>
  <si>
    <t>P10183</t>
  </si>
  <si>
    <t>SW70 6ZR</t>
  </si>
  <si>
    <t>P10184</t>
  </si>
  <si>
    <t>M76 7TV</t>
  </si>
  <si>
    <t>P10185</t>
  </si>
  <si>
    <t>E69 6BO</t>
  </si>
  <si>
    <t>P10186</t>
  </si>
  <si>
    <t>SW34 1JS</t>
  </si>
  <si>
    <t>P10187</t>
  </si>
  <si>
    <t>N74 8GV</t>
  </si>
  <si>
    <t>P10188</t>
  </si>
  <si>
    <t>E20 4AH</t>
  </si>
  <si>
    <t>P10189</t>
  </si>
  <si>
    <t>N15 9DQ</t>
  </si>
  <si>
    <t>P10190</t>
  </si>
  <si>
    <t>M92 6JA</t>
  </si>
  <si>
    <t>P10191</t>
  </si>
  <si>
    <t>E63 8XN</t>
  </si>
  <si>
    <t>P10192</t>
  </si>
  <si>
    <t>SW58 8XE</t>
  </si>
  <si>
    <t>P10193</t>
  </si>
  <si>
    <t>N73 2AW</t>
  </si>
  <si>
    <t>P10194</t>
  </si>
  <si>
    <t>B88 8CA</t>
  </si>
  <si>
    <t>P10195</t>
  </si>
  <si>
    <t>B23 5FQ</t>
  </si>
  <si>
    <t>P10196</t>
  </si>
  <si>
    <t>E25 3BH</t>
  </si>
  <si>
    <t>P10197</t>
  </si>
  <si>
    <t>N75 1QY</t>
  </si>
  <si>
    <t>P10198</t>
  </si>
  <si>
    <t>N28 1ZU</t>
  </si>
  <si>
    <t>P10199</t>
  </si>
  <si>
    <t>SW66 4PO</t>
  </si>
  <si>
    <t>P10200</t>
  </si>
  <si>
    <t>N67 7JS</t>
  </si>
  <si>
    <t>P10201</t>
  </si>
  <si>
    <t>B34 6ZF</t>
  </si>
  <si>
    <t>P10202</t>
  </si>
  <si>
    <t>N4 4PU</t>
  </si>
  <si>
    <t>P10203</t>
  </si>
  <si>
    <t>B77 9JB</t>
  </si>
  <si>
    <t>P10204</t>
  </si>
  <si>
    <t>B88 6TW</t>
  </si>
  <si>
    <t>P10205</t>
  </si>
  <si>
    <t>SW87 3FQ</t>
  </si>
  <si>
    <t>P10206</t>
  </si>
  <si>
    <t>E72 1QD</t>
  </si>
  <si>
    <t>P10207</t>
  </si>
  <si>
    <t>SW81 4EY</t>
  </si>
  <si>
    <t>P10208</t>
  </si>
  <si>
    <t>B38 7MV</t>
  </si>
  <si>
    <t>P10209</t>
  </si>
  <si>
    <t>SW28 2QR</t>
  </si>
  <si>
    <t>P10210</t>
  </si>
  <si>
    <t>B92 9TH</t>
  </si>
  <si>
    <t>P10211</t>
  </si>
  <si>
    <t>M82 7OW</t>
  </si>
  <si>
    <t>P10212</t>
  </si>
  <si>
    <t>SW63 1ZE</t>
  </si>
  <si>
    <t>P10213</t>
  </si>
  <si>
    <t>B53 7HM</t>
  </si>
  <si>
    <t>P10214</t>
  </si>
  <si>
    <t>N91 8CZ</t>
  </si>
  <si>
    <t>P10215</t>
  </si>
  <si>
    <t>SW50 2KE</t>
  </si>
  <si>
    <t>P10216</t>
  </si>
  <si>
    <t>N39 7OC</t>
  </si>
  <si>
    <t>P10217</t>
  </si>
  <si>
    <t>B73 2JC</t>
  </si>
  <si>
    <t>P10218</t>
  </si>
  <si>
    <t>M72 8YM</t>
  </si>
  <si>
    <t>P10219</t>
  </si>
  <si>
    <t>SW92 4HP</t>
  </si>
  <si>
    <t>P10220</t>
  </si>
  <si>
    <t>B79 5VR</t>
  </si>
  <si>
    <t>P10221</t>
  </si>
  <si>
    <t>E32 4FK</t>
  </si>
  <si>
    <t>P10222</t>
  </si>
  <si>
    <t>SW89 2ZE</t>
  </si>
  <si>
    <t>P10223</t>
  </si>
  <si>
    <t>SW76 4DD</t>
  </si>
  <si>
    <t>P10224</t>
  </si>
  <si>
    <t>E67 3BH</t>
  </si>
  <si>
    <t>P10225</t>
  </si>
  <si>
    <t>N31 8XY</t>
  </si>
  <si>
    <t>P10226</t>
  </si>
  <si>
    <t>E23 5DA</t>
  </si>
  <si>
    <t>P10227</t>
  </si>
  <si>
    <t>N7 5EQ</t>
  </si>
  <si>
    <t>P10228</t>
  </si>
  <si>
    <t>M31 7GJ</t>
  </si>
  <si>
    <t>P10229</t>
  </si>
  <si>
    <t>SW11 5QQ</t>
  </si>
  <si>
    <t>P10230</t>
  </si>
  <si>
    <t>M84 9YE</t>
  </si>
  <si>
    <t>P10231</t>
  </si>
  <si>
    <t>M55 7YY</t>
  </si>
  <si>
    <t>P10232</t>
  </si>
  <si>
    <t>N9 7JG</t>
  </si>
  <si>
    <t>P10233</t>
  </si>
  <si>
    <t>B92 8IG</t>
  </si>
  <si>
    <t>P10234</t>
  </si>
  <si>
    <t>N90 2MW</t>
  </si>
  <si>
    <t>P10235</t>
  </si>
  <si>
    <t>M25 7BA</t>
  </si>
  <si>
    <t>P10236</t>
  </si>
  <si>
    <t>SW23 4WB</t>
  </si>
  <si>
    <t>P10237</t>
  </si>
  <si>
    <t>N6 7QD</t>
  </si>
  <si>
    <t>P10238</t>
  </si>
  <si>
    <t>B64 2WR</t>
  </si>
  <si>
    <t>P10239</t>
  </si>
  <si>
    <t>N80 2BE</t>
  </si>
  <si>
    <t>P10240</t>
  </si>
  <si>
    <t>B49 9KF</t>
  </si>
  <si>
    <t>P10241</t>
  </si>
  <si>
    <t>N35 8CL</t>
  </si>
  <si>
    <t>P10242</t>
  </si>
  <si>
    <t>M26 3GA</t>
  </si>
  <si>
    <t>P10243</t>
  </si>
  <si>
    <t>N62 1LU</t>
  </si>
  <si>
    <t>P10244</t>
  </si>
  <si>
    <t>M97 2DU</t>
  </si>
  <si>
    <t>P10245</t>
  </si>
  <si>
    <t>E96 3ZY</t>
  </si>
  <si>
    <t>P10246</t>
  </si>
  <si>
    <t>M78 9YI</t>
  </si>
  <si>
    <t>P10247</t>
  </si>
  <si>
    <t>B88 8QN</t>
  </si>
  <si>
    <t>P10248</t>
  </si>
  <si>
    <t>B5 3PZ</t>
  </si>
  <si>
    <t>P10249</t>
  </si>
  <si>
    <t>B82 8CZ</t>
  </si>
  <si>
    <t>P10250</t>
  </si>
  <si>
    <t>B69 4MN</t>
  </si>
  <si>
    <t>P10251</t>
  </si>
  <si>
    <t>M38 7BZ</t>
  </si>
  <si>
    <t>P10252</t>
  </si>
  <si>
    <t>SW59 3SE</t>
  </si>
  <si>
    <t>P10253</t>
  </si>
  <si>
    <t>E31 7PJ</t>
  </si>
  <si>
    <t>P10254</t>
  </si>
  <si>
    <t>N13 6CW</t>
  </si>
  <si>
    <t>P10255</t>
  </si>
  <si>
    <t>E65 5LR</t>
  </si>
  <si>
    <t>P10256</t>
  </si>
  <si>
    <t>B28 6IE</t>
  </si>
  <si>
    <t>P10257</t>
  </si>
  <si>
    <t>E69 2VR</t>
  </si>
  <si>
    <t>P10258</t>
  </si>
  <si>
    <t>M24 6ZX</t>
  </si>
  <si>
    <t>P10259</t>
  </si>
  <si>
    <t>SW53 6CU</t>
  </si>
  <si>
    <t>P10260</t>
  </si>
  <si>
    <t>B6 8FV</t>
  </si>
  <si>
    <t>P10261</t>
  </si>
  <si>
    <t>M8 6AT</t>
  </si>
  <si>
    <t>P10262</t>
  </si>
  <si>
    <t>M21 3LX</t>
  </si>
  <si>
    <t>P10263</t>
  </si>
  <si>
    <t>E3 3EL</t>
  </si>
  <si>
    <t>P10264</t>
  </si>
  <si>
    <t>N30 2EM</t>
  </si>
  <si>
    <t>P10265</t>
  </si>
  <si>
    <t>E85 6GJ</t>
  </si>
  <si>
    <t>P10266</t>
  </si>
  <si>
    <t>N25 8DC</t>
  </si>
  <si>
    <t>P10267</t>
  </si>
  <si>
    <t>B8 4XM</t>
  </si>
  <si>
    <t>P10268</t>
  </si>
  <si>
    <t>N29 1RH</t>
  </si>
  <si>
    <t>P10269</t>
  </si>
  <si>
    <t>SW23 5AR</t>
  </si>
  <si>
    <t>P10270</t>
  </si>
  <si>
    <t>N23 7VT</t>
  </si>
  <si>
    <t>P10271</t>
  </si>
  <si>
    <t>E26 3PY</t>
  </si>
  <si>
    <t>P10272</t>
  </si>
  <si>
    <t>E63 3DH</t>
  </si>
  <si>
    <t>P10273</t>
  </si>
  <si>
    <t>E20 3KE</t>
  </si>
  <si>
    <t>P10274</t>
  </si>
  <si>
    <t>B92 7QS</t>
  </si>
  <si>
    <t>P10275</t>
  </si>
  <si>
    <t>M48 1WD</t>
  </si>
  <si>
    <t>P10276</t>
  </si>
  <si>
    <t>E51 7VO</t>
  </si>
  <si>
    <t>P10277</t>
  </si>
  <si>
    <t>E14 2LT</t>
  </si>
  <si>
    <t>P10278</t>
  </si>
  <si>
    <t>M65 4KY</t>
  </si>
  <si>
    <t>P10279</t>
  </si>
  <si>
    <t>B84 9YK</t>
  </si>
  <si>
    <t>P10280</t>
  </si>
  <si>
    <t>M41 3JF</t>
  </si>
  <si>
    <t>P10281</t>
  </si>
  <si>
    <t>M65 8IV</t>
  </si>
  <si>
    <t>P10282</t>
  </si>
  <si>
    <t>E41 6TP</t>
  </si>
  <si>
    <t>P10283</t>
  </si>
  <si>
    <t>M54 9GV</t>
  </si>
  <si>
    <t>P10284</t>
  </si>
  <si>
    <t>E20 8EP</t>
  </si>
  <si>
    <t>P10285</t>
  </si>
  <si>
    <t>SW65 2WP</t>
  </si>
  <si>
    <t>P10286</t>
  </si>
  <si>
    <t>E79 7DP</t>
  </si>
  <si>
    <t>P10287</t>
  </si>
  <si>
    <t>E54 1AA</t>
  </si>
  <si>
    <t>P10288</t>
  </si>
  <si>
    <t>B51 5RF</t>
  </si>
  <si>
    <t>P10289</t>
  </si>
  <si>
    <t>SW11 3UA</t>
  </si>
  <si>
    <t>P10290</t>
  </si>
  <si>
    <t>B81 1DK</t>
  </si>
  <si>
    <t>P10291</t>
  </si>
  <si>
    <t>M66 7GI</t>
  </si>
  <si>
    <t>P10292</t>
  </si>
  <si>
    <t>B53 5TU</t>
  </si>
  <si>
    <t>P10293</t>
  </si>
  <si>
    <t>E72 5WT</t>
  </si>
  <si>
    <t>P10294</t>
  </si>
  <si>
    <t>B6 6UA</t>
  </si>
  <si>
    <t>P10295</t>
  </si>
  <si>
    <t>N22 2GX</t>
  </si>
  <si>
    <t>P10296</t>
  </si>
  <si>
    <t>M36 6YX</t>
  </si>
  <si>
    <t>P10297</t>
  </si>
  <si>
    <t>N65 2EH</t>
  </si>
  <si>
    <t>P10298</t>
  </si>
  <si>
    <t>N51 9NQ</t>
  </si>
  <si>
    <t>P10299</t>
  </si>
  <si>
    <t>B13 5HT</t>
  </si>
  <si>
    <t>P10300</t>
  </si>
  <si>
    <t>E86 8NK</t>
  </si>
  <si>
    <t>P10301</t>
  </si>
  <si>
    <t>M33 6OA</t>
  </si>
  <si>
    <t>P10302</t>
  </si>
  <si>
    <t>M68 3IV</t>
  </si>
  <si>
    <t>P10303</t>
  </si>
  <si>
    <t>E38 1OB</t>
  </si>
  <si>
    <t>P10304</t>
  </si>
  <si>
    <t>M52 2IJ</t>
  </si>
  <si>
    <t>P10305</t>
  </si>
  <si>
    <t>M60 7NO</t>
  </si>
  <si>
    <t>P10306</t>
  </si>
  <si>
    <t>M89 6BD</t>
  </si>
  <si>
    <t>P10307</t>
  </si>
  <si>
    <t>M8 2JM</t>
  </si>
  <si>
    <t>P10308</t>
  </si>
  <si>
    <t>E60 7NE</t>
  </si>
  <si>
    <t>P10309</t>
  </si>
  <si>
    <t>SW84 6OW</t>
  </si>
  <si>
    <t>P10310</t>
  </si>
  <si>
    <t>N14 3XM</t>
  </si>
  <si>
    <t>P10311</t>
  </si>
  <si>
    <t>E75 1UV</t>
  </si>
  <si>
    <t>P10312</t>
  </si>
  <si>
    <t>M30 1TR</t>
  </si>
  <si>
    <t>P10313</t>
  </si>
  <si>
    <t>N27 9XK</t>
  </si>
  <si>
    <t>P10314</t>
  </si>
  <si>
    <t>M88 1RP</t>
  </si>
  <si>
    <t>P10315</t>
  </si>
  <si>
    <t>E17 8FJ</t>
  </si>
  <si>
    <t>P10316</t>
  </si>
  <si>
    <t>M91 8IC</t>
  </si>
  <si>
    <t>P10317</t>
  </si>
  <si>
    <t>M50 8BH</t>
  </si>
  <si>
    <t>P10318</t>
  </si>
  <si>
    <t>M74 9IF</t>
  </si>
  <si>
    <t>P10319</t>
  </si>
  <si>
    <t>M5 6PU</t>
  </si>
  <si>
    <t>P10320</t>
  </si>
  <si>
    <t>E92 5IA</t>
  </si>
  <si>
    <t>P10321</t>
  </si>
  <si>
    <t>E21 6BJ</t>
  </si>
  <si>
    <t>P10322</t>
  </si>
  <si>
    <t>B61 9QO</t>
  </si>
  <si>
    <t>P10323</t>
  </si>
  <si>
    <t>M87 3TI</t>
  </si>
  <si>
    <t>P10324</t>
  </si>
  <si>
    <t>B50 7LE</t>
  </si>
  <si>
    <t>P10325</t>
  </si>
  <si>
    <t>SW87 8MK</t>
  </si>
  <si>
    <t>P10326</t>
  </si>
  <si>
    <t>SW63 8HF</t>
  </si>
  <si>
    <t>P10327</t>
  </si>
  <si>
    <t>E57 7PI</t>
  </si>
  <si>
    <t>P10328</t>
  </si>
  <si>
    <t>N18 7HV</t>
  </si>
  <si>
    <t>P10329</t>
  </si>
  <si>
    <t>SW86 8PZ</t>
  </si>
  <si>
    <t>P10330</t>
  </si>
  <si>
    <t>N4 5IQ</t>
  </si>
  <si>
    <t>P10331</t>
  </si>
  <si>
    <t>M12 6LY</t>
  </si>
  <si>
    <t>P10332</t>
  </si>
  <si>
    <t>E30 4BI</t>
  </si>
  <si>
    <t>P10333</t>
  </si>
  <si>
    <t>N13 5US</t>
  </si>
  <si>
    <t>P10334</t>
  </si>
  <si>
    <t>E72 3GP</t>
  </si>
  <si>
    <t>P10335</t>
  </si>
  <si>
    <t>SW60 8QR</t>
  </si>
  <si>
    <t>P10336</t>
  </si>
  <si>
    <t>B48 3EJ</t>
  </si>
  <si>
    <t>P10337</t>
  </si>
  <si>
    <t>M77 3CL</t>
  </si>
  <si>
    <t>P10338</t>
  </si>
  <si>
    <t>B78 5ZX</t>
  </si>
  <si>
    <t>P10339</t>
  </si>
  <si>
    <t>B41 9CT</t>
  </si>
  <si>
    <t>P10340</t>
  </si>
  <si>
    <t>SW68 4AS</t>
  </si>
  <si>
    <t>P10341</t>
  </si>
  <si>
    <t>E79 3WX</t>
  </si>
  <si>
    <t>P10342</t>
  </si>
  <si>
    <t>E25 9EX</t>
  </si>
  <si>
    <t>P10343</t>
  </si>
  <si>
    <t>N82 6OC</t>
  </si>
  <si>
    <t>P10344</t>
  </si>
  <si>
    <t>M20 9SG</t>
  </si>
  <si>
    <t>P10345</t>
  </si>
  <si>
    <t>SW2 3NP</t>
  </si>
  <si>
    <t>P10346</t>
  </si>
  <si>
    <t>B52 1FQ</t>
  </si>
  <si>
    <t>P10347</t>
  </si>
  <si>
    <t>N88 9YL</t>
  </si>
  <si>
    <t>P10348</t>
  </si>
  <si>
    <t>N99 4LL</t>
  </si>
  <si>
    <t>P10349</t>
  </si>
  <si>
    <t>SW88 2UM</t>
  </si>
  <si>
    <t>P10350</t>
  </si>
  <si>
    <t>B98 7VC</t>
  </si>
  <si>
    <t>P10351</t>
  </si>
  <si>
    <t>SW94 1RX</t>
  </si>
  <si>
    <t>P10352</t>
  </si>
  <si>
    <t>SW82 5NM</t>
  </si>
  <si>
    <t>P10353</t>
  </si>
  <si>
    <t>N3 7VE</t>
  </si>
  <si>
    <t>P10354</t>
  </si>
  <si>
    <t>N87 7IM</t>
  </si>
  <si>
    <t>P10355</t>
  </si>
  <si>
    <t>E51 4GD</t>
  </si>
  <si>
    <t>P10356</t>
  </si>
  <si>
    <t>E69 6YO</t>
  </si>
  <si>
    <t>P10357</t>
  </si>
  <si>
    <t>SW93 4FP</t>
  </si>
  <si>
    <t>P10358</t>
  </si>
  <si>
    <t>M34 9DW</t>
  </si>
  <si>
    <t>P10359</t>
  </si>
  <si>
    <t>E59 8YH</t>
  </si>
  <si>
    <t>P10360</t>
  </si>
  <si>
    <t>SW50 5UH</t>
  </si>
  <si>
    <t>P10361</t>
  </si>
  <si>
    <t>E44 4JG</t>
  </si>
  <si>
    <t>P10362</t>
  </si>
  <si>
    <t>B32 4IZ</t>
  </si>
  <si>
    <t>P10363</t>
  </si>
  <si>
    <t>M26 2RS</t>
  </si>
  <si>
    <t>P10364</t>
  </si>
  <si>
    <t>E97 3PA</t>
  </si>
  <si>
    <t>P10365</t>
  </si>
  <si>
    <t>N99 7ZF</t>
  </si>
  <si>
    <t>P10366</t>
  </si>
  <si>
    <t>SW83 3OY</t>
  </si>
  <si>
    <t>P10367</t>
  </si>
  <si>
    <t>M32 5TS</t>
  </si>
  <si>
    <t>P10368</t>
  </si>
  <si>
    <t>N99 2ZW</t>
  </si>
  <si>
    <t>P10369</t>
  </si>
  <si>
    <t>SW74 6UC</t>
  </si>
  <si>
    <t>P10370</t>
  </si>
  <si>
    <t>B38 1TM</t>
  </si>
  <si>
    <t>P10371</t>
  </si>
  <si>
    <t>SW30 4GJ</t>
  </si>
  <si>
    <t>P10372</t>
  </si>
  <si>
    <t>E63 6XK</t>
  </si>
  <si>
    <t>P10373</t>
  </si>
  <si>
    <t>E19 4FS</t>
  </si>
  <si>
    <t>P10374</t>
  </si>
  <si>
    <t>SW80 6AZ</t>
  </si>
  <si>
    <t>P10375</t>
  </si>
  <si>
    <t>M33 3KV</t>
  </si>
  <si>
    <t>P10376</t>
  </si>
  <si>
    <t>M48 3SX</t>
  </si>
  <si>
    <t>P10377</t>
  </si>
  <si>
    <t>SW44 8YR</t>
  </si>
  <si>
    <t>P10378</t>
  </si>
  <si>
    <t>E26 6QT</t>
  </si>
  <si>
    <t>P10379</t>
  </si>
  <si>
    <t>E10 5WR</t>
  </si>
  <si>
    <t>P10380</t>
  </si>
  <si>
    <t>N87 5YK</t>
  </si>
  <si>
    <t>P10381</t>
  </si>
  <si>
    <t>B14 2XT</t>
  </si>
  <si>
    <t>P10382</t>
  </si>
  <si>
    <t>B78 7TQ</t>
  </si>
  <si>
    <t>P10383</t>
  </si>
  <si>
    <t>N73 3AU</t>
  </si>
  <si>
    <t>P10384</t>
  </si>
  <si>
    <t>SW46 9XZ</t>
  </si>
  <si>
    <t>P10385</t>
  </si>
  <si>
    <t>N51 2GC</t>
  </si>
  <si>
    <t>P10386</t>
  </si>
  <si>
    <t>SW32 1TP</t>
  </si>
  <si>
    <t>P10387</t>
  </si>
  <si>
    <t>N13 9WP</t>
  </si>
  <si>
    <t>P10388</t>
  </si>
  <si>
    <t>B33 1WT</t>
  </si>
  <si>
    <t>P10389</t>
  </si>
  <si>
    <t>N24 1UP</t>
  </si>
  <si>
    <t>P10390</t>
  </si>
  <si>
    <t>SW3 1RB</t>
  </si>
  <si>
    <t>P10391</t>
  </si>
  <si>
    <t>M4 1RZ</t>
  </si>
  <si>
    <t>P10392</t>
  </si>
  <si>
    <t>E62 2QC</t>
  </si>
  <si>
    <t>P10393</t>
  </si>
  <si>
    <t>SW76 9FU</t>
  </si>
  <si>
    <t>P10394</t>
  </si>
  <si>
    <t>N89 2JA</t>
  </si>
  <si>
    <t>P10395</t>
  </si>
  <si>
    <t>B2 7BW</t>
  </si>
  <si>
    <t>P10396</t>
  </si>
  <si>
    <t>B5 8PD</t>
  </si>
  <si>
    <t>P10397</t>
  </si>
  <si>
    <t>N38 9CH</t>
  </si>
  <si>
    <t>P10398</t>
  </si>
  <si>
    <t>M99 2HY</t>
  </si>
  <si>
    <t>P10399</t>
  </si>
  <si>
    <t>M39 3BO</t>
  </si>
  <si>
    <t>P10400</t>
  </si>
  <si>
    <t>M48 5GM</t>
  </si>
  <si>
    <t>P10401</t>
  </si>
  <si>
    <t>SW60 4XE</t>
  </si>
  <si>
    <t>P10402</t>
  </si>
  <si>
    <t>E72 3EF</t>
  </si>
  <si>
    <t>P10403</t>
  </si>
  <si>
    <t>M86 6KC</t>
  </si>
  <si>
    <t>P10404</t>
  </si>
  <si>
    <t>N7 4WJ</t>
  </si>
  <si>
    <t>P10405</t>
  </si>
  <si>
    <t>N45 5RG</t>
  </si>
  <si>
    <t>P10406</t>
  </si>
  <si>
    <t>M81 6ZV</t>
  </si>
  <si>
    <t>P10407</t>
  </si>
  <si>
    <t>B1 2FG</t>
  </si>
  <si>
    <t>P10408</t>
  </si>
  <si>
    <t>E8 2PL</t>
  </si>
  <si>
    <t>P10409</t>
  </si>
  <si>
    <t>M60 8KZ</t>
  </si>
  <si>
    <t>P10410</t>
  </si>
  <si>
    <t>E64 7FJ</t>
  </si>
  <si>
    <t>P10411</t>
  </si>
  <si>
    <t>M79 2TE</t>
  </si>
  <si>
    <t>P10412</t>
  </si>
  <si>
    <t>B31 4PS</t>
  </si>
  <si>
    <t>P10413</t>
  </si>
  <si>
    <t>M41 9GZ</t>
  </si>
  <si>
    <t>P10414</t>
  </si>
  <si>
    <t>SW59 5GW</t>
  </si>
  <si>
    <t>P10415</t>
  </si>
  <si>
    <t>N64 2CE</t>
  </si>
  <si>
    <t>P10416</t>
  </si>
  <si>
    <t>E83 9AB</t>
  </si>
  <si>
    <t>P10417</t>
  </si>
  <si>
    <t>B48 9FM</t>
  </si>
  <si>
    <t>P10418</t>
  </si>
  <si>
    <t>E50 2XG</t>
  </si>
  <si>
    <t>P10419</t>
  </si>
  <si>
    <t>E79 2AA</t>
  </si>
  <si>
    <t>P10420</t>
  </si>
  <si>
    <t>M23 1DC</t>
  </si>
  <si>
    <t>P10421</t>
  </si>
  <si>
    <t>N35 1VI</t>
  </si>
  <si>
    <t>P10422</t>
  </si>
  <si>
    <t>B52 6OL</t>
  </si>
  <si>
    <t>P10423</t>
  </si>
  <si>
    <t>E54 2QR</t>
  </si>
  <si>
    <t>P10424</t>
  </si>
  <si>
    <t>E65 2PE</t>
  </si>
  <si>
    <t>P10425</t>
  </si>
  <si>
    <t>N39 7TS</t>
  </si>
  <si>
    <t>P10426</t>
  </si>
  <si>
    <t>SW31 8BK</t>
  </si>
  <si>
    <t>P10427</t>
  </si>
  <si>
    <t>B43 7DV</t>
  </si>
  <si>
    <t>P10428</t>
  </si>
  <si>
    <t>SW90 7AW</t>
  </si>
  <si>
    <t>P10429</t>
  </si>
  <si>
    <t>N75 7DR</t>
  </si>
  <si>
    <t>P10430</t>
  </si>
  <si>
    <t>B82 9ZC</t>
  </si>
  <si>
    <t>P10431</t>
  </si>
  <si>
    <t>N96 3PT</t>
  </si>
  <si>
    <t>P10432</t>
  </si>
  <si>
    <t>B88 3PK</t>
  </si>
  <si>
    <t>P10433</t>
  </si>
  <si>
    <t>N88 6WR</t>
  </si>
  <si>
    <t>P10434</t>
  </si>
  <si>
    <t>N33 8OR</t>
  </si>
  <si>
    <t>P10435</t>
  </si>
  <si>
    <t>B93 5JN</t>
  </si>
  <si>
    <t>P10436</t>
  </si>
  <si>
    <t>SW14 1HV</t>
  </si>
  <si>
    <t>P10437</t>
  </si>
  <si>
    <t>N48 3WC</t>
  </si>
  <si>
    <t>P10438</t>
  </si>
  <si>
    <t>SW45 4IL</t>
  </si>
  <si>
    <t>P10439</t>
  </si>
  <si>
    <t>M40 3QC</t>
  </si>
  <si>
    <t>P10440</t>
  </si>
  <si>
    <t>SW22 5QA</t>
  </si>
  <si>
    <t>P10441</t>
  </si>
  <si>
    <t>M68 8UQ</t>
  </si>
  <si>
    <t>P10442</t>
  </si>
  <si>
    <t>M32 3AH</t>
  </si>
  <si>
    <t>P10443</t>
  </si>
  <si>
    <t>E46 6GJ</t>
  </si>
  <si>
    <t>P10444</t>
  </si>
  <si>
    <t>SW85 8XX</t>
  </si>
  <si>
    <t>P10445</t>
  </si>
  <si>
    <t>N87 8DC</t>
  </si>
  <si>
    <t>P10446</t>
  </si>
  <si>
    <t>E76 5ZI</t>
  </si>
  <si>
    <t>P10447</t>
  </si>
  <si>
    <t>M61 1KL</t>
  </si>
  <si>
    <t>P10448</t>
  </si>
  <si>
    <t>M23 1EJ</t>
  </si>
  <si>
    <t>P10449</t>
  </si>
  <si>
    <t>N83 9DP</t>
  </si>
  <si>
    <t>P10450</t>
  </si>
  <si>
    <t>M17 3XC</t>
  </si>
  <si>
    <t>P10451</t>
  </si>
  <si>
    <t>M18 6XW</t>
  </si>
  <si>
    <t>P10452</t>
  </si>
  <si>
    <t>E62 9GG</t>
  </si>
  <si>
    <t>P10453</t>
  </si>
  <si>
    <t>B74 4KS</t>
  </si>
  <si>
    <t>P10454</t>
  </si>
  <si>
    <t>M75 4RV</t>
  </si>
  <si>
    <t>P10455</t>
  </si>
  <si>
    <t>SW40 9WR</t>
  </si>
  <si>
    <t>P10456</t>
  </si>
  <si>
    <t>B99 2CF</t>
  </si>
  <si>
    <t>P10457</t>
  </si>
  <si>
    <t>E58 4AS</t>
  </si>
  <si>
    <t>P10458</t>
  </si>
  <si>
    <t>E8 5VE</t>
  </si>
  <si>
    <t>P10459</t>
  </si>
  <si>
    <t>N7 5JY</t>
  </si>
  <si>
    <t>P10460</t>
  </si>
  <si>
    <t>N24 2UZ</t>
  </si>
  <si>
    <t>P10461</t>
  </si>
  <si>
    <t>SW83 8AD</t>
  </si>
  <si>
    <t>P10462</t>
  </si>
  <si>
    <t>M19 3XU</t>
  </si>
  <si>
    <t>P10463</t>
  </si>
  <si>
    <t>N53 2JE</t>
  </si>
  <si>
    <t>P10464</t>
  </si>
  <si>
    <t>SW67 5WD</t>
  </si>
  <si>
    <t>P10465</t>
  </si>
  <si>
    <t>B26 7VT</t>
  </si>
  <si>
    <t>P10466</t>
  </si>
  <si>
    <t>E88 9OW</t>
  </si>
  <si>
    <t>P10467</t>
  </si>
  <si>
    <t>M43 2CQ</t>
  </si>
  <si>
    <t>P10468</t>
  </si>
  <si>
    <t>N5 2XX</t>
  </si>
  <si>
    <t>P10469</t>
  </si>
  <si>
    <t>B69 4ON</t>
  </si>
  <si>
    <t>P10470</t>
  </si>
  <si>
    <t>N31 1QT</t>
  </si>
  <si>
    <t>P10471</t>
  </si>
  <si>
    <t>SW44 1BY</t>
  </si>
  <si>
    <t>P10472</t>
  </si>
  <si>
    <t>E70 3TV</t>
  </si>
  <si>
    <t>P10473</t>
  </si>
  <si>
    <t>B16 4NE</t>
  </si>
  <si>
    <t>P10474</t>
  </si>
  <si>
    <t>E35 1DM</t>
  </si>
  <si>
    <t>P10475</t>
  </si>
  <si>
    <t>SW53 5FA</t>
  </si>
  <si>
    <t>P10476</t>
  </si>
  <si>
    <t>N38 4XA</t>
  </si>
  <si>
    <t>P10477</t>
  </si>
  <si>
    <t>E38 4GG</t>
  </si>
  <si>
    <t>P10478</t>
  </si>
  <si>
    <t>SW29 1NB</t>
  </si>
  <si>
    <t>P10479</t>
  </si>
  <si>
    <t>SW94 5TD</t>
  </si>
  <si>
    <t>P10480</t>
  </si>
  <si>
    <t>N78 9EC</t>
  </si>
  <si>
    <t>P10481</t>
  </si>
  <si>
    <t>N8 9GL</t>
  </si>
  <si>
    <t>P10482</t>
  </si>
  <si>
    <t>B34 5XB</t>
  </si>
  <si>
    <t>P10483</t>
  </si>
  <si>
    <t>B24 1WO</t>
  </si>
  <si>
    <t>P10484</t>
  </si>
  <si>
    <t>E24 4JY</t>
  </si>
  <si>
    <t>P10485</t>
  </si>
  <si>
    <t>B97 1JA</t>
  </si>
  <si>
    <t>P10486</t>
  </si>
  <si>
    <t>N99 4ZQ</t>
  </si>
  <si>
    <t>P10487</t>
  </si>
  <si>
    <t>E11 4TK</t>
  </si>
  <si>
    <t>P10488</t>
  </si>
  <si>
    <t>B37 7FB</t>
  </si>
  <si>
    <t>P10489</t>
  </si>
  <si>
    <t>N12 3KL</t>
  </si>
  <si>
    <t>P10490</t>
  </si>
  <si>
    <t>B38 5IS</t>
  </si>
  <si>
    <t>P10491</t>
  </si>
  <si>
    <t>E21 2PS</t>
  </si>
  <si>
    <t>P10492</t>
  </si>
  <si>
    <t>M90 9XU</t>
  </si>
  <si>
    <t>P10493</t>
  </si>
  <si>
    <t>B58 2VI</t>
  </si>
  <si>
    <t>P10494</t>
  </si>
  <si>
    <t>M93 5QJ</t>
  </si>
  <si>
    <t>P10495</t>
  </si>
  <si>
    <t>M36 7YC</t>
  </si>
  <si>
    <t>P10496</t>
  </si>
  <si>
    <t>B43 8SB</t>
  </si>
  <si>
    <t>P10497</t>
  </si>
  <si>
    <t>B14 6MF</t>
  </si>
  <si>
    <t>P10498</t>
  </si>
  <si>
    <t>B34 7RK</t>
  </si>
  <si>
    <t>P10499</t>
  </si>
  <si>
    <t>M14 6KG</t>
  </si>
  <si>
    <t>P10500</t>
  </si>
  <si>
    <t>M79 9DW</t>
  </si>
  <si>
    <t>Gender</t>
  </si>
  <si>
    <t>Satisfaction Score</t>
  </si>
  <si>
    <t>Lab Cost</t>
  </si>
  <si>
    <t>Room Cost</t>
  </si>
  <si>
    <t>Medication Cost</t>
  </si>
  <si>
    <t>Treatment Cost</t>
  </si>
  <si>
    <t>Insurance Type</t>
  </si>
  <si>
    <t>Treatment Type</t>
  </si>
  <si>
    <t>Admission Date</t>
  </si>
  <si>
    <t>Discharge Date</t>
  </si>
  <si>
    <t>Date of Birth</t>
  </si>
  <si>
    <t>Patient ID</t>
  </si>
  <si>
    <t>Marital Status</t>
  </si>
  <si>
    <t>Severity Level</t>
  </si>
  <si>
    <t>Patient Name</t>
  </si>
  <si>
    <t>Dr. Wilson</t>
  </si>
  <si>
    <t>Dr. Smith</t>
  </si>
  <si>
    <t>Dr. Hall</t>
  </si>
  <si>
    <t>Dr. Green</t>
  </si>
  <si>
    <t>Covid-19</t>
  </si>
  <si>
    <t>Dr. White</t>
  </si>
  <si>
    <t>Dr. Jones</t>
  </si>
  <si>
    <t>Unknown</t>
  </si>
  <si>
    <t>Dr. Brown</t>
  </si>
  <si>
    <t>Dr. Thomas</t>
  </si>
  <si>
    <t>Dr. Taylor</t>
  </si>
  <si>
    <t>Dr. Martin</t>
  </si>
  <si>
    <t>Length of Stay</t>
  </si>
  <si>
    <t>Total Cost</t>
  </si>
  <si>
    <t>Cost Per Day</t>
  </si>
  <si>
    <t>Admission Month</t>
  </si>
  <si>
    <t>Admission Year</t>
  </si>
  <si>
    <t>Admission Month &amp; Year</t>
  </si>
  <si>
    <t>Day of the Week</t>
  </si>
  <si>
    <t>Age Group</t>
  </si>
  <si>
    <t>Length of Stay Category</t>
  </si>
  <si>
    <t>KPI CARDS</t>
  </si>
  <si>
    <t>Total Patients</t>
  </si>
  <si>
    <t>Total Revenue</t>
  </si>
  <si>
    <t>Average Length of Stay</t>
  </si>
  <si>
    <t>Average Satisfaction Score</t>
  </si>
  <si>
    <t>CHARTS</t>
  </si>
  <si>
    <t>Admissions by Diagnosis</t>
  </si>
  <si>
    <t>Revenue by Diagnosis</t>
  </si>
  <si>
    <t>Average Length of Stay by Diagnosis</t>
  </si>
  <si>
    <t>Average Satisfaction by Diagnosis</t>
  </si>
  <si>
    <t>TARTGETS</t>
  </si>
  <si>
    <t>SLICER</t>
  </si>
  <si>
    <t>Gotten from Patient ID</t>
  </si>
  <si>
    <t>Gotten from Total Cost</t>
  </si>
  <si>
    <t>Gotten from Length of Stay</t>
  </si>
  <si>
    <t>Gotten from Satisfaction Score</t>
  </si>
  <si>
    <t>Gotten from Patient ID and Diagnosis</t>
  </si>
  <si>
    <t>Gotten from Total Cost and Diagnosis</t>
  </si>
  <si>
    <t>Gotten from Length of Stay and Diagnosis</t>
  </si>
  <si>
    <t>Gotten from Satisfaction Score and Diagnosis</t>
  </si>
  <si>
    <t>Gotten from Diagnosis</t>
  </si>
  <si>
    <t>Sum of Total Cost</t>
  </si>
  <si>
    <t>Count of Patient ID</t>
  </si>
  <si>
    <t>Average Satisfactory Score</t>
  </si>
  <si>
    <t>Average of Satisfaction Score</t>
  </si>
  <si>
    <t>Total Lenght of Stay</t>
  </si>
  <si>
    <t>Average of Length of Stay</t>
  </si>
  <si>
    <t>Metrics</t>
  </si>
  <si>
    <t>Actions</t>
  </si>
  <si>
    <t>Planned Target</t>
  </si>
  <si>
    <t>% of Target Achieved</t>
  </si>
  <si>
    <t>PIVOT TABLES AND HELPER COLUMNS</t>
  </si>
  <si>
    <t>Admission by Diagnosis</t>
  </si>
  <si>
    <t>Row Labels</t>
  </si>
  <si>
    <t>Helper Column</t>
  </si>
  <si>
    <t>Top Bar</t>
  </si>
  <si>
    <t>Other Bar</t>
  </si>
  <si>
    <t>Diagnosis and Helper Column Cell References</t>
  </si>
  <si>
    <t>Diagnosis Total Revenue and Helper Column Cell References</t>
  </si>
  <si>
    <t>Average Length of Stay and Helper Column Cell References</t>
  </si>
  <si>
    <t>SLICERS</t>
  </si>
  <si>
    <t>Date</t>
  </si>
  <si>
    <t xml:space="preserve">  Divorced</t>
  </si>
  <si>
    <t xml:space="preserve">  Sheffield</t>
  </si>
  <si>
    <t>migraine</t>
  </si>
  <si>
    <t>dr Wilson</t>
  </si>
  <si>
    <t>emergency</t>
  </si>
  <si>
    <t xml:space="preserve">   kidney Disease</t>
  </si>
  <si>
    <t>oncolog</t>
  </si>
  <si>
    <t xml:space="preserve">  Dr Smith</t>
  </si>
  <si>
    <t>Dr Hall</t>
  </si>
  <si>
    <t xml:space="preserve">   Manager</t>
  </si>
  <si>
    <t>FLU</t>
  </si>
  <si>
    <t>Dr Wilson</t>
  </si>
  <si>
    <t>asthma</t>
  </si>
  <si>
    <t>Dr Green</t>
  </si>
  <si>
    <t>COVID-19</t>
  </si>
  <si>
    <t>Dr White</t>
  </si>
  <si>
    <t xml:space="preserve">   Emergency</t>
  </si>
  <si>
    <t>Dr Jones</t>
  </si>
  <si>
    <t>Dr Brown</t>
  </si>
  <si>
    <t>Dr Thomas</t>
  </si>
  <si>
    <t>Dr Taylor</t>
  </si>
  <si>
    <t>ARTHRITIS</t>
  </si>
  <si>
    <t>Dr Martin</t>
  </si>
  <si>
    <t>Dr Smith</t>
  </si>
  <si>
    <t>MIGRAINE</t>
  </si>
  <si>
    <t>kidney disease</t>
  </si>
  <si>
    <t>cancer</t>
  </si>
  <si>
    <t>DIABETES</t>
  </si>
  <si>
    <t>covid-19</t>
  </si>
  <si>
    <t>ASTHMA</t>
  </si>
  <si>
    <t>diabetes</t>
  </si>
  <si>
    <t>HYPERTENSION</t>
  </si>
  <si>
    <t>pneumonia</t>
  </si>
  <si>
    <t>arthritis</t>
  </si>
  <si>
    <t>hypertension</t>
  </si>
  <si>
    <t>KIDNEY DISEASE</t>
  </si>
  <si>
    <t>flu</t>
  </si>
  <si>
    <t>CANCER</t>
  </si>
  <si>
    <t>Ethan Wilson</t>
  </si>
  <si>
    <t>Male</t>
  </si>
  <si>
    <t>Sarah Walker</t>
  </si>
  <si>
    <t>Female</t>
  </si>
  <si>
    <t>James Jones</t>
  </si>
  <si>
    <t>Sophia Wilson</t>
  </si>
  <si>
    <t>Ethan Taylor</t>
  </si>
  <si>
    <t>Charlotte Hall</t>
  </si>
  <si>
    <t>John Brown</t>
  </si>
  <si>
    <t>Emma Martin</t>
  </si>
  <si>
    <t>James Brown</t>
  </si>
  <si>
    <t>Emily Martin</t>
  </si>
  <si>
    <t>Lucas Hall</t>
  </si>
  <si>
    <t>Olivia Wood</t>
  </si>
  <si>
    <t>Benjamin Walker</t>
  </si>
  <si>
    <t>Lily Brown</t>
  </si>
  <si>
    <t>Henry White</t>
  </si>
  <si>
    <t>Ella Hall</t>
  </si>
  <si>
    <t>Noah Walker</t>
  </si>
  <si>
    <t>Sophia Martin</t>
  </si>
  <si>
    <t>Henry Thompson</t>
  </si>
  <si>
    <t>Emma Taylor</t>
  </si>
  <si>
    <t>Oliver Wilson</t>
  </si>
  <si>
    <t>Grace Evans</t>
  </si>
  <si>
    <t>Benjamin Z Walker</t>
  </si>
  <si>
    <t>Sarah Wood</t>
  </si>
  <si>
    <t>Samuel Wilson</t>
  </si>
  <si>
    <t>Freya Green</t>
  </si>
  <si>
    <t>Michael Robinson</t>
  </si>
  <si>
    <t>Chloe Evans</t>
  </si>
  <si>
    <t>Benjamin Martin</t>
  </si>
  <si>
    <t>Ella Taylor</t>
  </si>
  <si>
    <t>John Jones</t>
  </si>
  <si>
    <t>Lily Robinson</t>
  </si>
  <si>
    <t>Michael Jones</t>
  </si>
  <si>
    <t>Chloe Wilson</t>
  </si>
  <si>
    <t>Oliver Walker</t>
  </si>
  <si>
    <t>Mia Evans</t>
  </si>
  <si>
    <t>David Evans</t>
  </si>
  <si>
    <t>Grace Martin</t>
  </si>
  <si>
    <t>Ethan Walker</t>
  </si>
  <si>
    <t>Ella T Taylor</t>
  </si>
  <si>
    <t>Ethan White</t>
  </si>
  <si>
    <t>Emily Jones</t>
  </si>
  <si>
    <t>David Wood</t>
  </si>
  <si>
    <t>Isabella Walker</t>
  </si>
  <si>
    <t>Arthur Jones</t>
  </si>
  <si>
    <t>Amelia Thompson</t>
  </si>
  <si>
    <t>Leo Smith</t>
  </si>
  <si>
    <t>Olivia Smith</t>
  </si>
  <si>
    <t>Henry M Thompson</t>
  </si>
  <si>
    <t>Ava Taylor</t>
  </si>
  <si>
    <t>James Thompson</t>
  </si>
  <si>
    <t>Olivia Clarke</t>
  </si>
  <si>
    <t>Oliver Wood</t>
  </si>
  <si>
    <t>Sophia Walker</t>
  </si>
  <si>
    <t>David Jones</t>
  </si>
  <si>
    <t>Ella Walker</t>
  </si>
  <si>
    <t>Lucas S Hall</t>
  </si>
  <si>
    <t>Isabella Evans</t>
  </si>
  <si>
    <t>James Thomas</t>
  </si>
  <si>
    <t>Emily Clarke</t>
  </si>
  <si>
    <t>Michael Smith</t>
  </si>
  <si>
    <t>Chloe E Wilson</t>
  </si>
  <si>
    <t>Ethan Z White</t>
  </si>
  <si>
    <t>Amelia Hall</t>
  </si>
  <si>
    <t>Benjamin Taylor</t>
  </si>
  <si>
    <t>Isabella Green</t>
  </si>
  <si>
    <t>Benjamin Wood</t>
  </si>
  <si>
    <t>Emily Walker</t>
  </si>
  <si>
    <t>Samuel Brown</t>
  </si>
  <si>
    <t>Amelia Wilson</t>
  </si>
  <si>
    <t>Ethan Y Walker</t>
  </si>
  <si>
    <t>Amelia D Thompson</t>
  </si>
  <si>
    <t>Daniel Hall</t>
  </si>
  <si>
    <t>Sophia Wood</t>
  </si>
  <si>
    <t>John Walker</t>
  </si>
  <si>
    <t>Emily White</t>
  </si>
  <si>
    <t>Samuel U Wilson</t>
  </si>
  <si>
    <t>Ava Martin</t>
  </si>
  <si>
    <t>David Y Evans</t>
  </si>
  <si>
    <t>Sophia Brown</t>
  </si>
  <si>
    <t>Benjamin Thompson</t>
  </si>
  <si>
    <t>Mia Brown</t>
  </si>
  <si>
    <t>Michael Evans</t>
  </si>
  <si>
    <t>Freya Robinson</t>
  </si>
  <si>
    <t>James Smith</t>
  </si>
  <si>
    <t>Olivia Taylor</t>
  </si>
  <si>
    <t>Michael Clarke</t>
  </si>
  <si>
    <t>Chloe Taylor</t>
  </si>
  <si>
    <t>Henry Thomas</t>
  </si>
  <si>
    <t>Sophia Clarke</t>
  </si>
  <si>
    <t>Samuel White</t>
  </si>
  <si>
    <t>Ava Hall</t>
  </si>
  <si>
    <t>James Martin</t>
  </si>
  <si>
    <t>Ella Robinson</t>
  </si>
  <si>
    <t>Oliver Evans</t>
  </si>
  <si>
    <t>Mia Wood</t>
  </si>
  <si>
    <t>Michael H Jones</t>
  </si>
  <si>
    <t>Emma Thompson</t>
  </si>
  <si>
    <t>John S Jones</t>
  </si>
  <si>
    <t>Olivia Brown</t>
  </si>
  <si>
    <t>Michael H Smith</t>
  </si>
  <si>
    <t>Emma Smith</t>
  </si>
  <si>
    <t>Leo Thompson</t>
  </si>
  <si>
    <t>Emma Jones</t>
  </si>
  <si>
    <t>Daniel Clarke</t>
  </si>
  <si>
    <t>Olivia Thomas</t>
  </si>
  <si>
    <t>Lucas Clarke</t>
  </si>
  <si>
    <t>Olivia Z Clarke</t>
  </si>
  <si>
    <t>Oliver Martin</t>
  </si>
  <si>
    <t>Emma Wilson</t>
  </si>
  <si>
    <t>Ethan Hall</t>
  </si>
  <si>
    <t>Grace Hall</t>
  </si>
  <si>
    <t>Oliver X Wood</t>
  </si>
  <si>
    <t>Sarah Wilson</t>
  </si>
  <si>
    <t>John Green</t>
  </si>
  <si>
    <t>Ella Thompson</t>
  </si>
  <si>
    <t>Henry Wilson</t>
  </si>
  <si>
    <t>Olivia Martin</t>
  </si>
  <si>
    <t>James Wood</t>
  </si>
  <si>
    <t>Sophia Hall</t>
  </si>
  <si>
    <t>David Walker</t>
  </si>
  <si>
    <t>Mia Jones</t>
  </si>
  <si>
    <t>Leo Taylor</t>
  </si>
  <si>
    <t>Mia Wilson</t>
  </si>
  <si>
    <t>John C Brown</t>
  </si>
  <si>
    <t>Freya Jones</t>
  </si>
  <si>
    <t>David Hall</t>
  </si>
  <si>
    <t>Mia Clarke</t>
  </si>
  <si>
    <t>James Green</t>
  </si>
  <si>
    <t>Freya Smith</t>
  </si>
  <si>
    <t>David Green</t>
  </si>
  <si>
    <t>Sarah Green</t>
  </si>
  <si>
    <t>Daniel Wood</t>
  </si>
  <si>
    <t>Ava W Hall</t>
  </si>
  <si>
    <t>Lucas E Clarke</t>
  </si>
  <si>
    <t>Olivia Robinson</t>
  </si>
  <si>
    <t>James S Smith</t>
  </si>
  <si>
    <t>Ella Smith</t>
  </si>
  <si>
    <t>Lucas Thompson</t>
  </si>
  <si>
    <t>Sarah Smith</t>
  </si>
  <si>
    <t>Benjamin Clarke</t>
  </si>
  <si>
    <t>Emily B White</t>
  </si>
  <si>
    <t>Samuel Taylor</t>
  </si>
  <si>
    <t>Chloe White</t>
  </si>
  <si>
    <t>Michael Taylor</t>
  </si>
  <si>
    <t>Amelia Jones</t>
  </si>
  <si>
    <t>Oliver S Wilson</t>
  </si>
  <si>
    <t>Olivia T Smith</t>
  </si>
  <si>
    <t>Michael Hall</t>
  </si>
  <si>
    <t>Amelia I Thompson</t>
  </si>
  <si>
    <t>James H Thompson</t>
  </si>
  <si>
    <t>Ava Green</t>
  </si>
  <si>
    <t>David Robinson</t>
  </si>
  <si>
    <t>Mia Thompson</t>
  </si>
  <si>
    <t>Arthur Taylor</t>
  </si>
  <si>
    <t>Sarah T Wood</t>
  </si>
  <si>
    <t>Benjamin Wilson</t>
  </si>
  <si>
    <t>Emma Q Martin</t>
  </si>
  <si>
    <t>Daniel Thomas</t>
  </si>
  <si>
    <t>Freya Evans</t>
  </si>
  <si>
    <t>Arthur H Taylor</t>
  </si>
  <si>
    <t>Grace Robinson</t>
  </si>
  <si>
    <t>David R Wood</t>
  </si>
  <si>
    <t>Ella T Robinson</t>
  </si>
  <si>
    <t>Henry Brown</t>
  </si>
  <si>
    <t>Amelia Robinson</t>
  </si>
  <si>
    <t>Arthur Wilson</t>
  </si>
  <si>
    <t>Freya Thomas</t>
  </si>
  <si>
    <t>Daniel Wilson</t>
  </si>
  <si>
    <t>Freya Wilson</t>
  </si>
  <si>
    <t>Lucas Thomas</t>
  </si>
  <si>
    <t>Ava Robinson</t>
  </si>
  <si>
    <t>Benjamin W Martin</t>
  </si>
  <si>
    <t>Grace V Martin</t>
  </si>
  <si>
    <t>Ethan Q Walker</t>
  </si>
  <si>
    <t>Mia Walker</t>
  </si>
  <si>
    <t>Arthur Smith</t>
  </si>
  <si>
    <t>Emma Hall</t>
  </si>
  <si>
    <t>Leo Walker</t>
  </si>
  <si>
    <t>Sarah Brown</t>
  </si>
  <si>
    <t>Noah Thomas</t>
  </si>
  <si>
    <t>Amelia Walker</t>
  </si>
  <si>
    <t>Lucas R Hall</t>
  </si>
  <si>
    <t>Sarah C Wilson</t>
  </si>
  <si>
    <t>Arthur Thomas</t>
  </si>
  <si>
    <t>Emily Smith</t>
  </si>
  <si>
    <t>Leo Evans</t>
  </si>
  <si>
    <t>Charlotte Thomas</t>
  </si>
  <si>
    <t>Oliver Thomas</t>
  </si>
  <si>
    <t>Sarah Robinson</t>
  </si>
  <si>
    <t>Noah Smith</t>
  </si>
  <si>
    <t>Freya G Evans</t>
  </si>
  <si>
    <t>Ethan Jones</t>
  </si>
  <si>
    <t>Amelia L Wilson</t>
  </si>
  <si>
    <t>Henry Hall</t>
  </si>
  <si>
    <t>Charlotte H Thomas</t>
  </si>
  <si>
    <t>Leo White</t>
  </si>
  <si>
    <t>Lily White</t>
  </si>
  <si>
    <t>Arthur Hall</t>
  </si>
  <si>
    <t>Sarah White</t>
  </si>
  <si>
    <t>Lucas Z Thompson</t>
  </si>
  <si>
    <t>Freya Hall</t>
  </si>
  <si>
    <t>Henry Jones</t>
  </si>
  <si>
    <t>Ava White</t>
  </si>
  <si>
    <t>Henry M Wilson</t>
  </si>
  <si>
    <t>Chloe Smith</t>
  </si>
  <si>
    <t>Leo Clarke</t>
  </si>
  <si>
    <t>Olivia O Martin</t>
  </si>
  <si>
    <t>Noah Robinson</t>
  </si>
  <si>
    <t>Chloe Jones</t>
  </si>
  <si>
    <t>James V Brown</t>
  </si>
  <si>
    <t>Olivia Green</t>
  </si>
  <si>
    <t>Noah C Walker</t>
  </si>
  <si>
    <t>Lily Walker</t>
  </si>
  <si>
    <t>Noah Green</t>
  </si>
  <si>
    <t>Amelia A Thompson</t>
  </si>
  <si>
    <t>Michael Walker</t>
  </si>
  <si>
    <t>Sophia B Walker</t>
  </si>
  <si>
    <t>Michael L Hall</t>
  </si>
  <si>
    <t>Ella N Thompson</t>
  </si>
  <si>
    <t>Benjamin M Wilson</t>
  </si>
  <si>
    <t>Freya Martin</t>
  </si>
  <si>
    <t>Daniel Smith</t>
  </si>
  <si>
    <t>Ella A Hall</t>
  </si>
  <si>
    <t>Samuel Martin</t>
  </si>
  <si>
    <t>Grace C Hall</t>
  </si>
  <si>
    <t>Ethan Thompson</t>
  </si>
  <si>
    <t>Charlotte Thompson</t>
  </si>
  <si>
    <t>Ethan X Wilson</t>
  </si>
  <si>
    <t>Freya Q Robinson</t>
  </si>
  <si>
    <t>Daniel K Hall</t>
  </si>
  <si>
    <t>Isabella Robinson</t>
  </si>
  <si>
    <t>Samuel Thomas</t>
  </si>
  <si>
    <t>Olivia Hall</t>
  </si>
  <si>
    <t>Ethan Green</t>
  </si>
  <si>
    <t>Amelia White</t>
  </si>
  <si>
    <t>Benjamin Robinson</t>
  </si>
  <si>
    <t>Isabella Brown</t>
  </si>
  <si>
    <t>Daniel Robinson</t>
  </si>
  <si>
    <t>Olivia Z Hall</t>
  </si>
  <si>
    <t>Benjamin O Thompson</t>
  </si>
  <si>
    <t>Mia V Wood</t>
  </si>
  <si>
    <t>James Clarke</t>
  </si>
  <si>
    <t>Lily V White</t>
  </si>
  <si>
    <t>Michael Q Robinson</t>
  </si>
  <si>
    <t>Amelia C Thompson</t>
  </si>
  <si>
    <t>Leo Jones</t>
  </si>
  <si>
    <t>Amelia H Robinson</t>
  </si>
  <si>
    <t>Henry Martin</t>
  </si>
  <si>
    <t>Sophia B Brown</t>
  </si>
  <si>
    <t>James T Clarke</t>
  </si>
  <si>
    <t>Chloe O Taylor</t>
  </si>
  <si>
    <t>Oliver W Martin</t>
  </si>
  <si>
    <t>Ella Green</t>
  </si>
  <si>
    <t>George Green</t>
  </si>
  <si>
    <t>Olivia U Thomas</t>
  </si>
  <si>
    <t>Lucas Brown</t>
  </si>
  <si>
    <t>Freya Y Wilson</t>
  </si>
  <si>
    <t>Oliver Jones</t>
  </si>
  <si>
    <t>Sophia B Wood</t>
  </si>
  <si>
    <t>Samuel Jones</t>
  </si>
  <si>
    <t>Freya O Wilson</t>
  </si>
  <si>
    <t>David V Wood</t>
  </si>
  <si>
    <t>Emily Thompson</t>
  </si>
  <si>
    <t>Henry Wood</t>
  </si>
  <si>
    <t>Charlotte R Hall</t>
  </si>
  <si>
    <t>George White</t>
  </si>
  <si>
    <t>Ella Clarke</t>
  </si>
  <si>
    <t>George Walker</t>
  </si>
  <si>
    <t>Lily Jones</t>
  </si>
  <si>
    <t>Leo Y Walker</t>
  </si>
  <si>
    <t>Lily Clarke</t>
  </si>
  <si>
    <t>Ethan I Jones</t>
  </si>
  <si>
    <t>Mia Taylor</t>
  </si>
  <si>
    <t>Lucas Robinson</t>
  </si>
  <si>
    <t>Olivia Walker</t>
  </si>
  <si>
    <t>Noah Thompson</t>
  </si>
  <si>
    <t>Freya Taylor</t>
  </si>
  <si>
    <t>David Thomas</t>
  </si>
  <si>
    <t>Olivia W Green</t>
  </si>
  <si>
    <t>David Martin</t>
  </si>
  <si>
    <t>Emma N Hall</t>
  </si>
  <si>
    <t>Noah Wood</t>
  </si>
  <si>
    <t>Isabella Smith</t>
  </si>
  <si>
    <t>James Hall</t>
  </si>
  <si>
    <t>Isabella Y Brown</t>
  </si>
  <si>
    <t>Benjamin Green</t>
  </si>
  <si>
    <t>Mia L Brown</t>
  </si>
  <si>
    <t>Daniel Green</t>
  </si>
  <si>
    <t>Chloe Hall</t>
  </si>
  <si>
    <t>Samuel P Jones</t>
  </si>
  <si>
    <t>Olivia N Walker</t>
  </si>
  <si>
    <t>George Brown</t>
  </si>
  <si>
    <t>Isabella Thompson</t>
  </si>
  <si>
    <t>Ethan X Green</t>
  </si>
  <si>
    <t>Sophia E Wood</t>
  </si>
  <si>
    <t>Benjamin Brown</t>
  </si>
  <si>
    <t>Freya S Green</t>
  </si>
  <si>
    <t>Benjamin C Brown</t>
  </si>
  <si>
    <t>Amelia E Hall</t>
  </si>
  <si>
    <t>Leo Wood</t>
  </si>
  <si>
    <t>Sophia Smith</t>
  </si>
  <si>
    <t>Daniel K Green</t>
  </si>
  <si>
    <t>Olivia K Wood</t>
  </si>
  <si>
    <t>Noah I Green</t>
  </si>
  <si>
    <t>Lily Hall</t>
  </si>
  <si>
    <t>Daniel Taylor</t>
  </si>
  <si>
    <t>Mia X Brown</t>
  </si>
  <si>
    <t>Samuel Smith</t>
  </si>
  <si>
    <t>Grace Jones</t>
  </si>
  <si>
    <t>Ethan Y Taylor</t>
  </si>
  <si>
    <t>Amelia Smith</t>
  </si>
  <si>
    <t>Henry H Brown</t>
  </si>
  <si>
    <t>Olivia T Brown</t>
  </si>
  <si>
    <t>David E Jones</t>
  </si>
  <si>
    <t>Mia S Wilson</t>
  </si>
  <si>
    <t>James W Wood</t>
  </si>
  <si>
    <t>Ava Evans</t>
  </si>
  <si>
    <t>David Wilson</t>
  </si>
  <si>
    <t>Lily J White</t>
  </si>
  <si>
    <t>Michael Brown</t>
  </si>
  <si>
    <t>Freya S Robinson</t>
  </si>
  <si>
    <t>Ethan M Green</t>
  </si>
  <si>
    <t>Ella Martin</t>
  </si>
  <si>
    <t>Michael D Jones</t>
  </si>
  <si>
    <t>Ella V Robinson</t>
  </si>
  <si>
    <t>Benjamin Z Wilson</t>
  </si>
  <si>
    <t>Charlotte Smith</t>
  </si>
  <si>
    <t>Noah Hall</t>
  </si>
  <si>
    <t>Amelia Evans</t>
  </si>
  <si>
    <t>Michael Thompson</t>
  </si>
  <si>
    <t>Sarah Hall</t>
  </si>
  <si>
    <t>Leo D Clarke</t>
  </si>
  <si>
    <t>Isabella U Evans</t>
  </si>
  <si>
    <t>Arthur Wood</t>
  </si>
  <si>
    <t>Ella Thomas</t>
  </si>
  <si>
    <t>Oliver White</t>
  </si>
  <si>
    <t>Ella T Walker</t>
  </si>
  <si>
    <t>Henry Clarke</t>
  </si>
  <si>
    <t>Mia Hall</t>
  </si>
  <si>
    <t>Leo K Walker</t>
  </si>
  <si>
    <t>Chloe C Jones</t>
  </si>
  <si>
    <t>Daniel H Wood</t>
  </si>
  <si>
    <t>Lily Wood</t>
  </si>
  <si>
    <t>Benjamin K Green</t>
  </si>
  <si>
    <t>Sarah Clarke</t>
  </si>
  <si>
    <t>Leo F Thompson</t>
  </si>
  <si>
    <t>Mia Martin</t>
  </si>
  <si>
    <t>Noah K Walker</t>
  </si>
  <si>
    <t>Ava Walker</t>
  </si>
  <si>
    <t>Samuel Q Brown</t>
  </si>
  <si>
    <t>Olivia H Taylor</t>
  </si>
  <si>
    <t>Lucas P Hall</t>
  </si>
  <si>
    <t>Emily W Jones</t>
  </si>
  <si>
    <t>George Clarke</t>
  </si>
  <si>
    <t>Mia C Brown</t>
  </si>
  <si>
    <t>Daniel Jones</t>
  </si>
  <si>
    <t>Isabella Jones</t>
  </si>
  <si>
    <t>Daniel Evans</t>
  </si>
  <si>
    <t>Mia N Evans</t>
  </si>
  <si>
    <t>Lucas L Thompson</t>
  </si>
  <si>
    <t>Ella Wood</t>
  </si>
  <si>
    <t>Daniel I Robinson</t>
  </si>
  <si>
    <t>Olivia Wilson</t>
  </si>
  <si>
    <t>Lucas Martin</t>
  </si>
  <si>
    <t>Grace Wilson</t>
  </si>
  <si>
    <t>Lucas White</t>
  </si>
  <si>
    <t>Olivia X Martin</t>
  </si>
  <si>
    <t>George X Walker</t>
  </si>
  <si>
    <t>Charlotte Robinson</t>
  </si>
  <si>
    <t>Michael Martin</t>
  </si>
  <si>
    <t>Ava Jones</t>
  </si>
  <si>
    <t>Noah White</t>
  </si>
  <si>
    <t>Ava Brown</t>
  </si>
  <si>
    <t>Lucas I Thomas</t>
  </si>
  <si>
    <t>Sarah R Smith</t>
  </si>
  <si>
    <t>Daniel U Thomas</t>
  </si>
  <si>
    <t>Chloe Clarke</t>
  </si>
  <si>
    <t>Michael S Brown</t>
  </si>
  <si>
    <t>Ava Clarke</t>
  </si>
  <si>
    <t>George Wood</t>
  </si>
  <si>
    <t>Grace White</t>
  </si>
  <si>
    <t>John P Walker</t>
  </si>
  <si>
    <t>Emma M Taylor</t>
  </si>
  <si>
    <t>George Taylor</t>
  </si>
  <si>
    <t>Charlotte E Smith</t>
  </si>
  <si>
    <t>David C Robinson</t>
  </si>
  <si>
    <t>Olivia R Wilson</t>
  </si>
  <si>
    <t>Henry T Hall</t>
  </si>
  <si>
    <t>Charlotte Jones</t>
  </si>
  <si>
    <t>Henry Green</t>
  </si>
  <si>
    <t>Mia J Wood</t>
  </si>
  <si>
    <t>Leo Hall</t>
  </si>
  <si>
    <t>Ava Smith</t>
  </si>
  <si>
    <t>Benjamin Y Wilson</t>
  </si>
  <si>
    <t>Olivia I Martin</t>
  </si>
  <si>
    <t>Ethan F Taylor</t>
  </si>
  <si>
    <t>Olivia White</t>
  </si>
  <si>
    <t>Samuel F Taylor</t>
  </si>
  <si>
    <t>Sarah O Hall</t>
  </si>
  <si>
    <t>Lucas J Clarke</t>
  </si>
  <si>
    <t>Sarah Jones</t>
  </si>
  <si>
    <t>Daniel W Robinson</t>
  </si>
  <si>
    <t>Chloe Wood</t>
  </si>
  <si>
    <t>Michael I Jones</t>
  </si>
  <si>
    <t>Lily Martin</t>
  </si>
  <si>
    <t>Oliver R Wilson</t>
  </si>
  <si>
    <t>Olivia I Thomas</t>
  </si>
  <si>
    <t>Leo Thomas</t>
  </si>
  <si>
    <t>Emma F Smith</t>
  </si>
  <si>
    <t>Henry Robinson</t>
  </si>
  <si>
    <t>Charlotte O Robinson</t>
  </si>
  <si>
    <t>Michael Wood</t>
  </si>
  <si>
    <t>Ella W Robinson</t>
  </si>
  <si>
    <t>Oliver Q Walker</t>
  </si>
  <si>
    <t>Emily O Clarke</t>
  </si>
  <si>
    <t>Michael N Smith</t>
  </si>
  <si>
    <t>Ella T Thompson</t>
  </si>
  <si>
    <t>Daniel Brown</t>
  </si>
  <si>
    <t>Emma V Jones</t>
  </si>
  <si>
    <t>Leo Brown</t>
  </si>
  <si>
    <t>Lily S Walker</t>
  </si>
  <si>
    <t>John White</t>
  </si>
  <si>
    <t>Mia I Wood</t>
  </si>
  <si>
    <t>David U Hall</t>
  </si>
  <si>
    <t>Chloe C Clarke</t>
  </si>
  <si>
    <t>George Evans</t>
  </si>
  <si>
    <t>Isabella K Thompson</t>
  </si>
  <si>
    <t>Ethan F Wilson</t>
  </si>
  <si>
    <t>Grace W Hall</t>
  </si>
  <si>
    <t>George Robinson</t>
  </si>
  <si>
    <t>Amelia Green</t>
  </si>
  <si>
    <t>Leo O Smith</t>
  </si>
  <si>
    <t>Emma I Thompson</t>
  </si>
  <si>
    <t>Noah Wilson</t>
  </si>
  <si>
    <t>Lily Green</t>
  </si>
  <si>
    <t>Leo V Brown</t>
  </si>
  <si>
    <t>Chloe N Wood</t>
  </si>
  <si>
    <t>John Martin</t>
  </si>
  <si>
    <t>Emily Evans</t>
  </si>
  <si>
    <t>Benjamin U Clarke</t>
  </si>
  <si>
    <t>Mia Smith</t>
  </si>
  <si>
    <t>James Walker</t>
  </si>
  <si>
    <t>Emily Thomas</t>
  </si>
  <si>
    <t>Arthur Robinson</t>
  </si>
  <si>
    <t>Mia D Clarke</t>
  </si>
  <si>
    <t>John W Jones</t>
  </si>
  <si>
    <t>Sophia Robinson</t>
  </si>
  <si>
    <t>Samuel R Brown</t>
  </si>
  <si>
    <t>Isabella Taylor</t>
  </si>
  <si>
    <t>James Wilson</t>
  </si>
  <si>
    <t>Mia U Wilson</t>
  </si>
  <si>
    <t>Leo P Thomas</t>
  </si>
  <si>
    <t>Ella N Walker</t>
  </si>
  <si>
    <t>Leo P Clarke</t>
  </si>
  <si>
    <t>Olivia R Wood</t>
  </si>
  <si>
    <t>David G Green</t>
  </si>
  <si>
    <t>Freya C Thomas</t>
  </si>
  <si>
    <t>Arthur Walker</t>
  </si>
  <si>
    <t>Chloe Brown</t>
  </si>
  <si>
    <t>Daniel S Robinson</t>
  </si>
  <si>
    <t>Charlotte Clarke</t>
  </si>
  <si>
    <t>Leo O Thomas</t>
  </si>
  <si>
    <t>Emily L Clarke</t>
  </si>
  <si>
    <t>Noah O Green</t>
  </si>
  <si>
    <t>Freya Thompson</t>
  </si>
  <si>
    <t>Leo Martin</t>
  </si>
  <si>
    <t>Ella Jones</t>
  </si>
  <si>
    <t>Benjamin H Green</t>
  </si>
  <si>
    <t>Chloe B Hall</t>
  </si>
  <si>
    <t>Noah Clarke</t>
  </si>
  <si>
    <t>Ella M Green</t>
  </si>
  <si>
    <t>Ethan Thomas</t>
  </si>
  <si>
    <t>Mia E Smith</t>
  </si>
  <si>
    <t>Samuel Thompson</t>
  </si>
  <si>
    <t>Chloe O Wilson</t>
  </si>
  <si>
    <t>Michael A Wood</t>
  </si>
  <si>
    <t>Ella N Thomas</t>
  </si>
  <si>
    <t>Leo C Thomas</t>
  </si>
  <si>
    <t>Mia K Walker</t>
  </si>
  <si>
    <t>Benjamin U Green</t>
  </si>
  <si>
    <t>Emma V Thompson</t>
  </si>
  <si>
    <t>Leo Green</t>
  </si>
  <si>
    <t>Grace Clarke</t>
  </si>
  <si>
    <t>Leo T Smith</t>
  </si>
  <si>
    <t>Emma U Jones</t>
  </si>
  <si>
    <t>Ethan Robinson</t>
  </si>
  <si>
    <t>Olivia N Taylor</t>
  </si>
  <si>
    <t>Michael Wilson</t>
  </si>
  <si>
    <t>Mia White</t>
  </si>
  <si>
    <t>Lucas A Robinson</t>
  </si>
  <si>
    <t>Sarah Thompson</t>
  </si>
  <si>
    <t>Henry Smith</t>
  </si>
  <si>
    <t>Ava L Evans</t>
  </si>
  <si>
    <t>Oliver H Thomas</t>
  </si>
  <si>
    <t>Emily Hall</t>
  </si>
  <si>
    <t>Benjamin White</t>
  </si>
  <si>
    <t>Sophia White</t>
  </si>
  <si>
    <t>Michael Green</t>
  </si>
  <si>
    <t>Charlotte P Jones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</si>
</sst>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00"/>
    <numFmt numFmtId="165" formatCode="[$£-809]#,##0"/>
  </numFmts>
  <fonts count="6" x14ac:knownFonts="1">
    <font>
      <sz val="11"/>
      <name val="Carlito"/>
    </font>
    <font>
      <sz val="11"/>
      <name val="Times New Roman"/>
      <family val="1"/>
    </font>
    <font>
      <sz val="11"/>
      <name val="Calibri"/>
      <family val="2"/>
      <scheme val="major"/>
    </font>
    <font>
      <b/>
      <sz val="11"/>
      <name val="Calibri"/>
      <family val="2"/>
      <scheme val="major"/>
    </font>
    <font>
      <b/>
      <sz val="11"/>
      <color theme="0"/>
      <name val="Calibri"/>
      <family val="2"/>
      <scheme val="major"/>
    </font>
    <font>
      <b/>
      <sz val="11"/>
      <name val="Carlito"/>
    </font>
  </fonts>
  <fills count="6">
    <fill>
      <patternFill patternType="none"/>
    </fill>
    <fill>
      <patternFill patternType="gray125"/>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9">
    <xf numFmtId="0" fontId="0" fillId="0" borderId="0" xfId="0"/>
    <xf numFmtId="0" fontId="1" fillId="0" borderId="0" xfId="0" applyFont="1"/>
    <xf numFmtId="0" fontId="1" fillId="2" borderId="0" xfId="0" applyFont="1" applyFill="1"/>
    <xf numFmtId="0" fontId="2" fillId="0" borderId="0" xfId="0" applyFont="1"/>
    <xf numFmtId="14" fontId="2" fillId="0" borderId="0" xfId="0" applyNumberFormat="1" applyFont="1"/>
    <xf numFmtId="164" fontId="1" fillId="0" borderId="0" xfId="0" applyNumberFormat="1" applyFont="1"/>
    <xf numFmtId="164" fontId="2" fillId="0" borderId="0" xfId="0" applyNumberFormat="1" applyFont="1"/>
    <xf numFmtId="164" fontId="0" fillId="0" borderId="0" xfId="0" applyNumberFormat="1"/>
    <xf numFmtId="164" fontId="1" fillId="2" borderId="0" xfId="0" applyNumberFormat="1" applyFont="1" applyFill="1"/>
    <xf numFmtId="0" fontId="3" fillId="3" borderId="0" xfId="0" applyFont="1" applyFill="1"/>
    <xf numFmtId="165" fontId="2" fillId="0" borderId="0" xfId="0" applyNumberFormat="1" applyFont="1"/>
    <xf numFmtId="10" fontId="2" fillId="0" borderId="0" xfId="0" applyNumberFormat="1" applyFont="1"/>
    <xf numFmtId="0" fontId="3" fillId="4" borderId="0" xfId="0" applyFont="1" applyFill="1"/>
    <xf numFmtId="2" fontId="2" fillId="0" borderId="0" xfId="0" applyNumberFormat="1" applyFont="1"/>
    <xf numFmtId="0" fontId="2" fillId="0" borderId="0" xfId="0" pivotButton="1" applyFont="1"/>
    <xf numFmtId="0" fontId="2" fillId="0" borderId="1" xfId="0" applyFont="1" applyBorder="1"/>
    <xf numFmtId="0" fontId="2" fillId="0" borderId="0" xfId="0" applyFont="1" applyAlignment="1">
      <alignment horizontal="left"/>
    </xf>
    <xf numFmtId="164" fontId="2" fillId="0" borderId="1" xfId="0" applyNumberFormat="1" applyFont="1" applyBorder="1"/>
    <xf numFmtId="0" fontId="2" fillId="0" borderId="3" xfId="0" applyFont="1" applyBorder="1"/>
    <xf numFmtId="1" fontId="2" fillId="0" borderId="3" xfId="0" applyNumberFormat="1" applyFont="1" applyBorder="1"/>
    <xf numFmtId="164" fontId="2" fillId="0" borderId="3" xfId="0" applyNumberFormat="1" applyFont="1" applyBorder="1"/>
    <xf numFmtId="0" fontId="4" fillId="5" borderId="2" xfId="0" applyFont="1" applyFill="1" applyBorder="1"/>
    <xf numFmtId="2" fontId="2" fillId="0" borderId="1" xfId="0" applyNumberFormat="1" applyFont="1" applyBorder="1"/>
    <xf numFmtId="2" fontId="2" fillId="0" borderId="3" xfId="0" applyNumberFormat="1" applyFont="1" applyBorder="1"/>
    <xf numFmtId="0" fontId="5" fillId="0" borderId="0" xfId="0" applyFont="1"/>
    <xf numFmtId="0" fontId="3" fillId="4" borderId="0" xfId="0" applyFont="1" applyFill="1" applyAlignment="1">
      <alignment horizontal="center"/>
    </xf>
    <xf numFmtId="0" fontId="3" fillId="4" borderId="0" xfId="0" applyFont="1" applyFill="1" applyAlignment="1">
      <alignment horizontal="left"/>
    </xf>
    <xf numFmtId="0" fontId="3" fillId="3" borderId="0" xfId="0" applyFont="1" applyFill="1" applyAlignment="1">
      <alignment horizontal="center"/>
    </xf>
    <xf numFmtId="0" fontId="4" fillId="5" borderId="2" xfId="0" applyFont="1" applyFill="1" applyBorder="1" applyAlignment="1">
      <alignment horizontal="center"/>
    </xf>
  </cellXfs>
  <cellStyles count="1">
    <cellStyle name="Normal" xfId="0" builtinId="0"/>
  </cellStyles>
  <dxfs count="89">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dxf>
    <dxf>
      <font>
        <strike val="0"/>
        <outline val="0"/>
        <shadow val="0"/>
        <u val="none"/>
        <vertAlign val="baseline"/>
        <sz val="11"/>
        <color auto="1"/>
        <name val="Calibri"/>
        <family val="2"/>
        <scheme val="major"/>
      </font>
      <numFmt numFmtId="19" formatCode="m/d/yyyy"/>
    </dxf>
    <dxf>
      <font>
        <strike val="0"/>
        <outline val="0"/>
        <shadow val="0"/>
        <u val="none"/>
        <vertAlign val="baseline"/>
        <sz val="11"/>
        <color auto="1"/>
        <name val="Calibri"/>
        <family val="2"/>
        <scheme val="major"/>
      </font>
      <numFmt numFmtId="19" formatCode="m/d/yyyy"/>
    </dxf>
    <dxf>
      <font>
        <strike val="0"/>
        <outline val="0"/>
        <shadow val="0"/>
        <u val="none"/>
        <vertAlign val="baseline"/>
        <sz val="11"/>
        <color auto="1"/>
        <name val="Calibri"/>
        <family val="2"/>
        <scheme val="major"/>
      </font>
      <numFmt numFmtId="19" formatCode="m/d/yyyy"/>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dxf>
    <dxf>
      <font>
        <strike val="0"/>
        <outline val="0"/>
        <shadow val="0"/>
        <u val="none"/>
        <vertAlign val="baseline"/>
        <sz val="11"/>
        <color auto="1"/>
        <name val="Times New Roman"/>
        <family val="1"/>
        <scheme val="none"/>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164" formatCode="[$£-809]#,##0.00"/>
    </dxf>
    <dxf>
      <font>
        <name val="Calibri"/>
        <family val="2"/>
        <scheme val="minor"/>
      </font>
    </dxf>
    <dxf>
      <font>
        <name val="Calibri"/>
        <family val="2"/>
        <scheme val="min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164" formatCode="[$£-809]#,##0.00"/>
    </dxf>
    <dxf>
      <font>
        <name val="Calibri"/>
        <family val="2"/>
        <scheme val="minor"/>
      </font>
    </dxf>
    <dxf>
      <font>
        <name val="Calibri"/>
        <family val="2"/>
        <scheme val="min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164" formatCode="[$£-809]#,##0.00"/>
    </dxf>
    <dxf>
      <font>
        <name val="Calibri"/>
        <family val="2"/>
        <scheme val="minor"/>
      </font>
    </dxf>
    <dxf>
      <font>
        <name val="Calibri"/>
        <family val="2"/>
        <scheme val="minor"/>
      </font>
    </dxf>
  </dxfs>
  <tableStyles count="0" defaultTableStyle="TableStyleMedium2" defaultPivotStyle="PivotStyleLight16"/>
  <colors>
    <mruColors>
      <color rgb="FF355E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Admission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TABLE'!$K$24</c:f>
              <c:strCache>
                <c:ptCount val="1"/>
                <c:pt idx="0">
                  <c:v>Top Bar</c:v>
                </c:pt>
              </c:strCache>
            </c:strRef>
          </c:tx>
          <c:spPr>
            <a:solidFill>
              <a:srgbClr val="355E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TABLE'!$K$25:$K$34</c:f>
              <c:numCache>
                <c:formatCode>General</c:formatCode>
                <c:ptCount val="10"/>
                <c:pt idx="0">
                  <c:v>#N/A</c:v>
                </c:pt>
                <c:pt idx="1">
                  <c:v>#N/A</c:v>
                </c:pt>
                <c:pt idx="2">
                  <c:v>#N/A</c:v>
                </c:pt>
                <c:pt idx="3">
                  <c:v>#N/A</c:v>
                </c:pt>
                <c:pt idx="4">
                  <c:v>#N/A</c:v>
                </c:pt>
                <c:pt idx="5">
                  <c:v>#N/A</c:v>
                </c:pt>
                <c:pt idx="6">
                  <c:v>#N/A</c:v>
                </c:pt>
                <c:pt idx="7">
                  <c:v>#N/A</c:v>
                </c:pt>
                <c:pt idx="8">
                  <c:v>#N/A</c:v>
                </c:pt>
                <c:pt idx="9">
                  <c:v>65</c:v>
                </c:pt>
              </c:numCache>
            </c:numRef>
          </c:val>
          <c:extLst>
            <c:ext xmlns:c16="http://schemas.microsoft.com/office/drawing/2014/chart" uri="{C3380CC4-5D6E-409C-BE32-E72D297353CC}">
              <c16:uniqueId val="{00000000-396C-4E4A-945A-B3FA4E057C69}"/>
            </c:ext>
          </c:extLst>
        </c:ser>
        <c:ser>
          <c:idx val="1"/>
          <c:order val="1"/>
          <c:tx>
            <c:strRef>
              <c:f>'PIVOT TABLE'!$L$24</c:f>
              <c:strCache>
                <c:ptCount val="1"/>
                <c:pt idx="0">
                  <c:v>Other Bar</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TABLE'!$L$25:$L$34</c:f>
              <c:numCache>
                <c:formatCode>0</c:formatCode>
                <c:ptCount val="10"/>
                <c:pt idx="0">
                  <c:v>38</c:v>
                </c:pt>
                <c:pt idx="1">
                  <c:v>39</c:v>
                </c:pt>
                <c:pt idx="2">
                  <c:v>39</c:v>
                </c:pt>
                <c:pt idx="3">
                  <c:v>47</c:v>
                </c:pt>
                <c:pt idx="4">
                  <c:v>52</c:v>
                </c:pt>
                <c:pt idx="5">
                  <c:v>53</c:v>
                </c:pt>
                <c:pt idx="6">
                  <c:v>54</c:v>
                </c:pt>
                <c:pt idx="7">
                  <c:v>54</c:v>
                </c:pt>
                <c:pt idx="8">
                  <c:v>59</c:v>
                </c:pt>
                <c:pt idx="9">
                  <c:v>#N/A</c:v>
                </c:pt>
              </c:numCache>
            </c:numRef>
          </c:val>
          <c:extLst>
            <c:ext xmlns:c16="http://schemas.microsoft.com/office/drawing/2014/chart" uri="{C3380CC4-5D6E-409C-BE32-E72D297353CC}">
              <c16:uniqueId val="{00000001-396C-4E4A-945A-B3FA4E057C69}"/>
            </c:ext>
          </c:extLst>
        </c:ser>
        <c:dLbls>
          <c:dLblPos val="ctr"/>
          <c:showLegendKey val="0"/>
          <c:showVal val="1"/>
          <c:showCatName val="0"/>
          <c:showSerName val="0"/>
          <c:showPercent val="0"/>
          <c:showBubbleSize val="0"/>
        </c:dLbls>
        <c:gapWidth val="60"/>
        <c:overlap val="100"/>
        <c:axId val="1315344032"/>
        <c:axId val="1315344392"/>
      </c:barChart>
      <c:catAx>
        <c:axId val="1315344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4392"/>
        <c:crosses val="autoZero"/>
        <c:auto val="1"/>
        <c:lblAlgn val="ctr"/>
        <c:lblOffset val="100"/>
        <c:noMultiLvlLbl val="0"/>
      </c:catAx>
      <c:valAx>
        <c:axId val="1315344392"/>
        <c:scaling>
          <c:orientation val="minMax"/>
        </c:scaling>
        <c:delete val="1"/>
        <c:axPos val="b"/>
        <c:numFmt formatCode="General" sourceLinked="1"/>
        <c:majorTickMark val="out"/>
        <c:minorTickMark val="none"/>
        <c:tickLblPos val="nextTo"/>
        <c:crossAx val="1315344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Revenue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TABLE'!$Q$24</c:f>
              <c:strCache>
                <c:ptCount val="1"/>
                <c:pt idx="0">
                  <c:v>Top Bar</c:v>
                </c:pt>
              </c:strCache>
            </c:strRef>
          </c:tx>
          <c:spPr>
            <a:solidFill>
              <a:srgbClr val="355E3B"/>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TABLE'!$Q$25:$Q$34</c:f>
              <c:numCache>
                <c:formatCode>[$£-809]#,##0.00</c:formatCode>
                <c:ptCount val="10"/>
                <c:pt idx="0">
                  <c:v>805567.59999999974</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224E-4E68-8539-A06144392F5F}"/>
            </c:ext>
          </c:extLst>
        </c:ser>
        <c:ser>
          <c:idx val="1"/>
          <c:order val="1"/>
          <c:tx>
            <c:strRef>
              <c:f>'PIVOT TABLE'!$R$24</c:f>
              <c:strCache>
                <c:ptCount val="1"/>
                <c:pt idx="0">
                  <c:v>Other Bar</c:v>
                </c:pt>
              </c:strCache>
            </c:strRef>
          </c:tx>
          <c:spPr>
            <a:solidFill>
              <a:schemeClr val="bg2">
                <a:lumMod val="90000"/>
              </a:schemeClr>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TABLE'!$R$25:$R$34</c:f>
              <c:numCache>
                <c:formatCode>[$£-809]#,##0.00</c:formatCode>
                <c:ptCount val="10"/>
                <c:pt idx="0">
                  <c:v>#N/A</c:v>
                </c:pt>
                <c:pt idx="1">
                  <c:v>753375.84999999986</c:v>
                </c:pt>
                <c:pt idx="2">
                  <c:v>723380.83</c:v>
                </c:pt>
                <c:pt idx="3">
                  <c:v>688072.11000000045</c:v>
                </c:pt>
                <c:pt idx="4">
                  <c:v>679795.18000000017</c:v>
                </c:pt>
                <c:pt idx="5">
                  <c:v>647533.04000000027</c:v>
                </c:pt>
                <c:pt idx="6">
                  <c:v>624852.57000000007</c:v>
                </c:pt>
                <c:pt idx="7">
                  <c:v>535640.37</c:v>
                </c:pt>
                <c:pt idx="8">
                  <c:v>500864.91999999987</c:v>
                </c:pt>
                <c:pt idx="9">
                  <c:v>495751.2</c:v>
                </c:pt>
              </c:numCache>
            </c:numRef>
          </c:val>
          <c:extLst>
            <c:ext xmlns:c16="http://schemas.microsoft.com/office/drawing/2014/chart" uri="{C3380CC4-5D6E-409C-BE32-E72D297353CC}">
              <c16:uniqueId val="{00000001-224E-4E68-8539-A06144392F5F}"/>
            </c:ext>
          </c:extLst>
        </c:ser>
        <c:dLbls>
          <c:showLegendKey val="0"/>
          <c:showVal val="0"/>
          <c:showCatName val="0"/>
          <c:showSerName val="0"/>
          <c:showPercent val="0"/>
          <c:showBubbleSize val="0"/>
        </c:dLbls>
        <c:gapWidth val="62"/>
        <c:overlap val="100"/>
        <c:axId val="1197565056"/>
        <c:axId val="1197565416"/>
      </c:barChart>
      <c:catAx>
        <c:axId val="119756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416"/>
        <c:crosses val="autoZero"/>
        <c:auto val="1"/>
        <c:lblAlgn val="ctr"/>
        <c:lblOffset val="100"/>
        <c:noMultiLvlLbl val="0"/>
      </c:catAx>
      <c:valAx>
        <c:axId val="1197565416"/>
        <c:scaling>
          <c:orientation val="minMax"/>
        </c:scaling>
        <c:delete val="0"/>
        <c:axPos val="l"/>
        <c:numFmt formatCode="[$£-8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0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Length of Stay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lineChart>
        <c:grouping val="standard"/>
        <c:varyColors val="0"/>
        <c:ser>
          <c:idx val="0"/>
          <c:order val="0"/>
          <c:tx>
            <c:strRef>
              <c:f>'PIVOT TABLE'!$W$24</c:f>
              <c:strCache>
                <c:ptCount val="1"/>
                <c:pt idx="0">
                  <c:v>Top Bar</c:v>
                </c:pt>
              </c:strCache>
            </c:strRef>
          </c:tx>
          <c:spPr>
            <a:ln w="28575" cap="rnd">
              <a:solidFill>
                <a:srgbClr val="355E3B"/>
              </a:solidFill>
              <a:round/>
            </a:ln>
            <a:effectLst>
              <a:softEdge rad="0"/>
            </a:effectLst>
          </c:spPr>
          <c:marker>
            <c:symbol val="circle"/>
            <c:size val="5"/>
            <c:spPr>
              <a:solidFill>
                <a:schemeClr val="accent3">
                  <a:lumMod val="50000"/>
                </a:schemeClr>
              </a:solidFill>
              <a:ln w="9525">
                <a:solidFill>
                  <a:srgbClr val="355E3B"/>
                </a:solidFill>
              </a:ln>
              <a:effectLst>
                <a:softEdge rad="0"/>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TABLE'!$W$25:$W$34</c:f>
              <c:numCache>
                <c:formatCode>0.00</c:formatCode>
                <c:ptCount val="10"/>
                <c:pt idx="0">
                  <c:v>12.641025641025641</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0-D985-4908-A151-19BF48E9D879}"/>
            </c:ext>
          </c:extLst>
        </c:ser>
        <c:ser>
          <c:idx val="1"/>
          <c:order val="1"/>
          <c:tx>
            <c:strRef>
              <c:f>'PIVOT TABLE'!$X$24</c:f>
              <c:strCache>
                <c:ptCount val="1"/>
                <c:pt idx="0">
                  <c:v>Other Bar</c:v>
                </c:pt>
              </c:strCache>
            </c:strRef>
          </c:tx>
          <c:spPr>
            <a:ln w="28575" cap="rnd">
              <a:solidFill>
                <a:schemeClr val="bg2">
                  <a:lumMod val="90000"/>
                </a:schemeClr>
              </a:solidFill>
              <a:round/>
            </a:ln>
            <a:effectLst/>
          </c:spPr>
          <c:marker>
            <c:symbol val="circle"/>
            <c:size val="5"/>
            <c:spPr>
              <a:solidFill>
                <a:schemeClr val="bg2">
                  <a:lumMod val="50000"/>
                </a:schemeClr>
              </a:solidFill>
              <a:ln w="9525">
                <a:solidFill>
                  <a:schemeClr val="bg2">
                    <a:lumMod val="90000"/>
                  </a:schemeClr>
                </a:solidFill>
              </a:ln>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TABLE'!$X$25:$X$34</c:f>
              <c:numCache>
                <c:formatCode>0.00</c:formatCode>
                <c:ptCount val="10"/>
                <c:pt idx="0">
                  <c:v>#N/A</c:v>
                </c:pt>
                <c:pt idx="1">
                  <c:v>12.179487179487179</c:v>
                </c:pt>
                <c:pt idx="2">
                  <c:v>11.957446808510639</c:v>
                </c:pt>
                <c:pt idx="3">
                  <c:v>10.711538461538462</c:v>
                </c:pt>
                <c:pt idx="4">
                  <c:v>10.553846153846154</c:v>
                </c:pt>
                <c:pt idx="5">
                  <c:v>10.342105263157896</c:v>
                </c:pt>
                <c:pt idx="6">
                  <c:v>10.092592592592593</c:v>
                </c:pt>
                <c:pt idx="7">
                  <c:v>10.084745762711865</c:v>
                </c:pt>
                <c:pt idx="8">
                  <c:v>9.9056603773584904</c:v>
                </c:pt>
                <c:pt idx="9">
                  <c:v>9.7407407407407405</c:v>
                </c:pt>
              </c:numCache>
            </c:numRef>
          </c:val>
          <c:smooth val="0"/>
          <c:extLst>
            <c:ext xmlns:c16="http://schemas.microsoft.com/office/drawing/2014/chart" uri="{C3380CC4-5D6E-409C-BE32-E72D297353CC}">
              <c16:uniqueId val="{00000001-D985-4908-A151-19BF48E9D879}"/>
            </c:ext>
          </c:extLst>
        </c:ser>
        <c:dLbls>
          <c:showLegendKey val="0"/>
          <c:showVal val="0"/>
          <c:showCatName val="0"/>
          <c:showSerName val="0"/>
          <c:showPercent val="0"/>
          <c:showBubbleSize val="0"/>
        </c:dLbls>
        <c:marker val="1"/>
        <c:smooth val="0"/>
        <c:axId val="582612560"/>
        <c:axId val="492196808"/>
      </c:lineChart>
      <c:catAx>
        <c:axId val="58261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96808"/>
        <c:crosses val="autoZero"/>
        <c:auto val="1"/>
        <c:lblAlgn val="ctr"/>
        <c:lblOffset val="100"/>
        <c:noMultiLvlLbl val="0"/>
      </c:catAx>
      <c:valAx>
        <c:axId val="492196808"/>
        <c:scaling>
          <c:orientation val="minMax"/>
          <c:min val="9"/>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125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Satisfaction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manualLayout>
          <c:layoutTarget val="inner"/>
          <c:xMode val="edge"/>
          <c:yMode val="edge"/>
          <c:x val="8.7539379241692833E-2"/>
          <c:y val="0.14225897705520762"/>
          <c:w val="0.88191704346917321"/>
          <c:h val="0.58073697893814713"/>
        </c:manualLayout>
      </c:layout>
      <c:barChart>
        <c:barDir val="col"/>
        <c:grouping val="clustered"/>
        <c:varyColors val="0"/>
        <c:ser>
          <c:idx val="0"/>
          <c:order val="0"/>
          <c:tx>
            <c:strRef>
              <c:f>'PIVOT TABLE'!$AC$24</c:f>
              <c:strCache>
                <c:ptCount val="1"/>
                <c:pt idx="0">
                  <c:v>Top Bar</c:v>
                </c:pt>
              </c:strCache>
            </c:strRef>
          </c:tx>
          <c:spPr>
            <a:solidFill>
              <a:srgbClr val="355E3B"/>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TABLE'!$AC$25:$AC$34</c:f>
              <c:numCache>
                <c:formatCode>0.00</c:formatCode>
                <c:ptCount val="10"/>
                <c:pt idx="0">
                  <c:v>6.0526315789473681</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9F55-4F1E-B4E3-57D2EE0BBF47}"/>
            </c:ext>
          </c:extLst>
        </c:ser>
        <c:ser>
          <c:idx val="1"/>
          <c:order val="1"/>
          <c:tx>
            <c:strRef>
              <c:f>'PIVOT TABLE'!$AD$24</c:f>
              <c:strCache>
                <c:ptCount val="1"/>
                <c:pt idx="0">
                  <c:v>Other Bar</c:v>
                </c:pt>
              </c:strCache>
            </c:strRef>
          </c:tx>
          <c:spPr>
            <a:solidFill>
              <a:schemeClr val="bg2">
                <a:lumMod val="90000"/>
              </a:schemeClr>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TABLE'!$AD$25:$AD$34</c:f>
              <c:numCache>
                <c:formatCode>0.00</c:formatCode>
                <c:ptCount val="10"/>
                <c:pt idx="0">
                  <c:v>#N/A</c:v>
                </c:pt>
                <c:pt idx="1">
                  <c:v>5.5740740740740744</c:v>
                </c:pt>
                <c:pt idx="2">
                  <c:v>5.5084745762711869</c:v>
                </c:pt>
                <c:pt idx="3">
                  <c:v>5.4923076923076923</c:v>
                </c:pt>
                <c:pt idx="4">
                  <c:v>5.3518518518518521</c:v>
                </c:pt>
                <c:pt idx="5">
                  <c:v>5.3207547169811322</c:v>
                </c:pt>
                <c:pt idx="6">
                  <c:v>5.1538461538461542</c:v>
                </c:pt>
                <c:pt idx="7">
                  <c:v>5.0192307692307692</c:v>
                </c:pt>
                <c:pt idx="8">
                  <c:v>4.7948717948717947</c:v>
                </c:pt>
                <c:pt idx="9">
                  <c:v>4.7446808510638299</c:v>
                </c:pt>
              </c:numCache>
            </c:numRef>
          </c:val>
          <c:extLst>
            <c:ext xmlns:c16="http://schemas.microsoft.com/office/drawing/2014/chart" uri="{C3380CC4-5D6E-409C-BE32-E72D297353CC}">
              <c16:uniqueId val="{00000001-9F55-4F1E-B4E3-57D2EE0BBF47}"/>
            </c:ext>
          </c:extLst>
        </c:ser>
        <c:dLbls>
          <c:showLegendKey val="0"/>
          <c:showVal val="0"/>
          <c:showCatName val="0"/>
          <c:showSerName val="0"/>
          <c:showPercent val="0"/>
          <c:showBubbleSize val="0"/>
        </c:dLbls>
        <c:gapWidth val="78"/>
        <c:overlap val="100"/>
        <c:axId val="1190092704"/>
        <c:axId val="1190093064"/>
      </c:barChart>
      <c:catAx>
        <c:axId val="11900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3064"/>
        <c:crosses val="autoZero"/>
        <c:auto val="1"/>
        <c:lblAlgn val="ctr"/>
        <c:lblOffset val="100"/>
        <c:noMultiLvlLbl val="0"/>
      </c:catAx>
      <c:valAx>
        <c:axId val="1190093064"/>
        <c:scaling>
          <c:orientation val="minMax"/>
          <c:max val="7"/>
          <c:min val="4"/>
        </c:scaling>
        <c:delete val="0"/>
        <c:axPos val="l"/>
        <c:numFmt formatCode="0.00" sourceLinked="1"/>
        <c:majorTickMark val="out"/>
        <c:minorTickMark val="none"/>
        <c:tickLblPos val="nextTo"/>
        <c:spPr>
          <a:noFill/>
          <a:ln>
            <a:noFill/>
          </a:ln>
          <a:effectLst/>
        </c:spPr>
        <c:txPr>
          <a:bodyPr rot="2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2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Admission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TABLE'!$K$24</c:f>
              <c:strCache>
                <c:ptCount val="1"/>
                <c:pt idx="0">
                  <c:v>Top Bar</c:v>
                </c:pt>
              </c:strCache>
            </c:strRef>
          </c:tx>
          <c:spPr>
            <a:solidFill>
              <a:srgbClr val="355E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TABLE'!$K$25:$K$34</c:f>
              <c:numCache>
                <c:formatCode>General</c:formatCode>
                <c:ptCount val="10"/>
                <c:pt idx="0">
                  <c:v>#N/A</c:v>
                </c:pt>
                <c:pt idx="1">
                  <c:v>#N/A</c:v>
                </c:pt>
                <c:pt idx="2">
                  <c:v>#N/A</c:v>
                </c:pt>
                <c:pt idx="3">
                  <c:v>#N/A</c:v>
                </c:pt>
                <c:pt idx="4">
                  <c:v>#N/A</c:v>
                </c:pt>
                <c:pt idx="5">
                  <c:v>#N/A</c:v>
                </c:pt>
                <c:pt idx="6">
                  <c:v>#N/A</c:v>
                </c:pt>
                <c:pt idx="7">
                  <c:v>#N/A</c:v>
                </c:pt>
                <c:pt idx="8">
                  <c:v>#N/A</c:v>
                </c:pt>
                <c:pt idx="9">
                  <c:v>65</c:v>
                </c:pt>
              </c:numCache>
            </c:numRef>
          </c:val>
          <c:extLst>
            <c:ext xmlns:c16="http://schemas.microsoft.com/office/drawing/2014/chart" uri="{C3380CC4-5D6E-409C-BE32-E72D297353CC}">
              <c16:uniqueId val="{00000000-1AAA-45B5-A276-E00DF9FAD625}"/>
            </c:ext>
          </c:extLst>
        </c:ser>
        <c:ser>
          <c:idx val="1"/>
          <c:order val="1"/>
          <c:tx>
            <c:strRef>
              <c:f>'PIVOT TABLE'!$L$24</c:f>
              <c:strCache>
                <c:ptCount val="1"/>
                <c:pt idx="0">
                  <c:v>Other Bar</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TABLE'!$L$25:$L$34</c:f>
              <c:numCache>
                <c:formatCode>0</c:formatCode>
                <c:ptCount val="10"/>
                <c:pt idx="0">
                  <c:v>38</c:v>
                </c:pt>
                <c:pt idx="1">
                  <c:v>39</c:v>
                </c:pt>
                <c:pt idx="2">
                  <c:v>39</c:v>
                </c:pt>
                <c:pt idx="3">
                  <c:v>47</c:v>
                </c:pt>
                <c:pt idx="4">
                  <c:v>52</c:v>
                </c:pt>
                <c:pt idx="5">
                  <c:v>53</c:v>
                </c:pt>
                <c:pt idx="6">
                  <c:v>54</c:v>
                </c:pt>
                <c:pt idx="7">
                  <c:v>54</c:v>
                </c:pt>
                <c:pt idx="8">
                  <c:v>59</c:v>
                </c:pt>
                <c:pt idx="9">
                  <c:v>#N/A</c:v>
                </c:pt>
              </c:numCache>
            </c:numRef>
          </c:val>
          <c:extLst>
            <c:ext xmlns:c16="http://schemas.microsoft.com/office/drawing/2014/chart" uri="{C3380CC4-5D6E-409C-BE32-E72D297353CC}">
              <c16:uniqueId val="{00000001-1AAA-45B5-A276-E00DF9FAD625}"/>
            </c:ext>
          </c:extLst>
        </c:ser>
        <c:dLbls>
          <c:dLblPos val="ctr"/>
          <c:showLegendKey val="0"/>
          <c:showVal val="1"/>
          <c:showCatName val="0"/>
          <c:showSerName val="0"/>
          <c:showPercent val="0"/>
          <c:showBubbleSize val="0"/>
        </c:dLbls>
        <c:gapWidth val="60"/>
        <c:overlap val="100"/>
        <c:axId val="1315344032"/>
        <c:axId val="1315344392"/>
      </c:barChart>
      <c:catAx>
        <c:axId val="1315344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4392"/>
        <c:crosses val="autoZero"/>
        <c:auto val="1"/>
        <c:lblAlgn val="ctr"/>
        <c:lblOffset val="100"/>
        <c:noMultiLvlLbl val="0"/>
      </c:catAx>
      <c:valAx>
        <c:axId val="1315344392"/>
        <c:scaling>
          <c:orientation val="minMax"/>
        </c:scaling>
        <c:delete val="1"/>
        <c:axPos val="b"/>
        <c:numFmt formatCode="General" sourceLinked="1"/>
        <c:majorTickMark val="out"/>
        <c:minorTickMark val="none"/>
        <c:tickLblPos val="nextTo"/>
        <c:crossAx val="1315344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Revenue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TABLE'!$Q$24</c:f>
              <c:strCache>
                <c:ptCount val="1"/>
                <c:pt idx="0">
                  <c:v>Top Bar</c:v>
                </c:pt>
              </c:strCache>
            </c:strRef>
          </c:tx>
          <c:spPr>
            <a:solidFill>
              <a:srgbClr val="355E3B"/>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TABLE'!$Q$25:$Q$34</c:f>
              <c:numCache>
                <c:formatCode>[$£-809]#,##0.00</c:formatCode>
                <c:ptCount val="10"/>
                <c:pt idx="0">
                  <c:v>805567.59999999974</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891E-4EF2-94AD-8E959F129D72}"/>
            </c:ext>
          </c:extLst>
        </c:ser>
        <c:ser>
          <c:idx val="1"/>
          <c:order val="1"/>
          <c:tx>
            <c:strRef>
              <c:f>'PIVOT TABLE'!$R$24</c:f>
              <c:strCache>
                <c:ptCount val="1"/>
                <c:pt idx="0">
                  <c:v>Other Bar</c:v>
                </c:pt>
              </c:strCache>
            </c:strRef>
          </c:tx>
          <c:spPr>
            <a:solidFill>
              <a:schemeClr val="bg2">
                <a:lumMod val="90000"/>
              </a:schemeClr>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TABLE'!$R$25:$R$34</c:f>
              <c:numCache>
                <c:formatCode>[$£-809]#,##0.00</c:formatCode>
                <c:ptCount val="10"/>
                <c:pt idx="0">
                  <c:v>#N/A</c:v>
                </c:pt>
                <c:pt idx="1">
                  <c:v>753375.84999999986</c:v>
                </c:pt>
                <c:pt idx="2">
                  <c:v>723380.83</c:v>
                </c:pt>
                <c:pt idx="3">
                  <c:v>688072.11000000045</c:v>
                </c:pt>
                <c:pt idx="4">
                  <c:v>679795.18000000017</c:v>
                </c:pt>
                <c:pt idx="5">
                  <c:v>647533.04000000027</c:v>
                </c:pt>
                <c:pt idx="6">
                  <c:v>624852.57000000007</c:v>
                </c:pt>
                <c:pt idx="7">
                  <c:v>535640.37</c:v>
                </c:pt>
                <c:pt idx="8">
                  <c:v>500864.91999999987</c:v>
                </c:pt>
                <c:pt idx="9">
                  <c:v>495751.2</c:v>
                </c:pt>
              </c:numCache>
            </c:numRef>
          </c:val>
          <c:extLst>
            <c:ext xmlns:c16="http://schemas.microsoft.com/office/drawing/2014/chart" uri="{C3380CC4-5D6E-409C-BE32-E72D297353CC}">
              <c16:uniqueId val="{00000001-891E-4EF2-94AD-8E959F129D72}"/>
            </c:ext>
          </c:extLst>
        </c:ser>
        <c:dLbls>
          <c:showLegendKey val="0"/>
          <c:showVal val="0"/>
          <c:showCatName val="0"/>
          <c:showSerName val="0"/>
          <c:showPercent val="0"/>
          <c:showBubbleSize val="0"/>
        </c:dLbls>
        <c:gapWidth val="62"/>
        <c:overlap val="100"/>
        <c:axId val="1197565056"/>
        <c:axId val="1197565416"/>
      </c:barChart>
      <c:catAx>
        <c:axId val="119756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416"/>
        <c:crosses val="autoZero"/>
        <c:auto val="1"/>
        <c:lblAlgn val="ctr"/>
        <c:lblOffset val="100"/>
        <c:noMultiLvlLbl val="0"/>
      </c:catAx>
      <c:valAx>
        <c:axId val="1197565416"/>
        <c:scaling>
          <c:orientation val="minMax"/>
        </c:scaling>
        <c:delete val="0"/>
        <c:axPos val="l"/>
        <c:numFmt formatCode="[$£-8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0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Length of Stay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lineChart>
        <c:grouping val="standard"/>
        <c:varyColors val="0"/>
        <c:ser>
          <c:idx val="0"/>
          <c:order val="0"/>
          <c:tx>
            <c:strRef>
              <c:f>'PIVOT TABLE'!$W$24</c:f>
              <c:strCache>
                <c:ptCount val="1"/>
                <c:pt idx="0">
                  <c:v>Top Bar</c:v>
                </c:pt>
              </c:strCache>
            </c:strRef>
          </c:tx>
          <c:spPr>
            <a:ln w="28575" cap="rnd">
              <a:solidFill>
                <a:srgbClr val="355E3B"/>
              </a:solidFill>
              <a:round/>
            </a:ln>
            <a:effectLst>
              <a:softEdge rad="0"/>
            </a:effectLst>
          </c:spPr>
          <c:marker>
            <c:symbol val="circle"/>
            <c:size val="5"/>
            <c:spPr>
              <a:solidFill>
                <a:srgbClr val="355E3B"/>
              </a:solidFill>
              <a:ln w="9525">
                <a:solidFill>
                  <a:srgbClr val="355E3B"/>
                </a:solidFill>
              </a:ln>
              <a:effectLst>
                <a:softEdge rad="0"/>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TABLE'!$W$25:$W$34</c:f>
              <c:numCache>
                <c:formatCode>0.00</c:formatCode>
                <c:ptCount val="10"/>
                <c:pt idx="0">
                  <c:v>12.641025641025641</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0-AABD-426B-9D33-6A665B0CABE4}"/>
            </c:ext>
          </c:extLst>
        </c:ser>
        <c:ser>
          <c:idx val="1"/>
          <c:order val="1"/>
          <c:tx>
            <c:strRef>
              <c:f>'PIVOT TABLE'!$X$24</c:f>
              <c:strCache>
                <c:ptCount val="1"/>
                <c:pt idx="0">
                  <c:v>Other Bar</c:v>
                </c:pt>
              </c:strCache>
            </c:strRef>
          </c:tx>
          <c:spPr>
            <a:ln w="28575" cap="rnd">
              <a:solidFill>
                <a:schemeClr val="bg2">
                  <a:lumMod val="90000"/>
                </a:schemeClr>
              </a:solidFill>
              <a:round/>
            </a:ln>
            <a:effectLst/>
          </c:spPr>
          <c:marker>
            <c:symbol val="circle"/>
            <c:size val="5"/>
            <c:spPr>
              <a:solidFill>
                <a:schemeClr val="bg2">
                  <a:lumMod val="50000"/>
                </a:schemeClr>
              </a:solidFill>
              <a:ln w="9525">
                <a:solidFill>
                  <a:schemeClr val="bg2">
                    <a:lumMod val="90000"/>
                  </a:schemeClr>
                </a:solidFill>
              </a:ln>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TABLE'!$X$25:$X$34</c:f>
              <c:numCache>
                <c:formatCode>0.00</c:formatCode>
                <c:ptCount val="10"/>
                <c:pt idx="0">
                  <c:v>#N/A</c:v>
                </c:pt>
                <c:pt idx="1">
                  <c:v>12.179487179487179</c:v>
                </c:pt>
                <c:pt idx="2">
                  <c:v>11.957446808510639</c:v>
                </c:pt>
                <c:pt idx="3">
                  <c:v>10.711538461538462</c:v>
                </c:pt>
                <c:pt idx="4">
                  <c:v>10.553846153846154</c:v>
                </c:pt>
                <c:pt idx="5">
                  <c:v>10.342105263157896</c:v>
                </c:pt>
                <c:pt idx="6">
                  <c:v>10.092592592592593</c:v>
                </c:pt>
                <c:pt idx="7">
                  <c:v>10.084745762711865</c:v>
                </c:pt>
                <c:pt idx="8">
                  <c:v>9.9056603773584904</c:v>
                </c:pt>
                <c:pt idx="9">
                  <c:v>9.7407407407407405</c:v>
                </c:pt>
              </c:numCache>
            </c:numRef>
          </c:val>
          <c:smooth val="0"/>
          <c:extLst>
            <c:ext xmlns:c16="http://schemas.microsoft.com/office/drawing/2014/chart" uri="{C3380CC4-5D6E-409C-BE32-E72D297353CC}">
              <c16:uniqueId val="{00000001-AABD-426B-9D33-6A665B0CABE4}"/>
            </c:ext>
          </c:extLst>
        </c:ser>
        <c:dLbls>
          <c:showLegendKey val="0"/>
          <c:showVal val="0"/>
          <c:showCatName val="0"/>
          <c:showSerName val="0"/>
          <c:showPercent val="0"/>
          <c:showBubbleSize val="0"/>
        </c:dLbls>
        <c:marker val="1"/>
        <c:smooth val="0"/>
        <c:axId val="582612560"/>
        <c:axId val="492196808"/>
      </c:lineChart>
      <c:catAx>
        <c:axId val="58261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96808"/>
        <c:crosses val="autoZero"/>
        <c:auto val="1"/>
        <c:lblAlgn val="ctr"/>
        <c:lblOffset val="100"/>
        <c:noMultiLvlLbl val="0"/>
      </c:catAx>
      <c:valAx>
        <c:axId val="492196808"/>
        <c:scaling>
          <c:orientation val="minMax"/>
          <c:min val="9"/>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125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Satisfaction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manualLayout>
          <c:layoutTarget val="inner"/>
          <c:xMode val="edge"/>
          <c:yMode val="edge"/>
          <c:x val="8.7539379241692833E-2"/>
          <c:y val="0.14225897705520762"/>
          <c:w val="0.88191704346917321"/>
          <c:h val="0.58073697893814713"/>
        </c:manualLayout>
      </c:layout>
      <c:barChart>
        <c:barDir val="col"/>
        <c:grouping val="clustered"/>
        <c:varyColors val="0"/>
        <c:ser>
          <c:idx val="0"/>
          <c:order val="0"/>
          <c:tx>
            <c:strRef>
              <c:f>'PIVOT TABLE'!$AC$24</c:f>
              <c:strCache>
                <c:ptCount val="1"/>
                <c:pt idx="0">
                  <c:v>Top Bar</c:v>
                </c:pt>
              </c:strCache>
            </c:strRef>
          </c:tx>
          <c:spPr>
            <a:solidFill>
              <a:srgbClr val="355E3B"/>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TABLE'!$AC$25:$AC$34</c:f>
              <c:numCache>
                <c:formatCode>0.00</c:formatCode>
                <c:ptCount val="10"/>
                <c:pt idx="0">
                  <c:v>6.0526315789473681</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580A-4633-822B-F423C309AA97}"/>
            </c:ext>
          </c:extLst>
        </c:ser>
        <c:ser>
          <c:idx val="1"/>
          <c:order val="1"/>
          <c:tx>
            <c:strRef>
              <c:f>'PIVOT TABLE'!$AD$24</c:f>
              <c:strCache>
                <c:ptCount val="1"/>
                <c:pt idx="0">
                  <c:v>Other Bar</c:v>
                </c:pt>
              </c:strCache>
            </c:strRef>
          </c:tx>
          <c:spPr>
            <a:solidFill>
              <a:schemeClr val="bg2">
                <a:lumMod val="90000"/>
              </a:schemeClr>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TABLE'!$AD$25:$AD$34</c:f>
              <c:numCache>
                <c:formatCode>0.00</c:formatCode>
                <c:ptCount val="10"/>
                <c:pt idx="0">
                  <c:v>#N/A</c:v>
                </c:pt>
                <c:pt idx="1">
                  <c:v>5.5740740740740744</c:v>
                </c:pt>
                <c:pt idx="2">
                  <c:v>5.5084745762711869</c:v>
                </c:pt>
                <c:pt idx="3">
                  <c:v>5.4923076923076923</c:v>
                </c:pt>
                <c:pt idx="4">
                  <c:v>5.3518518518518521</c:v>
                </c:pt>
                <c:pt idx="5">
                  <c:v>5.3207547169811322</c:v>
                </c:pt>
                <c:pt idx="6">
                  <c:v>5.1538461538461542</c:v>
                </c:pt>
                <c:pt idx="7">
                  <c:v>5.0192307692307692</c:v>
                </c:pt>
                <c:pt idx="8">
                  <c:v>4.7948717948717947</c:v>
                </c:pt>
                <c:pt idx="9">
                  <c:v>4.7446808510638299</c:v>
                </c:pt>
              </c:numCache>
            </c:numRef>
          </c:val>
          <c:extLst>
            <c:ext xmlns:c16="http://schemas.microsoft.com/office/drawing/2014/chart" uri="{C3380CC4-5D6E-409C-BE32-E72D297353CC}">
              <c16:uniqueId val="{00000001-580A-4633-822B-F423C309AA97}"/>
            </c:ext>
          </c:extLst>
        </c:ser>
        <c:dLbls>
          <c:showLegendKey val="0"/>
          <c:showVal val="0"/>
          <c:showCatName val="0"/>
          <c:showSerName val="0"/>
          <c:showPercent val="0"/>
          <c:showBubbleSize val="0"/>
        </c:dLbls>
        <c:gapWidth val="78"/>
        <c:overlap val="100"/>
        <c:axId val="1190092704"/>
        <c:axId val="1190093064"/>
      </c:barChart>
      <c:catAx>
        <c:axId val="11900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3064"/>
        <c:crosses val="autoZero"/>
        <c:auto val="1"/>
        <c:lblAlgn val="ctr"/>
        <c:lblOffset val="100"/>
        <c:noMultiLvlLbl val="0"/>
      </c:catAx>
      <c:valAx>
        <c:axId val="1190093064"/>
        <c:scaling>
          <c:orientation val="minMax"/>
          <c:max val="7"/>
          <c:min val="4"/>
        </c:scaling>
        <c:delete val="0"/>
        <c:axPos val="l"/>
        <c:numFmt formatCode="0.00" sourceLinked="1"/>
        <c:majorTickMark val="out"/>
        <c:minorTickMark val="none"/>
        <c:tickLblPos val="nextTo"/>
        <c:spPr>
          <a:noFill/>
          <a:ln>
            <a:noFill/>
          </a:ln>
          <a:effectLst/>
        </c:spPr>
        <c:txPr>
          <a:bodyPr rot="2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2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13" Type="http://schemas.openxmlformats.org/officeDocument/2006/relationships/image" Target="../media/image9.svg"/><Relationship Id="rId18" Type="http://schemas.openxmlformats.org/officeDocument/2006/relationships/chart" Target="../charts/chart2.xml"/><Relationship Id="rId26" Type="http://schemas.openxmlformats.org/officeDocument/2006/relationships/image" Target="../media/image17.svg"/><Relationship Id="rId3" Type="http://schemas.openxmlformats.org/officeDocument/2006/relationships/image" Target="../media/image2.png"/><Relationship Id="rId21" Type="http://schemas.openxmlformats.org/officeDocument/2006/relationships/image" Target="../media/image12.png"/><Relationship Id="rId7" Type="http://schemas.openxmlformats.org/officeDocument/2006/relationships/image" Target="../media/image5.svg"/><Relationship Id="rId12" Type="http://schemas.openxmlformats.org/officeDocument/2006/relationships/image" Target="../media/image8.png"/><Relationship Id="rId17" Type="http://schemas.openxmlformats.org/officeDocument/2006/relationships/chart" Target="../charts/chart1.xml"/><Relationship Id="rId25" Type="http://schemas.openxmlformats.org/officeDocument/2006/relationships/image" Target="../media/image16.png"/><Relationship Id="rId33" Type="http://schemas.openxmlformats.org/officeDocument/2006/relationships/image" Target="../media/image23.svg"/><Relationship Id="rId2" Type="http://schemas.openxmlformats.org/officeDocument/2006/relationships/hyperlink" Target="#Dashboard!A1"/><Relationship Id="rId16" Type="http://schemas.openxmlformats.org/officeDocument/2006/relationships/image" Target="../media/image11.svg"/><Relationship Id="rId20" Type="http://schemas.openxmlformats.org/officeDocument/2006/relationships/chart" Target="../charts/chart4.xml"/><Relationship Id="rId29"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Cleaned Dataset'!A1"/><Relationship Id="rId24" Type="http://schemas.openxmlformats.org/officeDocument/2006/relationships/image" Target="../media/image15.svg"/><Relationship Id="rId32" Type="http://schemas.openxmlformats.org/officeDocument/2006/relationships/image" Target="../media/image22.png"/><Relationship Id="rId5" Type="http://schemas.openxmlformats.org/officeDocument/2006/relationships/hyperlink" Target="#'PIVOT TABLE'!A1"/><Relationship Id="rId15" Type="http://schemas.openxmlformats.org/officeDocument/2006/relationships/image" Target="../media/image10.png"/><Relationship Id="rId23" Type="http://schemas.openxmlformats.org/officeDocument/2006/relationships/image" Target="../media/image14.png"/><Relationship Id="rId28" Type="http://schemas.openxmlformats.org/officeDocument/2006/relationships/image" Target="../media/image19.svg"/><Relationship Id="rId10" Type="http://schemas.openxmlformats.org/officeDocument/2006/relationships/image" Target="../media/image7.svg"/><Relationship Id="rId19" Type="http://schemas.openxmlformats.org/officeDocument/2006/relationships/chart" Target="../charts/chart3.xml"/><Relationship Id="rId31" Type="http://schemas.openxmlformats.org/officeDocument/2006/relationships/hyperlink" Target="#'Raw Data'!A1"/><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hyperlink" Target="#'KPI, CHARTS, SLICERS'!A1"/><Relationship Id="rId22" Type="http://schemas.openxmlformats.org/officeDocument/2006/relationships/image" Target="../media/image13.svg"/><Relationship Id="rId27" Type="http://schemas.openxmlformats.org/officeDocument/2006/relationships/image" Target="../media/image18.png"/><Relationship Id="rId30" Type="http://schemas.openxmlformats.org/officeDocument/2006/relationships/image" Target="../media/image21.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130628</xdr:colOff>
      <xdr:row>0</xdr:row>
      <xdr:rowOff>0</xdr:rowOff>
    </xdr:from>
    <xdr:to>
      <xdr:col>33</xdr:col>
      <xdr:colOff>130631</xdr:colOff>
      <xdr:row>51</xdr:row>
      <xdr:rowOff>49800</xdr:rowOff>
    </xdr:to>
    <xdr:grpSp>
      <xdr:nvGrpSpPr>
        <xdr:cNvPr id="18" name="Group 17">
          <a:extLst>
            <a:ext uri="{FF2B5EF4-FFF2-40B4-BE49-F238E27FC236}">
              <a16:creationId xmlns:a16="http://schemas.microsoft.com/office/drawing/2014/main" id="{DFB86E44-0791-56F8-7F93-12B36C3A4116}"/>
            </a:ext>
          </a:extLst>
        </xdr:cNvPr>
        <xdr:cNvGrpSpPr/>
      </xdr:nvGrpSpPr>
      <xdr:grpSpPr>
        <a:xfrm>
          <a:off x="740228" y="0"/>
          <a:ext cx="19507203" cy="9487714"/>
          <a:chOff x="740228" y="0"/>
          <a:chExt cx="19507203" cy="9487714"/>
        </a:xfrm>
      </xdr:grpSpPr>
      <xdr:sp macro="" textlink="">
        <xdr:nvSpPr>
          <xdr:cNvPr id="3" name="Rectangle 2">
            <a:extLst>
              <a:ext uri="{FF2B5EF4-FFF2-40B4-BE49-F238E27FC236}">
                <a16:creationId xmlns:a16="http://schemas.microsoft.com/office/drawing/2014/main" id="{8DFAEF7E-0626-157B-AE0E-75ECB8D45636}"/>
              </a:ext>
            </a:extLst>
          </xdr:cNvPr>
          <xdr:cNvSpPr/>
        </xdr:nvSpPr>
        <xdr:spPr>
          <a:xfrm>
            <a:off x="740228" y="32657"/>
            <a:ext cx="13049794" cy="9455057"/>
          </a:xfrm>
          <a:prstGeom prst="rect">
            <a:avLst/>
          </a:prstGeom>
          <a:solidFill>
            <a:srgbClr val="F7F5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Rounded Corners 3">
            <a:extLst>
              <a:ext uri="{FF2B5EF4-FFF2-40B4-BE49-F238E27FC236}">
                <a16:creationId xmlns:a16="http://schemas.microsoft.com/office/drawing/2014/main" id="{3176C4FE-FC6B-46DF-CC86-E5240CD72963}"/>
              </a:ext>
            </a:extLst>
          </xdr:cNvPr>
          <xdr:cNvSpPr/>
        </xdr:nvSpPr>
        <xdr:spPr>
          <a:xfrm>
            <a:off x="3144793" y="1812992"/>
            <a:ext cx="2197638" cy="1452290"/>
          </a:xfrm>
          <a:prstGeom prst="roundRect">
            <a:avLst>
              <a:gd name="adj" fmla="val 12317"/>
            </a:avLst>
          </a:prstGeom>
          <a:solidFill>
            <a:schemeClr val="bg1"/>
          </a:solidFill>
          <a:ln w="28575">
            <a:solidFill>
              <a:srgbClr val="FF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1BE4C53B-58AF-E9FF-168C-359D72C86B4C}"/>
              </a:ext>
            </a:extLst>
          </xdr:cNvPr>
          <xdr:cNvSpPr/>
        </xdr:nvSpPr>
        <xdr:spPr>
          <a:xfrm>
            <a:off x="8453373" y="6504125"/>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95AA9968-C951-E2CA-74D4-F7C8B4098952}"/>
              </a:ext>
            </a:extLst>
          </xdr:cNvPr>
          <xdr:cNvSpPr/>
        </xdr:nvSpPr>
        <xdr:spPr>
          <a:xfrm>
            <a:off x="11081657" y="134228"/>
            <a:ext cx="2357177" cy="383322"/>
          </a:xfrm>
          <a:prstGeom prst="roundRect">
            <a:avLst>
              <a:gd name="adj" fmla="val 2027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6">
            <a:extLst>
              <a:ext uri="{FF2B5EF4-FFF2-40B4-BE49-F238E27FC236}">
                <a16:creationId xmlns:a16="http://schemas.microsoft.com/office/drawing/2014/main" id="{5A90CF0B-456B-D59A-078F-D4CD9EDC0EF5}"/>
              </a:ext>
            </a:extLst>
          </xdr:cNvPr>
          <xdr:cNvSpPr/>
        </xdr:nvSpPr>
        <xdr:spPr>
          <a:xfrm>
            <a:off x="740228" y="32658"/>
            <a:ext cx="2084406" cy="9455056"/>
          </a:xfrm>
          <a:prstGeom prst="rect">
            <a:avLst/>
          </a:prstGeom>
          <a:solidFill>
            <a:srgbClr val="355E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B6383AAB-8986-CADE-D4CD-EF0AC20A1157}"/>
              </a:ext>
            </a:extLst>
          </xdr:cNvPr>
          <xdr:cNvSpPr/>
        </xdr:nvSpPr>
        <xdr:spPr>
          <a:xfrm>
            <a:off x="3144793" y="6504126"/>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0AAD4B98-0CDE-DFAC-73A3-C6D186FC5F40}"/>
              </a:ext>
            </a:extLst>
          </xdr:cNvPr>
          <xdr:cNvSpPr/>
        </xdr:nvSpPr>
        <xdr:spPr>
          <a:xfrm>
            <a:off x="8452677" y="3466314"/>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ED34ECF5-48B8-41B6-0658-4CA0D7F9A9E1}"/>
              </a:ext>
            </a:extLst>
          </xdr:cNvPr>
          <xdr:cNvSpPr/>
        </xdr:nvSpPr>
        <xdr:spPr>
          <a:xfrm>
            <a:off x="3115332" y="3489282"/>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92D4665B-EA5F-A672-6AA8-60218B5B38ED}"/>
              </a:ext>
            </a:extLst>
          </xdr:cNvPr>
          <xdr:cNvSpPr/>
        </xdr:nvSpPr>
        <xdr:spPr>
          <a:xfrm>
            <a:off x="5906115" y="1812992"/>
            <a:ext cx="2197638" cy="1452290"/>
          </a:xfrm>
          <a:prstGeom prst="roundRect">
            <a:avLst>
              <a:gd name="adj" fmla="val 12317"/>
            </a:avLst>
          </a:prstGeom>
          <a:solidFill>
            <a:schemeClr val="bg1"/>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542EFB1E-4986-DAFF-B0D3-B79C02A703D5}"/>
              </a:ext>
            </a:extLst>
          </xdr:cNvPr>
          <xdr:cNvSpPr/>
        </xdr:nvSpPr>
        <xdr:spPr>
          <a:xfrm>
            <a:off x="8538793" y="1812991"/>
            <a:ext cx="2197638" cy="1452290"/>
          </a:xfrm>
          <a:prstGeom prst="roundRect">
            <a:avLst>
              <a:gd name="adj" fmla="val 12317"/>
            </a:avLst>
          </a:prstGeom>
          <a:solidFill>
            <a:schemeClr val="bg1"/>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7B537DD9-9558-C755-4FA0-F191ACC48AC7}"/>
              </a:ext>
            </a:extLst>
          </xdr:cNvPr>
          <xdr:cNvSpPr/>
        </xdr:nvSpPr>
        <xdr:spPr>
          <a:xfrm>
            <a:off x="11241196" y="1812991"/>
            <a:ext cx="2197638" cy="1452290"/>
          </a:xfrm>
          <a:prstGeom prst="roundRect">
            <a:avLst>
              <a:gd name="adj" fmla="val 12317"/>
            </a:avLst>
          </a:prstGeom>
          <a:solidFill>
            <a:schemeClr val="bg1"/>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31965411-5AA7-1BA6-DD54-3465CA11D798}"/>
              </a:ext>
            </a:extLst>
          </xdr:cNvPr>
          <xdr:cNvSpPr/>
        </xdr:nvSpPr>
        <xdr:spPr>
          <a:xfrm>
            <a:off x="855216" y="1901872"/>
            <a:ext cx="1806584" cy="383321"/>
          </a:xfrm>
          <a:prstGeom prst="roundRect">
            <a:avLst>
              <a:gd name="adj" fmla="val 202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nvGrpSpPr>
          <xdr:cNvPr id="15" name="Group 14">
            <a:extLst>
              <a:ext uri="{FF2B5EF4-FFF2-40B4-BE49-F238E27FC236}">
                <a16:creationId xmlns:a16="http://schemas.microsoft.com/office/drawing/2014/main" id="{37AF55F3-0DDD-5759-6B1B-19E303D755DC}"/>
              </a:ext>
            </a:extLst>
          </xdr:cNvPr>
          <xdr:cNvGrpSpPr/>
        </xdr:nvGrpSpPr>
        <xdr:grpSpPr>
          <a:xfrm>
            <a:off x="1091416" y="135461"/>
            <a:ext cx="1358595" cy="1250440"/>
            <a:chOff x="455691" y="128587"/>
            <a:chExt cx="1358595" cy="1235756"/>
          </a:xfrm>
        </xdr:grpSpPr>
        <xdr:sp macro="" textlink="">
          <xdr:nvSpPr>
            <xdr:cNvPr id="22" name="Oval 21">
              <a:extLst>
                <a:ext uri="{FF2B5EF4-FFF2-40B4-BE49-F238E27FC236}">
                  <a16:creationId xmlns:a16="http://schemas.microsoft.com/office/drawing/2014/main" id="{F457D013-D66C-0554-882A-26A859292FC8}"/>
                </a:ext>
              </a:extLst>
            </xdr:cNvPr>
            <xdr:cNvSpPr/>
          </xdr:nvSpPr>
          <xdr:spPr>
            <a:xfrm>
              <a:off x="455691" y="128587"/>
              <a:ext cx="1358595" cy="1235756"/>
            </a:xfrm>
            <a:prstGeom prst="ellipse">
              <a:avLst/>
            </a:prstGeom>
            <a:solidFill>
              <a:srgbClr val="F7F5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pic>
          <xdr:nvPicPr>
            <xdr:cNvPr id="23" name="Picture 22">
              <a:extLst>
                <a:ext uri="{FF2B5EF4-FFF2-40B4-BE49-F238E27FC236}">
                  <a16:creationId xmlns:a16="http://schemas.microsoft.com/office/drawing/2014/main" id="{17C28175-1C7D-085E-4DB6-CAB147ABD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0564" t="18915" r="33571" b="23094"/>
            <a:stretch>
              <a:fillRect/>
            </a:stretch>
          </xdr:blipFill>
          <xdr:spPr>
            <a:xfrm>
              <a:off x="713457" y="292089"/>
              <a:ext cx="843062" cy="908753"/>
            </a:xfrm>
            <a:prstGeom prst="rect">
              <a:avLst/>
            </a:prstGeom>
          </xdr:spPr>
        </xdr:pic>
      </xdr:grpSp>
      <xdr:cxnSp macro="">
        <xdr:nvCxnSpPr>
          <xdr:cNvPr id="16" name="Straight Connector 15">
            <a:extLst>
              <a:ext uri="{FF2B5EF4-FFF2-40B4-BE49-F238E27FC236}">
                <a16:creationId xmlns:a16="http://schemas.microsoft.com/office/drawing/2014/main" id="{A3210495-79EB-D267-2456-5345FD7BB480}"/>
              </a:ext>
            </a:extLst>
          </xdr:cNvPr>
          <xdr:cNvCxnSpPr/>
        </xdr:nvCxnSpPr>
        <xdr:spPr>
          <a:xfrm>
            <a:off x="2882690" y="1568453"/>
            <a:ext cx="10815891" cy="0"/>
          </a:xfrm>
          <a:prstGeom prst="line">
            <a:avLst/>
          </a:prstGeom>
          <a:ln w="19050">
            <a:solidFill>
              <a:srgbClr val="A5A5A5">
                <a:alpha val="12941"/>
              </a:srgbClr>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xmlns:a14="http://schemas.microsoft.com/office/drawing/2010/main">
        <mc:Choice Requires="a14">
          <xdr:graphicFrame macro="">
            <xdr:nvGraphicFramePr>
              <xdr:cNvPr id="24" name="Diagnosis 1">
                <a:extLst>
                  <a:ext uri="{FF2B5EF4-FFF2-40B4-BE49-F238E27FC236}">
                    <a16:creationId xmlns:a16="http://schemas.microsoft.com/office/drawing/2014/main" id="{C2030A30-E19F-4069-AC7C-BC5912A83F04}"/>
                  </a:ext>
                </a:extLst>
              </xdr:cNvPr>
              <xdr:cNvGraphicFramePr/>
            </xdr:nvGraphicFramePr>
            <xdr:xfrm>
              <a:off x="838201" y="3222171"/>
              <a:ext cx="1883226" cy="2884715"/>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838201" y="3222171"/>
                <a:ext cx="1883226" cy="2884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5" name="Group 24">
            <a:extLst>
              <a:ext uri="{FF2B5EF4-FFF2-40B4-BE49-F238E27FC236}">
                <a16:creationId xmlns:a16="http://schemas.microsoft.com/office/drawing/2014/main" id="{A1CE3ED6-5F31-04BD-B123-2BA2200DC64F}"/>
              </a:ext>
            </a:extLst>
          </xdr:cNvPr>
          <xdr:cNvGrpSpPr/>
        </xdr:nvGrpSpPr>
        <xdr:grpSpPr>
          <a:xfrm>
            <a:off x="1025981" y="1913918"/>
            <a:ext cx="1488621" cy="359228"/>
            <a:chOff x="1025981" y="1864438"/>
            <a:chExt cx="1488621" cy="349331"/>
          </a:xfrm>
        </xdr:grpSpPr>
        <xdr:sp macro="" textlink="">
          <xdr:nvSpPr>
            <xdr:cNvPr id="39" name="TextBox 38">
              <a:hlinkClick xmlns:r="http://schemas.openxmlformats.org/officeDocument/2006/relationships" r:id="rId2"/>
              <a:extLst>
                <a:ext uri="{FF2B5EF4-FFF2-40B4-BE49-F238E27FC236}">
                  <a16:creationId xmlns:a16="http://schemas.microsoft.com/office/drawing/2014/main" id="{51FD2C1B-F05F-EDBB-96F7-DC7DB9EC92A9}"/>
                </a:ext>
              </a:extLst>
            </xdr:cNvPr>
            <xdr:cNvSpPr txBox="1"/>
          </xdr:nvSpPr>
          <xdr:spPr>
            <a:xfrm>
              <a:off x="1317174" y="1864438"/>
              <a:ext cx="1197428" cy="349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55E3B"/>
                  </a:solidFill>
                </a:rPr>
                <a:t>Dashboard</a:t>
              </a:r>
            </a:p>
          </xdr:txBody>
        </xdr:sp>
        <xdr:pic>
          <xdr:nvPicPr>
            <xdr:cNvPr id="41" name="Graphic 40">
              <a:extLst>
                <a:ext uri="{FF2B5EF4-FFF2-40B4-BE49-F238E27FC236}">
                  <a16:creationId xmlns:a16="http://schemas.microsoft.com/office/drawing/2014/main" id="{42A9F541-B0EB-98F5-3180-AAD178BEC6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5981" y="1897094"/>
              <a:ext cx="293916" cy="284019"/>
            </a:xfrm>
            <a:prstGeom prst="rect">
              <a:avLst/>
            </a:prstGeom>
          </xdr:spPr>
        </xdr:pic>
      </xdr:grpSp>
      <xdr:sp macro="" textlink="">
        <xdr:nvSpPr>
          <xdr:cNvPr id="17" name="Rectangle: Rounded Corners 16">
            <a:extLst>
              <a:ext uri="{FF2B5EF4-FFF2-40B4-BE49-F238E27FC236}">
                <a16:creationId xmlns:a16="http://schemas.microsoft.com/office/drawing/2014/main" id="{E45E6EBB-9196-6456-6A0D-A609ED95AFF3}"/>
              </a:ext>
            </a:extLst>
          </xdr:cNvPr>
          <xdr:cNvSpPr/>
        </xdr:nvSpPr>
        <xdr:spPr>
          <a:xfrm>
            <a:off x="9717741" y="674289"/>
            <a:ext cx="3721093" cy="516737"/>
          </a:xfrm>
          <a:prstGeom prst="roundRect">
            <a:avLst>
              <a:gd name="adj" fmla="val 2027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9" name="Straight Connector 18">
            <a:extLst>
              <a:ext uri="{FF2B5EF4-FFF2-40B4-BE49-F238E27FC236}">
                <a16:creationId xmlns:a16="http://schemas.microsoft.com/office/drawing/2014/main" id="{1C3EAC84-F300-6E4D-516C-8C78D80E43EA}"/>
              </a:ext>
            </a:extLst>
          </xdr:cNvPr>
          <xdr:cNvCxnSpPr>
            <a:cxnSpLocks/>
          </xdr:cNvCxnSpPr>
        </xdr:nvCxnSpPr>
        <xdr:spPr>
          <a:xfrm flipH="1">
            <a:off x="10663546" y="687505"/>
            <a:ext cx="6017" cy="611888"/>
          </a:xfrm>
          <a:prstGeom prst="line">
            <a:avLst/>
          </a:prstGeom>
          <a:ln w="19050">
            <a:solidFill>
              <a:srgbClr val="F7F5F2"/>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61E1EBB7-9AF7-21CA-5FC5-4905BA045A7E}"/>
              </a:ext>
            </a:extLst>
          </xdr:cNvPr>
          <xdr:cNvCxnSpPr>
            <a:cxnSpLocks/>
          </xdr:cNvCxnSpPr>
        </xdr:nvCxnSpPr>
        <xdr:spPr>
          <a:xfrm>
            <a:off x="11785474" y="667680"/>
            <a:ext cx="0" cy="631713"/>
          </a:xfrm>
          <a:prstGeom prst="line">
            <a:avLst/>
          </a:prstGeom>
          <a:ln w="19050">
            <a:solidFill>
              <a:srgbClr val="F7F5F2"/>
            </a:solidFill>
          </a:ln>
        </xdr:spPr>
        <xdr:style>
          <a:lnRef idx="1">
            <a:schemeClr val="accent1"/>
          </a:lnRef>
          <a:fillRef idx="0">
            <a:schemeClr val="accent1"/>
          </a:fillRef>
          <a:effectRef idx="0">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C3809EB7-DDD5-C7E9-D1EC-D300DCA5F10C}"/>
              </a:ext>
            </a:extLst>
          </xdr:cNvPr>
          <xdr:cNvCxnSpPr>
            <a:cxnSpLocks/>
          </xdr:cNvCxnSpPr>
        </xdr:nvCxnSpPr>
        <xdr:spPr>
          <a:xfrm>
            <a:off x="12553049" y="440692"/>
            <a:ext cx="0" cy="858702"/>
          </a:xfrm>
          <a:prstGeom prst="line">
            <a:avLst/>
          </a:prstGeom>
          <a:ln w="19050">
            <a:solidFill>
              <a:srgbClr val="F7F5F2"/>
            </a:solidFill>
          </a:ln>
        </xdr:spPr>
        <xdr:style>
          <a:lnRef idx="1">
            <a:schemeClr val="accent1"/>
          </a:lnRef>
          <a:fillRef idx="0">
            <a:schemeClr val="accent1"/>
          </a:fillRef>
          <a:effectRef idx="0">
            <a:schemeClr val="accent1"/>
          </a:effectRef>
          <a:fontRef idx="minor">
            <a:schemeClr val="tx1"/>
          </a:fontRef>
        </xdr:style>
      </xdr:cxnSp>
      <xdr:grpSp>
        <xdr:nvGrpSpPr>
          <xdr:cNvPr id="105" name="Group 104">
            <a:hlinkClick xmlns:r="http://schemas.openxmlformats.org/officeDocument/2006/relationships" r:id="rId5"/>
            <a:extLst>
              <a:ext uri="{FF2B5EF4-FFF2-40B4-BE49-F238E27FC236}">
                <a16:creationId xmlns:a16="http://schemas.microsoft.com/office/drawing/2014/main" id="{B52EE024-277A-2CBB-D2D0-687A2C0569B9}"/>
              </a:ext>
            </a:extLst>
          </xdr:cNvPr>
          <xdr:cNvGrpSpPr/>
        </xdr:nvGrpSpPr>
        <xdr:grpSpPr>
          <a:xfrm>
            <a:off x="9161286" y="770663"/>
            <a:ext cx="818985" cy="393467"/>
            <a:chOff x="9857979" y="770663"/>
            <a:chExt cx="818985" cy="393467"/>
          </a:xfrm>
        </xdr:grpSpPr>
        <xdr:pic>
          <xdr:nvPicPr>
            <xdr:cNvPr id="26" name="Graphic 25">
              <a:extLst>
                <a:ext uri="{FF2B5EF4-FFF2-40B4-BE49-F238E27FC236}">
                  <a16:creationId xmlns:a16="http://schemas.microsoft.com/office/drawing/2014/main" id="{D8BA0B32-9BB8-23B2-37C0-FCC9A0898DE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177028" y="770663"/>
              <a:ext cx="168243" cy="166721"/>
            </a:xfrm>
            <a:prstGeom prst="rect">
              <a:avLst/>
            </a:prstGeom>
          </xdr:spPr>
        </xdr:pic>
        <xdr:sp macro="" textlink="">
          <xdr:nvSpPr>
            <xdr:cNvPr id="42" name="TextBox 41">
              <a:extLst>
                <a:ext uri="{FF2B5EF4-FFF2-40B4-BE49-F238E27FC236}">
                  <a16:creationId xmlns:a16="http://schemas.microsoft.com/office/drawing/2014/main" id="{59CBACA2-91E0-60F8-EA94-10B4BE898B6B}"/>
                </a:ext>
              </a:extLst>
            </xdr:cNvPr>
            <xdr:cNvSpPr txBox="1"/>
          </xdr:nvSpPr>
          <xdr:spPr>
            <a:xfrm>
              <a:off x="9857979" y="901180"/>
              <a:ext cx="818985" cy="26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Pivot Table</a:t>
              </a:r>
            </a:p>
          </xdr:txBody>
        </xdr:sp>
      </xdr:grpSp>
      <xdr:grpSp>
        <xdr:nvGrpSpPr>
          <xdr:cNvPr id="107" name="Group 106">
            <a:hlinkClick xmlns:r="http://schemas.openxmlformats.org/officeDocument/2006/relationships" r:id="rId8"/>
            <a:extLst>
              <a:ext uri="{FF2B5EF4-FFF2-40B4-BE49-F238E27FC236}">
                <a16:creationId xmlns:a16="http://schemas.microsoft.com/office/drawing/2014/main" id="{9F8A5D24-478E-FCE7-AA5C-DA3E738DADEA}"/>
              </a:ext>
            </a:extLst>
          </xdr:cNvPr>
          <xdr:cNvGrpSpPr/>
        </xdr:nvGrpSpPr>
        <xdr:grpSpPr>
          <a:xfrm>
            <a:off x="11174505" y="679932"/>
            <a:ext cx="661461" cy="457307"/>
            <a:chOff x="11871198" y="679932"/>
            <a:chExt cx="661461" cy="457307"/>
          </a:xfrm>
        </xdr:grpSpPr>
        <xdr:pic>
          <xdr:nvPicPr>
            <xdr:cNvPr id="28" name="Graphic 27">
              <a:extLst>
                <a:ext uri="{FF2B5EF4-FFF2-40B4-BE49-F238E27FC236}">
                  <a16:creationId xmlns:a16="http://schemas.microsoft.com/office/drawing/2014/main" id="{E4008BFA-6F52-249D-D39E-CA465D175ED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83828" y="679932"/>
              <a:ext cx="232159" cy="230627"/>
            </a:xfrm>
            <a:prstGeom prst="rect">
              <a:avLst/>
            </a:prstGeom>
          </xdr:spPr>
        </xdr:pic>
        <xdr:sp macro="" textlink="">
          <xdr:nvSpPr>
            <xdr:cNvPr id="44" name="TextBox 43">
              <a:extLst>
                <a:ext uri="{FF2B5EF4-FFF2-40B4-BE49-F238E27FC236}">
                  <a16:creationId xmlns:a16="http://schemas.microsoft.com/office/drawing/2014/main" id="{AB24133D-D249-4203-D711-4C57FB8D03DB}"/>
                </a:ext>
              </a:extLst>
            </xdr:cNvPr>
            <xdr:cNvSpPr txBox="1"/>
          </xdr:nvSpPr>
          <xdr:spPr>
            <a:xfrm>
              <a:off x="11871198" y="883253"/>
              <a:ext cx="661461" cy="253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Analysis</a:t>
              </a:r>
            </a:p>
          </xdr:txBody>
        </xdr:sp>
      </xdr:grpSp>
      <xdr:grpSp>
        <xdr:nvGrpSpPr>
          <xdr:cNvPr id="35" name="Group 34">
            <a:hlinkClick xmlns:r="http://schemas.openxmlformats.org/officeDocument/2006/relationships" r:id="rId11"/>
            <a:extLst>
              <a:ext uri="{FF2B5EF4-FFF2-40B4-BE49-F238E27FC236}">
                <a16:creationId xmlns:a16="http://schemas.microsoft.com/office/drawing/2014/main" id="{79EFC16A-B574-DD50-5A60-1BC84A8409DE}"/>
              </a:ext>
            </a:extLst>
          </xdr:cNvPr>
          <xdr:cNvGrpSpPr/>
        </xdr:nvGrpSpPr>
        <xdr:grpSpPr>
          <a:xfrm>
            <a:off x="11821885" y="696880"/>
            <a:ext cx="954739" cy="413463"/>
            <a:chOff x="11821885" y="696880"/>
            <a:chExt cx="954739" cy="413463"/>
          </a:xfrm>
        </xdr:grpSpPr>
        <xdr:pic>
          <xdr:nvPicPr>
            <xdr:cNvPr id="32" name="Graphic 31">
              <a:extLst>
                <a:ext uri="{FF2B5EF4-FFF2-40B4-BE49-F238E27FC236}">
                  <a16:creationId xmlns:a16="http://schemas.microsoft.com/office/drawing/2014/main" id="{68DE350F-0D0D-2958-5CC7-96718E6AEA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82614" y="696880"/>
              <a:ext cx="231576" cy="235492"/>
            </a:xfrm>
            <a:prstGeom prst="rect">
              <a:avLst/>
            </a:prstGeom>
          </xdr:spPr>
        </xdr:pic>
        <xdr:sp macro="" textlink="">
          <xdr:nvSpPr>
            <xdr:cNvPr id="45" name="TextBox 44">
              <a:extLst>
                <a:ext uri="{FF2B5EF4-FFF2-40B4-BE49-F238E27FC236}">
                  <a16:creationId xmlns:a16="http://schemas.microsoft.com/office/drawing/2014/main" id="{E888CAC5-C8A1-4291-622E-A0EE47FC3742}"/>
                </a:ext>
              </a:extLst>
            </xdr:cNvPr>
            <xdr:cNvSpPr txBox="1"/>
          </xdr:nvSpPr>
          <xdr:spPr>
            <a:xfrm>
              <a:off x="11821885" y="874287"/>
              <a:ext cx="954739" cy="23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Cleaned</a:t>
              </a:r>
              <a:r>
                <a:rPr lang="en-US" sz="1100" b="0" baseline="0">
                  <a:solidFill>
                    <a:srgbClr val="355E3B"/>
                  </a:solidFill>
                </a:rPr>
                <a:t> </a:t>
              </a:r>
              <a:r>
                <a:rPr lang="en-US" sz="1100" b="0">
                  <a:solidFill>
                    <a:srgbClr val="355E3B"/>
                  </a:solidFill>
                </a:rPr>
                <a:t>Data</a:t>
              </a:r>
            </a:p>
          </xdr:txBody>
        </xdr:sp>
      </xdr:grpSp>
      <xdr:grpSp>
        <xdr:nvGrpSpPr>
          <xdr:cNvPr id="106" name="Group 105">
            <a:hlinkClick xmlns:r="http://schemas.openxmlformats.org/officeDocument/2006/relationships" r:id="rId14"/>
            <a:extLst>
              <a:ext uri="{FF2B5EF4-FFF2-40B4-BE49-F238E27FC236}">
                <a16:creationId xmlns:a16="http://schemas.microsoft.com/office/drawing/2014/main" id="{3AC08926-623B-7040-ABD1-7FCA047AAC09}"/>
              </a:ext>
            </a:extLst>
          </xdr:cNvPr>
          <xdr:cNvGrpSpPr/>
        </xdr:nvGrpSpPr>
        <xdr:grpSpPr>
          <a:xfrm>
            <a:off x="9953379" y="731831"/>
            <a:ext cx="1246093" cy="441266"/>
            <a:chOff x="10650072" y="731831"/>
            <a:chExt cx="1246093" cy="441266"/>
          </a:xfrm>
        </xdr:grpSpPr>
        <xdr:sp macro="" textlink="">
          <xdr:nvSpPr>
            <xdr:cNvPr id="43" name="TextBox 42">
              <a:extLst>
                <a:ext uri="{FF2B5EF4-FFF2-40B4-BE49-F238E27FC236}">
                  <a16:creationId xmlns:a16="http://schemas.microsoft.com/office/drawing/2014/main" id="{3318CFC4-1216-19D8-9CD7-BA47959B4C8D}"/>
                </a:ext>
              </a:extLst>
            </xdr:cNvPr>
            <xdr:cNvSpPr txBox="1"/>
          </xdr:nvSpPr>
          <xdr:spPr>
            <a:xfrm>
              <a:off x="10650072" y="894108"/>
              <a:ext cx="1246093" cy="278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KPIs, Charts</a:t>
              </a:r>
              <a:r>
                <a:rPr lang="en-US" sz="1100" b="0" baseline="0">
                  <a:solidFill>
                    <a:srgbClr val="355E3B"/>
                  </a:solidFill>
                </a:rPr>
                <a:t> Slicer</a:t>
              </a:r>
              <a:endParaRPr lang="en-US" sz="1100" b="0">
                <a:solidFill>
                  <a:srgbClr val="355E3B"/>
                </a:solidFill>
              </a:endParaRPr>
            </a:p>
          </xdr:txBody>
        </xdr:sp>
        <xdr:pic>
          <xdr:nvPicPr>
            <xdr:cNvPr id="57" name="Graphic 56">
              <a:extLst>
                <a:ext uri="{FF2B5EF4-FFF2-40B4-BE49-F238E27FC236}">
                  <a16:creationId xmlns:a16="http://schemas.microsoft.com/office/drawing/2014/main" id="{F18E5357-4D23-A48C-5846-5EF9351892B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191008" y="731831"/>
              <a:ext cx="203133" cy="206434"/>
            </a:xfrm>
            <a:prstGeom prst="rect">
              <a:avLst/>
            </a:prstGeom>
          </xdr:spPr>
        </xdr:pic>
      </xdr:grpSp>
      <xdr:graphicFrame macro="">
        <xdr:nvGraphicFramePr>
          <xdr:cNvPr id="59" name="Chart 58">
            <a:extLst>
              <a:ext uri="{FF2B5EF4-FFF2-40B4-BE49-F238E27FC236}">
                <a16:creationId xmlns:a16="http://schemas.microsoft.com/office/drawing/2014/main" id="{9D715EF5-2317-4810-BF2F-F0718193C858}"/>
              </a:ext>
            </a:extLst>
          </xdr:cNvPr>
          <xdr:cNvGraphicFramePr>
            <a:graphicFrameLocks/>
          </xdr:cNvGraphicFramePr>
        </xdr:nvGraphicFramePr>
        <xdr:xfrm>
          <a:off x="8567058" y="3537856"/>
          <a:ext cx="4735286" cy="264523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0" name="Chart 59">
            <a:extLst>
              <a:ext uri="{FF2B5EF4-FFF2-40B4-BE49-F238E27FC236}">
                <a16:creationId xmlns:a16="http://schemas.microsoft.com/office/drawing/2014/main" id="{49F53999-389A-4F6D-9824-8BB3FEBC9BFB}"/>
              </a:ext>
            </a:extLst>
          </xdr:cNvPr>
          <xdr:cNvGraphicFramePr>
            <a:graphicFrameLocks/>
          </xdr:cNvGraphicFramePr>
        </xdr:nvGraphicFramePr>
        <xdr:xfrm>
          <a:off x="3178629" y="3548743"/>
          <a:ext cx="4778828" cy="2677886"/>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61" name="TextBox 60">
            <a:extLst>
              <a:ext uri="{FF2B5EF4-FFF2-40B4-BE49-F238E27FC236}">
                <a16:creationId xmlns:a16="http://schemas.microsoft.com/office/drawing/2014/main" id="{7F2A0574-A7FC-8FEE-96BB-9B723EBFBCD1}"/>
              </a:ext>
            </a:extLst>
          </xdr:cNvPr>
          <xdr:cNvSpPr txBox="1"/>
        </xdr:nvSpPr>
        <xdr:spPr>
          <a:xfrm>
            <a:off x="2982683" y="248405"/>
            <a:ext cx="3635831"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355E3B"/>
                </a:solidFill>
              </a:rPr>
              <a:t>ST MARY'S HEALTHCARE GROUP</a:t>
            </a:r>
          </a:p>
        </xdr:txBody>
      </xdr:sp>
      <xdr:sp macro="" textlink="">
        <xdr:nvSpPr>
          <xdr:cNvPr id="62" name="TextBox 61">
            <a:extLst>
              <a:ext uri="{FF2B5EF4-FFF2-40B4-BE49-F238E27FC236}">
                <a16:creationId xmlns:a16="http://schemas.microsoft.com/office/drawing/2014/main" id="{C7A95F90-1EE7-FDCC-6A1A-FF927726022E}"/>
              </a:ext>
            </a:extLst>
          </xdr:cNvPr>
          <xdr:cNvSpPr txBox="1"/>
        </xdr:nvSpPr>
        <xdr:spPr>
          <a:xfrm>
            <a:off x="2996538" y="1323109"/>
            <a:ext cx="3251862" cy="307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6"/>
                </a:solidFill>
              </a:rPr>
              <a:t>Interactive Healthcare Performance Overview</a:t>
            </a:r>
            <a:endParaRPr lang="en-US" sz="1200">
              <a:solidFill>
                <a:schemeClr val="accent6"/>
              </a:solidFill>
              <a:effectLst/>
            </a:endParaRPr>
          </a:p>
        </xdr:txBody>
      </xdr:sp>
      <xdr:sp macro="" textlink="">
        <xdr:nvSpPr>
          <xdr:cNvPr id="63" name="TextBox 62">
            <a:extLst>
              <a:ext uri="{FF2B5EF4-FFF2-40B4-BE49-F238E27FC236}">
                <a16:creationId xmlns:a16="http://schemas.microsoft.com/office/drawing/2014/main" id="{34A33AEA-520F-2DAE-7043-CE9ABDAE374D}"/>
              </a:ext>
            </a:extLst>
          </xdr:cNvPr>
          <xdr:cNvSpPr txBox="1"/>
        </xdr:nvSpPr>
        <xdr:spPr>
          <a:xfrm>
            <a:off x="2982683" y="727375"/>
            <a:ext cx="3265717"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355E3B"/>
                </a:solidFill>
              </a:rPr>
              <a:t>Healthcare Performance Dashboard</a:t>
            </a:r>
          </a:p>
        </xdr:txBody>
      </xdr:sp>
      <xdr:graphicFrame macro="">
        <xdr:nvGraphicFramePr>
          <xdr:cNvPr id="64" name="Chart 63">
            <a:extLst>
              <a:ext uri="{FF2B5EF4-FFF2-40B4-BE49-F238E27FC236}">
                <a16:creationId xmlns:a16="http://schemas.microsoft.com/office/drawing/2014/main" id="{238668C4-6213-482E-8C75-7709E7A50751}"/>
              </a:ext>
            </a:extLst>
          </xdr:cNvPr>
          <xdr:cNvGraphicFramePr>
            <a:graphicFrameLocks/>
          </xdr:cNvGraphicFramePr>
        </xdr:nvGraphicFramePr>
        <xdr:xfrm>
          <a:off x="3211287" y="6585857"/>
          <a:ext cx="4844142" cy="266700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65" name="Chart 64">
            <a:extLst>
              <a:ext uri="{FF2B5EF4-FFF2-40B4-BE49-F238E27FC236}">
                <a16:creationId xmlns:a16="http://schemas.microsoft.com/office/drawing/2014/main" id="{06015F96-5354-428A-BD3F-1BC24C3E6B59}"/>
              </a:ext>
            </a:extLst>
          </xdr:cNvPr>
          <xdr:cNvGraphicFramePr>
            <a:graphicFrameLocks/>
          </xdr:cNvGraphicFramePr>
        </xdr:nvGraphicFramePr>
        <xdr:xfrm>
          <a:off x="8545287" y="6553200"/>
          <a:ext cx="4789714" cy="268941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66" name="TextBox 65">
            <a:extLst>
              <a:ext uri="{FF2B5EF4-FFF2-40B4-BE49-F238E27FC236}">
                <a16:creationId xmlns:a16="http://schemas.microsoft.com/office/drawing/2014/main" id="{F41DD061-064A-6E85-7E09-88438828A56A}"/>
              </a:ext>
            </a:extLst>
          </xdr:cNvPr>
          <xdr:cNvSpPr txBox="1"/>
        </xdr:nvSpPr>
        <xdr:spPr>
          <a:xfrm>
            <a:off x="11401183" y="173482"/>
            <a:ext cx="1032864" cy="28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355E3B"/>
                </a:solidFill>
              </a:rPr>
              <a:t>Last Updated</a:t>
            </a:r>
          </a:p>
        </xdr:txBody>
      </xdr:sp>
      <xdr:sp macro="" textlink="">
        <xdr:nvSpPr>
          <xdr:cNvPr id="67" name="TextBox 66">
            <a:extLst>
              <a:ext uri="{FF2B5EF4-FFF2-40B4-BE49-F238E27FC236}">
                <a16:creationId xmlns:a16="http://schemas.microsoft.com/office/drawing/2014/main" id="{8AFB4244-86CD-BFDB-03DD-AB4F623AE9D2}"/>
              </a:ext>
            </a:extLst>
          </xdr:cNvPr>
          <xdr:cNvSpPr txBox="1"/>
        </xdr:nvSpPr>
        <xdr:spPr>
          <a:xfrm>
            <a:off x="19616057" y="0"/>
            <a:ext cx="631374"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355E3B"/>
                </a:solidFill>
              </a:rPr>
              <a:t>Date:</a:t>
            </a:r>
          </a:p>
        </xdr:txBody>
      </xdr:sp>
      <xdr:sp macro="" textlink="'PIVOT TABLE'!D15">
        <xdr:nvSpPr>
          <xdr:cNvPr id="68" name="TextBox 67">
            <a:extLst>
              <a:ext uri="{FF2B5EF4-FFF2-40B4-BE49-F238E27FC236}">
                <a16:creationId xmlns:a16="http://schemas.microsoft.com/office/drawing/2014/main" id="{D73D6F7D-5D09-8F50-448F-B029FD491A31}"/>
              </a:ext>
            </a:extLst>
          </xdr:cNvPr>
          <xdr:cNvSpPr txBox="1"/>
        </xdr:nvSpPr>
        <xdr:spPr>
          <a:xfrm>
            <a:off x="12322627" y="141515"/>
            <a:ext cx="1175659"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ECFBD6-E916-41D3-966B-D9405EE65322}" type="TxLink">
              <a:rPr lang="en-US" sz="1500" b="1" i="0" u="none" strike="noStrike">
                <a:solidFill>
                  <a:srgbClr val="355E3B"/>
                </a:solidFill>
                <a:latin typeface="Calibri (Body)"/>
                <a:ea typeface="Calibri"/>
                <a:cs typeface="Calibri"/>
              </a:rPr>
              <a:pPr/>
              <a:t>7/17/2026</a:t>
            </a:fld>
            <a:endParaRPr lang="en-US" sz="1500" b="1">
              <a:solidFill>
                <a:srgbClr val="355E3B"/>
              </a:solidFill>
              <a:latin typeface="Calibri (Body)"/>
            </a:endParaRPr>
          </a:p>
        </xdr:txBody>
      </xdr:sp>
      <xdr:cxnSp macro="">
        <xdr:nvCxnSpPr>
          <xdr:cNvPr id="69" name="Straight Connector 68">
            <a:extLst>
              <a:ext uri="{FF2B5EF4-FFF2-40B4-BE49-F238E27FC236}">
                <a16:creationId xmlns:a16="http://schemas.microsoft.com/office/drawing/2014/main" id="{58A0F5E4-D129-7FF0-9D6A-3823388ACFA7}"/>
              </a:ext>
            </a:extLst>
          </xdr:cNvPr>
          <xdr:cNvCxnSpPr/>
        </xdr:nvCxnSpPr>
        <xdr:spPr>
          <a:xfrm>
            <a:off x="741068" y="6575881"/>
            <a:ext cx="2081196" cy="0"/>
          </a:xfrm>
          <a:prstGeom prst="line">
            <a:avLst/>
          </a:prstGeom>
          <a:ln w="19050">
            <a:solidFill>
              <a:srgbClr val="A5A5A5">
                <a:alpha val="12941"/>
              </a:srgbClr>
            </a:solidFill>
          </a:ln>
        </xdr:spPr>
        <xdr:style>
          <a:lnRef idx="1">
            <a:schemeClr val="accent1"/>
          </a:lnRef>
          <a:fillRef idx="0">
            <a:schemeClr val="accent1"/>
          </a:fillRef>
          <a:effectRef idx="0">
            <a:schemeClr val="accent1"/>
          </a:effectRef>
          <a:fontRef idx="minor">
            <a:schemeClr val="tx1"/>
          </a:fontRef>
        </xdr:style>
      </xdr:cxnSp>
      <xdr:sp macro="" textlink="'PIVOT TABLE'!$E$3">
        <xdr:nvSpPr>
          <xdr:cNvPr id="71" name="TextBox 70">
            <a:extLst>
              <a:ext uri="{FF2B5EF4-FFF2-40B4-BE49-F238E27FC236}">
                <a16:creationId xmlns:a16="http://schemas.microsoft.com/office/drawing/2014/main" id="{1578C338-A8C6-A152-E1F8-70620A6FB463}"/>
              </a:ext>
            </a:extLst>
          </xdr:cNvPr>
          <xdr:cNvSpPr txBox="1"/>
        </xdr:nvSpPr>
        <xdr:spPr>
          <a:xfrm>
            <a:off x="3266356" y="2303294"/>
            <a:ext cx="1632856"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6632F6-FE07-4A5C-88A5-8C21420A7D9A}" type="TxLink">
              <a:rPr lang="en-US" sz="2400" b="1" i="0" u="none" strike="noStrike">
                <a:solidFill>
                  <a:srgbClr val="355E3B"/>
                </a:solidFill>
                <a:latin typeface="Calibri"/>
                <a:ea typeface="Calibri"/>
                <a:cs typeface="Calibri"/>
              </a:rPr>
              <a:pPr/>
              <a:t>£6,454,834</a:t>
            </a:fld>
            <a:endParaRPr lang="en-US" sz="2400" b="1">
              <a:solidFill>
                <a:srgbClr val="355E3B"/>
              </a:solidFill>
            </a:endParaRPr>
          </a:p>
        </xdr:txBody>
      </xdr:sp>
      <xdr:sp macro="" textlink="">
        <xdr:nvSpPr>
          <xdr:cNvPr id="72" name="TextBox 71">
            <a:extLst>
              <a:ext uri="{FF2B5EF4-FFF2-40B4-BE49-F238E27FC236}">
                <a16:creationId xmlns:a16="http://schemas.microsoft.com/office/drawing/2014/main" id="{69A8E1AD-A32A-64E3-3977-65CEFE3082FE}"/>
              </a:ext>
            </a:extLst>
          </xdr:cNvPr>
          <xdr:cNvSpPr txBox="1"/>
        </xdr:nvSpPr>
        <xdr:spPr>
          <a:xfrm>
            <a:off x="3592928" y="1826880"/>
            <a:ext cx="1077684" cy="25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Revenue</a:t>
            </a:r>
          </a:p>
        </xdr:txBody>
      </xdr:sp>
      <xdr:pic>
        <xdr:nvPicPr>
          <xdr:cNvPr id="74" name="Graphic 73">
            <a:extLst>
              <a:ext uri="{FF2B5EF4-FFF2-40B4-BE49-F238E27FC236}">
                <a16:creationId xmlns:a16="http://schemas.microsoft.com/office/drawing/2014/main" id="{096280A4-B640-FF5E-9910-51ED53815E6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352800" y="1877465"/>
            <a:ext cx="228600" cy="234364"/>
          </a:xfrm>
          <a:prstGeom prst="rect">
            <a:avLst/>
          </a:prstGeom>
        </xdr:spPr>
      </xdr:pic>
      <xdr:pic>
        <xdr:nvPicPr>
          <xdr:cNvPr id="76" name="Graphic 75">
            <a:extLst>
              <a:ext uri="{FF2B5EF4-FFF2-40B4-BE49-F238E27FC236}">
                <a16:creationId xmlns:a16="http://schemas.microsoft.com/office/drawing/2014/main" id="{3B68C13B-7906-2519-5E08-E699613A8973}"/>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3317021" y="2937386"/>
            <a:ext cx="200951" cy="212477"/>
          </a:xfrm>
          <a:prstGeom prst="rect">
            <a:avLst/>
          </a:prstGeom>
        </xdr:spPr>
      </xdr:pic>
      <xdr:sp macro="" textlink="">
        <xdr:nvSpPr>
          <xdr:cNvPr id="77" name="TextBox 76">
            <a:extLst>
              <a:ext uri="{FF2B5EF4-FFF2-40B4-BE49-F238E27FC236}">
                <a16:creationId xmlns:a16="http://schemas.microsoft.com/office/drawing/2014/main" id="{04A45EC7-772B-36C1-802E-B217FCD6E453}"/>
              </a:ext>
            </a:extLst>
          </xdr:cNvPr>
          <xdr:cNvSpPr txBox="1"/>
        </xdr:nvSpPr>
        <xdr:spPr>
          <a:xfrm>
            <a:off x="4301139" y="2928258"/>
            <a:ext cx="934248" cy="26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Below Target</a:t>
            </a:r>
          </a:p>
        </xdr:txBody>
      </xdr:sp>
      <xdr:sp macro="" textlink="'PIVOT TABLE'!$G$3">
        <xdr:nvSpPr>
          <xdr:cNvPr id="79" name="TextBox 78">
            <a:extLst>
              <a:ext uri="{FF2B5EF4-FFF2-40B4-BE49-F238E27FC236}">
                <a16:creationId xmlns:a16="http://schemas.microsoft.com/office/drawing/2014/main" id="{2CFF9935-6C2B-271F-9735-80A70AD0F34B}"/>
              </a:ext>
            </a:extLst>
          </xdr:cNvPr>
          <xdr:cNvSpPr txBox="1"/>
        </xdr:nvSpPr>
        <xdr:spPr>
          <a:xfrm>
            <a:off x="3440528" y="2910327"/>
            <a:ext cx="737025" cy="298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0A73E4-BE89-4614-8661-CA149ABA446F}" type="TxLink">
              <a:rPr lang="en-US" sz="1300" b="0" i="0" u="none" strike="noStrike">
                <a:solidFill>
                  <a:srgbClr val="FF0000"/>
                </a:solidFill>
                <a:latin typeface="Calibri (Body)"/>
                <a:ea typeface="Calibri"/>
                <a:cs typeface="Calibri"/>
              </a:rPr>
              <a:pPr/>
              <a:t>92.21%</a:t>
            </a:fld>
            <a:endParaRPr lang="en-US" sz="1300">
              <a:solidFill>
                <a:srgbClr val="FF0000"/>
              </a:solidFill>
              <a:latin typeface="Calibri (Body)"/>
            </a:endParaRPr>
          </a:p>
        </xdr:txBody>
      </xdr:sp>
      <xdr:sp macro="" textlink="">
        <xdr:nvSpPr>
          <xdr:cNvPr id="80" name="TextBox 79">
            <a:extLst>
              <a:ext uri="{FF2B5EF4-FFF2-40B4-BE49-F238E27FC236}">
                <a16:creationId xmlns:a16="http://schemas.microsoft.com/office/drawing/2014/main" id="{8BE2E7CD-CE3D-8C17-8C5A-5B8B098602BC}"/>
              </a:ext>
            </a:extLst>
          </xdr:cNvPr>
          <xdr:cNvSpPr txBox="1"/>
        </xdr:nvSpPr>
        <xdr:spPr>
          <a:xfrm>
            <a:off x="11548276" y="1843465"/>
            <a:ext cx="1767840" cy="25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a:t>Average Satisfactory Score</a:t>
            </a:r>
          </a:p>
        </xdr:txBody>
      </xdr:sp>
      <xdr:pic>
        <xdr:nvPicPr>
          <xdr:cNvPr id="82" name="Graphic 81">
            <a:extLst>
              <a:ext uri="{FF2B5EF4-FFF2-40B4-BE49-F238E27FC236}">
                <a16:creationId xmlns:a16="http://schemas.microsoft.com/office/drawing/2014/main" id="{C9F0B892-FDDB-229F-7FEA-258B3FDA920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158758" y="1859537"/>
            <a:ext cx="233082" cy="196891"/>
          </a:xfrm>
          <a:prstGeom prst="rect">
            <a:avLst/>
          </a:prstGeom>
        </xdr:spPr>
      </xdr:pic>
      <xdr:sp macro="" textlink="">
        <xdr:nvSpPr>
          <xdr:cNvPr id="83" name="TextBox 82">
            <a:extLst>
              <a:ext uri="{FF2B5EF4-FFF2-40B4-BE49-F238E27FC236}">
                <a16:creationId xmlns:a16="http://schemas.microsoft.com/office/drawing/2014/main" id="{195545DF-FAD0-D8CC-D7A9-A5B1178F224F}"/>
              </a:ext>
            </a:extLst>
          </xdr:cNvPr>
          <xdr:cNvSpPr txBox="1"/>
        </xdr:nvSpPr>
        <xdr:spPr>
          <a:xfrm>
            <a:off x="6389916" y="1826880"/>
            <a:ext cx="1077684" cy="25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Patients</a:t>
            </a:r>
          </a:p>
        </xdr:txBody>
      </xdr:sp>
      <xdr:sp macro="" textlink="'PIVOT TABLE'!$E$2">
        <xdr:nvSpPr>
          <xdr:cNvPr id="84" name="TextBox 83">
            <a:extLst>
              <a:ext uri="{FF2B5EF4-FFF2-40B4-BE49-F238E27FC236}">
                <a16:creationId xmlns:a16="http://schemas.microsoft.com/office/drawing/2014/main" id="{E3378542-C9A6-1734-FDB7-6E8679D370CF}"/>
              </a:ext>
            </a:extLst>
          </xdr:cNvPr>
          <xdr:cNvSpPr txBox="1"/>
        </xdr:nvSpPr>
        <xdr:spPr>
          <a:xfrm>
            <a:off x="6067189" y="2319299"/>
            <a:ext cx="584625" cy="388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C27364-4052-4C99-A116-73EDEEA4F2F4}" type="TxLink">
              <a:rPr lang="en-US" sz="2000" b="1" i="0" u="none" strike="noStrike">
                <a:solidFill>
                  <a:srgbClr val="355E3B"/>
                </a:solidFill>
                <a:latin typeface="Calibri"/>
                <a:ea typeface="Calibri"/>
                <a:cs typeface="Calibri"/>
              </a:rPr>
              <a:pPr/>
              <a:t>500</a:t>
            </a:fld>
            <a:endParaRPr lang="en-US" sz="2000" b="1">
              <a:solidFill>
                <a:srgbClr val="355E3B"/>
              </a:solidFill>
            </a:endParaRPr>
          </a:p>
        </xdr:txBody>
      </xdr:sp>
      <xdr:sp macro="" textlink="">
        <xdr:nvSpPr>
          <xdr:cNvPr id="85" name="TextBox 84">
            <a:extLst>
              <a:ext uri="{FF2B5EF4-FFF2-40B4-BE49-F238E27FC236}">
                <a16:creationId xmlns:a16="http://schemas.microsoft.com/office/drawing/2014/main" id="{E186CE25-B3B6-6871-39F7-1BBD19FEB1AC}"/>
              </a:ext>
            </a:extLst>
          </xdr:cNvPr>
          <xdr:cNvSpPr txBox="1"/>
        </xdr:nvSpPr>
        <xdr:spPr>
          <a:xfrm>
            <a:off x="6847113" y="2917370"/>
            <a:ext cx="1317171" cy="283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Below Expectation</a:t>
            </a:r>
          </a:p>
        </xdr:txBody>
      </xdr:sp>
      <xdr:sp macro="" textlink="'PIVOT TABLE'!$G$2">
        <xdr:nvSpPr>
          <xdr:cNvPr id="86" name="TextBox 85">
            <a:extLst>
              <a:ext uri="{FF2B5EF4-FFF2-40B4-BE49-F238E27FC236}">
                <a16:creationId xmlns:a16="http://schemas.microsoft.com/office/drawing/2014/main" id="{D2DF609E-6680-75E2-A5C5-DE80FFFD03B5}"/>
              </a:ext>
            </a:extLst>
          </xdr:cNvPr>
          <xdr:cNvSpPr txBox="1"/>
        </xdr:nvSpPr>
        <xdr:spPr>
          <a:xfrm>
            <a:off x="6242639" y="2892399"/>
            <a:ext cx="683237" cy="280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21007A-9CDA-4541-88FA-CD840BD67224}" type="TxLink">
              <a:rPr lang="en-US" sz="1300" b="0" i="0" u="none" strike="noStrike">
                <a:solidFill>
                  <a:srgbClr val="FF0000"/>
                </a:solidFill>
                <a:latin typeface="Calibri (Body)"/>
                <a:ea typeface="Calibri"/>
                <a:cs typeface="Calibri"/>
              </a:rPr>
              <a:pPr/>
              <a:t>76.92%</a:t>
            </a:fld>
            <a:endParaRPr lang="en-US" sz="1300">
              <a:solidFill>
                <a:srgbClr val="FF0000"/>
              </a:solidFill>
              <a:latin typeface="Calibri (Body)"/>
            </a:endParaRPr>
          </a:p>
        </xdr:txBody>
      </xdr:sp>
      <xdr:pic>
        <xdr:nvPicPr>
          <xdr:cNvPr id="87" name="Graphic 86">
            <a:extLst>
              <a:ext uri="{FF2B5EF4-FFF2-40B4-BE49-F238E27FC236}">
                <a16:creationId xmlns:a16="http://schemas.microsoft.com/office/drawing/2014/main" id="{7A43EA28-C327-B77B-36CB-16F341D9306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6121056" y="2917535"/>
            <a:ext cx="200951" cy="206714"/>
          </a:xfrm>
          <a:prstGeom prst="rect">
            <a:avLst/>
          </a:prstGeom>
        </xdr:spPr>
      </xdr:pic>
      <xdr:sp macro="" textlink="'PIVOT TABLE'!E4">
        <xdr:nvSpPr>
          <xdr:cNvPr id="88" name="TextBox 87">
            <a:extLst>
              <a:ext uri="{FF2B5EF4-FFF2-40B4-BE49-F238E27FC236}">
                <a16:creationId xmlns:a16="http://schemas.microsoft.com/office/drawing/2014/main" id="{61F4C8FD-2A7F-AA65-0E48-E1122B838990}"/>
              </a:ext>
            </a:extLst>
          </xdr:cNvPr>
          <xdr:cNvSpPr txBox="1"/>
        </xdr:nvSpPr>
        <xdr:spPr>
          <a:xfrm>
            <a:off x="8645435" y="2354260"/>
            <a:ext cx="879565" cy="320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3019A3-93B3-4FBA-B807-DC457ED46423}" type="TxLink">
              <a:rPr lang="en-US" sz="1800" b="1" i="0" u="none" strike="noStrike">
                <a:solidFill>
                  <a:srgbClr val="355E3B"/>
                </a:solidFill>
                <a:latin typeface="Calibri (Body)"/>
                <a:ea typeface="Calibri"/>
                <a:cs typeface="Calibri"/>
              </a:rPr>
              <a:pPr/>
              <a:t>10.71</a:t>
            </a:fld>
            <a:endParaRPr lang="en-US" sz="1800" b="1">
              <a:solidFill>
                <a:srgbClr val="355E3B"/>
              </a:solidFill>
              <a:latin typeface="Calibri (Body)"/>
            </a:endParaRPr>
          </a:p>
        </xdr:txBody>
      </xdr:sp>
      <xdr:sp macro="" textlink="">
        <xdr:nvSpPr>
          <xdr:cNvPr id="90" name="TextBox 89">
            <a:extLst>
              <a:ext uri="{FF2B5EF4-FFF2-40B4-BE49-F238E27FC236}">
                <a16:creationId xmlns:a16="http://schemas.microsoft.com/office/drawing/2014/main" id="{16077282-A1BF-B5E2-4FBF-260C956B134B}"/>
              </a:ext>
            </a:extLst>
          </xdr:cNvPr>
          <xdr:cNvSpPr txBox="1"/>
        </xdr:nvSpPr>
        <xdr:spPr>
          <a:xfrm>
            <a:off x="8972392" y="1872345"/>
            <a:ext cx="1606602" cy="25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t>Average Length of Stay</a:t>
            </a:r>
            <a:endParaRPr lang="en-US" sz="1200"/>
          </a:p>
        </xdr:txBody>
      </xdr:sp>
      <xdr:pic>
        <xdr:nvPicPr>
          <xdr:cNvPr id="94" name="Graphic 93">
            <a:extLst>
              <a:ext uri="{FF2B5EF4-FFF2-40B4-BE49-F238E27FC236}">
                <a16:creationId xmlns:a16="http://schemas.microsoft.com/office/drawing/2014/main" id="{1EF13F45-5C2B-A1B3-E405-B852A8D3E80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708572" y="1839686"/>
            <a:ext cx="304800" cy="304800"/>
          </a:xfrm>
          <a:prstGeom prst="rect">
            <a:avLst/>
          </a:prstGeom>
        </xdr:spPr>
      </xdr:pic>
      <xdr:pic>
        <xdr:nvPicPr>
          <xdr:cNvPr id="95" name="Graphic 94">
            <a:extLst>
              <a:ext uri="{FF2B5EF4-FFF2-40B4-BE49-F238E27FC236}">
                <a16:creationId xmlns:a16="http://schemas.microsoft.com/office/drawing/2014/main" id="{1A74B04E-03F5-5B0A-4BA9-32237F1B7E2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8667323" y="2928421"/>
            <a:ext cx="200951" cy="206714"/>
          </a:xfrm>
          <a:prstGeom prst="rect">
            <a:avLst/>
          </a:prstGeom>
        </xdr:spPr>
      </xdr:pic>
      <xdr:sp macro="" textlink="'PIVOT TABLE'!G4">
        <xdr:nvSpPr>
          <xdr:cNvPr id="96" name="TextBox 95">
            <a:extLst>
              <a:ext uri="{FF2B5EF4-FFF2-40B4-BE49-F238E27FC236}">
                <a16:creationId xmlns:a16="http://schemas.microsoft.com/office/drawing/2014/main" id="{97EEF328-AC17-32DE-72CC-E0475904519C}"/>
              </a:ext>
            </a:extLst>
          </xdr:cNvPr>
          <xdr:cNvSpPr txBox="1"/>
        </xdr:nvSpPr>
        <xdr:spPr>
          <a:xfrm>
            <a:off x="8774321" y="2906487"/>
            <a:ext cx="743749" cy="30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11902A-F8FA-4E3F-9852-C49239B12D84}" type="TxLink">
              <a:rPr lang="en-US" sz="1300" b="0" i="0" u="none" strike="noStrike">
                <a:solidFill>
                  <a:srgbClr val="FF0000"/>
                </a:solidFill>
                <a:latin typeface="Calibri (Body)"/>
                <a:ea typeface="Calibri"/>
                <a:cs typeface="Calibri"/>
              </a:rPr>
              <a:pPr/>
              <a:t>46.67%</a:t>
            </a:fld>
            <a:endParaRPr lang="en-US" sz="1300">
              <a:solidFill>
                <a:srgbClr val="FF0000"/>
              </a:solidFill>
              <a:latin typeface="Calibri (Body)"/>
            </a:endParaRPr>
          </a:p>
        </xdr:txBody>
      </xdr:sp>
      <xdr:sp macro="" textlink="">
        <xdr:nvSpPr>
          <xdr:cNvPr id="97" name="TextBox 96">
            <a:extLst>
              <a:ext uri="{FF2B5EF4-FFF2-40B4-BE49-F238E27FC236}">
                <a16:creationId xmlns:a16="http://schemas.microsoft.com/office/drawing/2014/main" id="{463F6C0F-1948-BE6D-FDDE-C28B2E6CF7EB}"/>
              </a:ext>
            </a:extLst>
          </xdr:cNvPr>
          <xdr:cNvSpPr txBox="1"/>
        </xdr:nvSpPr>
        <xdr:spPr>
          <a:xfrm>
            <a:off x="9393379" y="2928259"/>
            <a:ext cx="1454727" cy="295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Exceeds Stay Target</a:t>
            </a:r>
          </a:p>
        </xdr:txBody>
      </xdr:sp>
      <xdr:sp macro="" textlink="">
        <xdr:nvSpPr>
          <xdr:cNvPr id="98" name="TextBox 97">
            <a:extLst>
              <a:ext uri="{FF2B5EF4-FFF2-40B4-BE49-F238E27FC236}">
                <a16:creationId xmlns:a16="http://schemas.microsoft.com/office/drawing/2014/main" id="{0D61395C-FBD4-9C55-89C8-430961733477}"/>
              </a:ext>
            </a:extLst>
          </xdr:cNvPr>
          <xdr:cNvSpPr txBox="1"/>
        </xdr:nvSpPr>
        <xdr:spPr>
          <a:xfrm>
            <a:off x="1132114" y="8795656"/>
            <a:ext cx="1216767" cy="313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solidFill>
              </a:rPr>
              <a:t>Report</a:t>
            </a:r>
            <a:r>
              <a:rPr lang="en-US" sz="1400" b="1" i="1" baseline="0">
                <a:solidFill>
                  <a:schemeClr val="bg1"/>
                </a:solidFill>
              </a:rPr>
              <a:t> Period</a:t>
            </a:r>
            <a:endParaRPr lang="en-US" sz="1400" b="1" i="1">
              <a:solidFill>
                <a:schemeClr val="bg1"/>
              </a:solidFill>
            </a:endParaRPr>
          </a:p>
        </xdr:txBody>
      </xdr:sp>
      <xdr:pic>
        <xdr:nvPicPr>
          <xdr:cNvPr id="100" name="Graphic 99">
            <a:extLst>
              <a:ext uri="{FF2B5EF4-FFF2-40B4-BE49-F238E27FC236}">
                <a16:creationId xmlns:a16="http://schemas.microsoft.com/office/drawing/2014/main" id="{9C7D798E-644A-A674-D62F-F4F5B539B06D}"/>
              </a:ext>
            </a:extLst>
          </xdr:cNvPr>
          <xdr:cNvPicPr>
            <a:picLocks noChangeAspect="1"/>
          </xdr:cNvPicPr>
        </xdr:nvPicPr>
        <xdr:blipFill rotWithShape="1">
          <a:blip xmlns:r="http://schemas.openxmlformats.org/officeDocument/2006/relationships" r:embed="rId29">
            <a:extLst>
              <a:ext uri="{96DAC541-7B7A-43D3-8B79-37D633B846F1}">
                <asvg:svgBlip xmlns:asvg="http://schemas.microsoft.com/office/drawing/2016/SVG/main" r:embed="rId30"/>
              </a:ext>
            </a:extLst>
          </a:blip>
          <a:srcRect l="27500" t="8000" r="26250" b="9000"/>
          <a:stretch>
            <a:fillRect/>
          </a:stretch>
        </xdr:blipFill>
        <xdr:spPr>
          <a:xfrm>
            <a:off x="11449277" y="1825706"/>
            <a:ext cx="166254" cy="302380"/>
          </a:xfrm>
          <a:prstGeom prst="rect">
            <a:avLst/>
          </a:prstGeom>
        </xdr:spPr>
      </xdr:pic>
      <xdr:sp macro="" textlink="'PIVOT TABLE'!E5">
        <xdr:nvSpPr>
          <xdr:cNvPr id="101" name="TextBox 100">
            <a:extLst>
              <a:ext uri="{FF2B5EF4-FFF2-40B4-BE49-F238E27FC236}">
                <a16:creationId xmlns:a16="http://schemas.microsoft.com/office/drawing/2014/main" id="{331598E2-50FF-1C6E-22AD-E2C61AFDA9B4}"/>
              </a:ext>
            </a:extLst>
          </xdr:cNvPr>
          <xdr:cNvSpPr txBox="1"/>
        </xdr:nvSpPr>
        <xdr:spPr>
          <a:xfrm>
            <a:off x="11384025" y="2337678"/>
            <a:ext cx="655575" cy="274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7B5F87-9732-4B8B-8AA8-6BBAE23825E9}" type="TxLink">
              <a:rPr lang="en-US" sz="1800" b="1" i="0" u="none" strike="noStrike">
                <a:solidFill>
                  <a:srgbClr val="355E3B"/>
                </a:solidFill>
                <a:latin typeface="Calibri (Body)"/>
                <a:ea typeface="Calibri"/>
                <a:cs typeface="Calibri"/>
              </a:rPr>
              <a:pPr/>
              <a:t>5.31</a:t>
            </a:fld>
            <a:endParaRPr lang="en-US" sz="1800" b="1">
              <a:solidFill>
                <a:srgbClr val="355E3B"/>
              </a:solidFill>
              <a:latin typeface="Calibri (Body)"/>
            </a:endParaRPr>
          </a:p>
        </xdr:txBody>
      </xdr:sp>
      <xdr:sp macro="" textlink="'PIVOT TABLE'!G5">
        <xdr:nvSpPr>
          <xdr:cNvPr id="102" name="TextBox 101">
            <a:extLst>
              <a:ext uri="{FF2B5EF4-FFF2-40B4-BE49-F238E27FC236}">
                <a16:creationId xmlns:a16="http://schemas.microsoft.com/office/drawing/2014/main" id="{72809CA0-6154-8981-757F-5C6660C76374}"/>
              </a:ext>
            </a:extLst>
          </xdr:cNvPr>
          <xdr:cNvSpPr txBox="1"/>
        </xdr:nvSpPr>
        <xdr:spPr>
          <a:xfrm>
            <a:off x="11507723" y="2906486"/>
            <a:ext cx="720890"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DF66D7-8E3A-43E3-A21C-D9D75E85FE65}" type="TxLink">
              <a:rPr lang="en-US" sz="1300" b="0" i="0" u="none" strike="noStrike">
                <a:solidFill>
                  <a:srgbClr val="FF0000"/>
                </a:solidFill>
                <a:latin typeface="Calibri (Body)"/>
                <a:ea typeface="Calibri"/>
                <a:cs typeface="Calibri"/>
              </a:rPr>
              <a:pPr/>
              <a:t>75.89%</a:t>
            </a:fld>
            <a:endParaRPr lang="en-US" sz="1300">
              <a:solidFill>
                <a:srgbClr val="FF0000"/>
              </a:solidFill>
              <a:latin typeface="Calibri (Body)"/>
            </a:endParaRPr>
          </a:p>
        </xdr:txBody>
      </xdr:sp>
      <xdr:sp macro="" textlink="">
        <xdr:nvSpPr>
          <xdr:cNvPr id="103" name="TextBox 102">
            <a:extLst>
              <a:ext uri="{FF2B5EF4-FFF2-40B4-BE49-F238E27FC236}">
                <a16:creationId xmlns:a16="http://schemas.microsoft.com/office/drawing/2014/main" id="{8E14D75A-D92B-F05B-B62A-55D9F238D38B}"/>
              </a:ext>
            </a:extLst>
          </xdr:cNvPr>
          <xdr:cNvSpPr txBox="1"/>
        </xdr:nvSpPr>
        <xdr:spPr>
          <a:xfrm>
            <a:off x="12145637" y="2817420"/>
            <a:ext cx="1320981" cy="541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Below Satisfaction</a:t>
            </a:r>
            <a:r>
              <a:rPr lang="en-US" sz="1100" baseline="0">
                <a:solidFill>
                  <a:schemeClr val="bg2">
                    <a:lumMod val="50000"/>
                  </a:schemeClr>
                </a:solidFill>
              </a:rPr>
              <a:t> Goal</a:t>
            </a:r>
            <a:endParaRPr lang="en-US" sz="1100">
              <a:solidFill>
                <a:schemeClr val="bg2">
                  <a:lumMod val="50000"/>
                </a:schemeClr>
              </a:solidFill>
            </a:endParaRPr>
          </a:p>
        </xdr:txBody>
      </xdr:sp>
      <xdr:pic>
        <xdr:nvPicPr>
          <xdr:cNvPr id="104" name="Graphic 103">
            <a:extLst>
              <a:ext uri="{FF2B5EF4-FFF2-40B4-BE49-F238E27FC236}">
                <a16:creationId xmlns:a16="http://schemas.microsoft.com/office/drawing/2014/main" id="{74FB7EBD-3D0F-05FC-24AC-5421ECE1B36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11399636" y="2945245"/>
            <a:ext cx="200951" cy="211661"/>
          </a:xfrm>
          <a:prstGeom prst="rect">
            <a:avLst/>
          </a:prstGeom>
        </xdr:spPr>
      </xdr:pic>
      <xdr:sp macro="" textlink="">
        <xdr:nvSpPr>
          <xdr:cNvPr id="2" name="TextBox 1">
            <a:extLst>
              <a:ext uri="{FF2B5EF4-FFF2-40B4-BE49-F238E27FC236}">
                <a16:creationId xmlns:a16="http://schemas.microsoft.com/office/drawing/2014/main" id="{A474FCD3-3FF1-72CC-4AB2-F1ED9782ADAF}"/>
              </a:ext>
            </a:extLst>
          </xdr:cNvPr>
          <xdr:cNvSpPr txBox="1"/>
        </xdr:nvSpPr>
        <xdr:spPr>
          <a:xfrm>
            <a:off x="955512" y="9065047"/>
            <a:ext cx="1657060" cy="37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Jan 2024 - Dec 2025</a:t>
            </a:r>
          </a:p>
        </xdr:txBody>
      </xdr:sp>
      <xdr:grpSp>
        <xdr:nvGrpSpPr>
          <xdr:cNvPr id="34" name="Group 33">
            <a:hlinkClick xmlns:r="http://schemas.openxmlformats.org/officeDocument/2006/relationships" r:id="rId31"/>
            <a:extLst>
              <a:ext uri="{FF2B5EF4-FFF2-40B4-BE49-F238E27FC236}">
                <a16:creationId xmlns:a16="http://schemas.microsoft.com/office/drawing/2014/main" id="{340D6ABE-D195-9004-BC38-CB28143B3D3A}"/>
              </a:ext>
            </a:extLst>
          </xdr:cNvPr>
          <xdr:cNvGrpSpPr/>
        </xdr:nvGrpSpPr>
        <xdr:grpSpPr>
          <a:xfrm>
            <a:off x="12732446" y="718458"/>
            <a:ext cx="773522" cy="418779"/>
            <a:chOff x="12710674" y="718458"/>
            <a:chExt cx="773522" cy="418779"/>
          </a:xfrm>
        </xdr:grpSpPr>
        <xdr:sp macro="" textlink="">
          <xdr:nvSpPr>
            <xdr:cNvPr id="30" name="TextBox 29">
              <a:extLst>
                <a:ext uri="{FF2B5EF4-FFF2-40B4-BE49-F238E27FC236}">
                  <a16:creationId xmlns:a16="http://schemas.microsoft.com/office/drawing/2014/main" id="{1110A29B-73C1-C023-BFC9-1EC97CA15D8D}"/>
                </a:ext>
              </a:extLst>
            </xdr:cNvPr>
            <xdr:cNvSpPr txBox="1"/>
          </xdr:nvSpPr>
          <xdr:spPr>
            <a:xfrm>
              <a:off x="12710674" y="874287"/>
              <a:ext cx="773522" cy="26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Raw Data</a:t>
              </a:r>
            </a:p>
          </xdr:txBody>
        </xdr:sp>
        <xdr:pic>
          <xdr:nvPicPr>
            <xdr:cNvPr id="33" name="Graphic 32">
              <a:extLst>
                <a:ext uri="{FF2B5EF4-FFF2-40B4-BE49-F238E27FC236}">
                  <a16:creationId xmlns:a16="http://schemas.microsoft.com/office/drawing/2014/main" id="{934BA059-1B8A-981A-836B-81431088494B}"/>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2932228" y="718458"/>
              <a:ext cx="212269" cy="212269"/>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9413</xdr:colOff>
      <xdr:row>4</xdr:row>
      <xdr:rowOff>40119</xdr:rowOff>
    </xdr:from>
    <xdr:to>
      <xdr:col>46</xdr:col>
      <xdr:colOff>452269</xdr:colOff>
      <xdr:row>19</xdr:row>
      <xdr:rowOff>40119</xdr:rowOff>
    </xdr:to>
    <xdr:graphicFrame macro="">
      <xdr:nvGraphicFramePr>
        <xdr:cNvPr id="3" name="Chart 2">
          <a:extLst>
            <a:ext uri="{FF2B5EF4-FFF2-40B4-BE49-F238E27FC236}">
              <a16:creationId xmlns:a16="http://schemas.microsoft.com/office/drawing/2014/main" id="{B69BF38E-C6AA-9A91-4B6F-BB1A6B768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16136</xdr:colOff>
      <xdr:row>25</xdr:row>
      <xdr:rowOff>20843</xdr:rowOff>
    </xdr:from>
    <xdr:to>
      <xdr:col>46</xdr:col>
      <xdr:colOff>460337</xdr:colOff>
      <xdr:row>39</xdr:row>
      <xdr:rowOff>119454</xdr:rowOff>
    </xdr:to>
    <xdr:graphicFrame macro="">
      <xdr:nvGraphicFramePr>
        <xdr:cNvPr id="4" name="Chart 3">
          <a:extLst>
            <a:ext uri="{FF2B5EF4-FFF2-40B4-BE49-F238E27FC236}">
              <a16:creationId xmlns:a16="http://schemas.microsoft.com/office/drawing/2014/main" id="{6A476CB6-01B6-22CC-9114-B950D4316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8070</xdr:colOff>
      <xdr:row>46</xdr:row>
      <xdr:rowOff>11877</xdr:rowOff>
    </xdr:from>
    <xdr:to>
      <xdr:col>46</xdr:col>
      <xdr:colOff>455857</xdr:colOff>
      <xdr:row>61</xdr:row>
      <xdr:rowOff>11877</xdr:rowOff>
    </xdr:to>
    <xdr:graphicFrame macro="">
      <xdr:nvGraphicFramePr>
        <xdr:cNvPr id="5" name="Chart 4">
          <a:extLst>
            <a:ext uri="{FF2B5EF4-FFF2-40B4-BE49-F238E27FC236}">
              <a16:creationId xmlns:a16="http://schemas.microsoft.com/office/drawing/2014/main" id="{F3604130-9F9B-C082-99A2-A6650E592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24205</xdr:colOff>
      <xdr:row>68</xdr:row>
      <xdr:rowOff>14568</xdr:rowOff>
    </xdr:from>
    <xdr:to>
      <xdr:col>46</xdr:col>
      <xdr:colOff>474233</xdr:colOff>
      <xdr:row>83</xdr:row>
      <xdr:rowOff>14568</xdr:rowOff>
    </xdr:to>
    <xdr:graphicFrame macro="">
      <xdr:nvGraphicFramePr>
        <xdr:cNvPr id="6" name="Chart 5">
          <a:extLst>
            <a:ext uri="{FF2B5EF4-FFF2-40B4-BE49-F238E27FC236}">
              <a16:creationId xmlns:a16="http://schemas.microsoft.com/office/drawing/2014/main" id="{89B47EC7-7126-85FB-97C0-162DCC834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167803</xdr:colOff>
      <xdr:row>3</xdr:row>
      <xdr:rowOff>10349</xdr:rowOff>
    </xdr:from>
    <xdr:to>
      <xdr:col>36</xdr:col>
      <xdr:colOff>626225</xdr:colOff>
      <xdr:row>16</xdr:row>
      <xdr:rowOff>91857</xdr:rowOff>
    </xdr:to>
    <mc:AlternateContent xmlns:mc="http://schemas.openxmlformats.org/markup-compatibility/2006" xmlns:a14="http://schemas.microsoft.com/office/drawing/2010/main">
      <mc:Choice Requires="a14">
        <xdr:graphicFrame macro="">
          <xdr:nvGraphicFramePr>
            <xdr:cNvPr id="7" name="Diagnosis">
              <a:extLst>
                <a:ext uri="{FF2B5EF4-FFF2-40B4-BE49-F238E27FC236}">
                  <a16:creationId xmlns:a16="http://schemas.microsoft.com/office/drawing/2014/main" id="{433A4542-D755-EE91-1FBC-E8487F2BF444}"/>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34161968" y="548231"/>
              <a:ext cx="1821058" cy="241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30480</xdr:colOff>
      <xdr:row>0</xdr:row>
      <xdr:rowOff>45720</xdr:rowOff>
    </xdr:from>
    <xdr:to>
      <xdr:col>13</xdr:col>
      <xdr:colOff>373380</xdr:colOff>
      <xdr:row>131</xdr:row>
      <xdr:rowOff>38100</xdr:rowOff>
    </xdr:to>
    <xdr:sp macro="" textlink="">
      <xdr:nvSpPr>
        <xdr:cNvPr id="2" name="TextBox 1">
          <a:extLst>
            <a:ext uri="{FF2B5EF4-FFF2-40B4-BE49-F238E27FC236}">
              <a16:creationId xmlns:a16="http://schemas.microsoft.com/office/drawing/2014/main" id="{4ADEF94D-29CF-9C9E-E029-3B129289A5A9}"/>
            </a:ext>
          </a:extLst>
        </xdr:cNvPr>
        <xdr:cNvSpPr txBox="1"/>
      </xdr:nvSpPr>
      <xdr:spPr>
        <a:xfrm>
          <a:off x="640080" y="45720"/>
          <a:ext cx="7658100" cy="23949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dk1"/>
              </a:solidFill>
              <a:effectLst/>
              <a:latin typeface="+mn-lt"/>
              <a:ea typeface="+mn-ea"/>
              <a:cs typeface="+mn-cs"/>
            </a:rPr>
            <a:t>Report Analysis for St. Mary’s Hospital Group (Jan 2024 – Dec 2025)</a:t>
          </a:r>
          <a:endParaRPr lang="en-US" sz="1400">
            <a:solidFill>
              <a:schemeClr val="dk1"/>
            </a:solidFill>
            <a:effectLst/>
            <a:latin typeface="+mn-lt"/>
            <a:ea typeface="+mn-ea"/>
            <a:cs typeface="+mn-cs"/>
          </a:endParaRPr>
        </a:p>
        <a:p>
          <a:r>
            <a:rPr lang="en-US" sz="1200" b="1">
              <a:solidFill>
                <a:schemeClr val="dk1"/>
              </a:solidFill>
              <a:effectLst/>
              <a:latin typeface="+mn-lt"/>
              <a:ea typeface="+mn-ea"/>
              <a:cs typeface="+mn-cs"/>
            </a:rPr>
            <a:t>Findings:</a:t>
          </a:r>
          <a:endParaRPr lang="en-US" sz="1200">
            <a:solidFill>
              <a:schemeClr val="dk1"/>
            </a:solidFill>
            <a:effectLst/>
            <a:latin typeface="+mn-lt"/>
            <a:ea typeface="+mn-ea"/>
            <a:cs typeface="+mn-cs"/>
          </a:endParaRP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Revenue Performance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The healthcare group generated a total revenue of £6,454,834 during the reporting period. Although revenue performance was relatively strong, it fell short of the planned target of £7,000,000, achieving 92.21% of the expected revenue. This indicates that the organization was able to generate substantial income but did not fully meet its financial objective.</a:t>
          </a:r>
        </a:p>
        <a:p>
          <a:r>
            <a:rPr lang="en-US" sz="1200" b="1">
              <a:solidFill>
                <a:schemeClr val="dk1"/>
              </a:solidFill>
              <a:effectLst/>
              <a:latin typeface="+mn-lt"/>
              <a:ea typeface="+mn-ea"/>
              <a:cs typeface="+mn-cs"/>
            </a:rPr>
            <a:t>Patient Admissions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Total patient admissions reached 500, representing 76.92% of the planned target of 650 patients. This indicates that patient volume was lower than expected and may have contributed to the revenue shortfall observed during the reporting period.</a:t>
          </a:r>
        </a:p>
        <a:p>
          <a:r>
            <a:rPr lang="en-US" sz="1200" b="1">
              <a:solidFill>
                <a:schemeClr val="dk1"/>
              </a:solidFill>
              <a:effectLst/>
              <a:latin typeface="+mn-lt"/>
              <a:ea typeface="+mn-ea"/>
              <a:cs typeface="+mn-cs"/>
            </a:rPr>
            <a:t>Length of Stay</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The average patient length of stay was 10.71 days, more than double the planned target of 5 days. This suggests potential inefficiencies in patient flow, discharge planning, treatment coordination, or administrative processes.</a:t>
          </a:r>
        </a:p>
        <a:p>
          <a:r>
            <a:rPr lang="en-US" sz="1200" b="1">
              <a:solidFill>
                <a:schemeClr val="dk1"/>
              </a:solidFill>
              <a:effectLst/>
              <a:latin typeface="+mn-lt"/>
              <a:ea typeface="+mn-ea"/>
              <a:cs typeface="+mn-cs"/>
            </a:rPr>
            <a:t>Patient Satisfaction</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The average patient satisfaction score was 5.31 out of 10, achieving only 75.89% of the desired target. This indicates opportunities for improvement in patient experience and service quality.</a:t>
          </a:r>
        </a:p>
        <a:p>
          <a:r>
            <a:rPr lang="en-US" sz="1200" b="1">
              <a:solidFill>
                <a:schemeClr val="dk1"/>
              </a:solidFill>
              <a:effectLst/>
              <a:latin typeface="+mn-lt"/>
              <a:ea typeface="+mn-ea"/>
              <a:cs typeface="+mn-cs"/>
            </a:rPr>
            <a:t>Diagnosis Performance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Asthma emerged as the highest-performing diagnosis category, generating the highest number of admissions (65 patients) and the highest revenue contribution of approximately £805,568. This indicates that Asthma-related treatments represented a significant source of healthcare activity and revenue generation during the reporting period.</a:t>
          </a:r>
        </a:p>
        <a:p>
          <a:r>
            <a:rPr lang="en-US" sz="1200">
              <a:solidFill>
                <a:schemeClr val="dk1"/>
              </a:solidFill>
              <a:effectLst/>
              <a:latin typeface="+mn-lt"/>
              <a:ea typeface="+mn-ea"/>
              <a:cs typeface="+mn-cs"/>
            </a:rPr>
            <a:t> </a:t>
          </a:r>
        </a:p>
        <a:p>
          <a:r>
            <a:rPr lang="en-US" sz="1200">
              <a:solidFill>
                <a:schemeClr val="dk1"/>
              </a:solidFill>
              <a:effectLst/>
              <a:latin typeface="+mn-lt"/>
              <a:ea typeface="+mn-ea"/>
              <a:cs typeface="+mn-cs"/>
            </a:rPr>
            <a:t> </a:t>
          </a:r>
        </a:p>
        <a:p>
          <a:r>
            <a:rPr lang="en-US" sz="1200" b="1">
              <a:solidFill>
                <a:schemeClr val="dk1"/>
              </a:solidFill>
              <a:effectLst/>
              <a:latin typeface="+mn-lt"/>
              <a:ea typeface="+mn-ea"/>
              <a:cs typeface="+mn-cs"/>
            </a:rPr>
            <a:t>Recommendations </a:t>
          </a:r>
        </a:p>
        <a:p>
          <a:pPr lvl="0"/>
          <a:r>
            <a:rPr lang="en-US" sz="1200">
              <a:solidFill>
                <a:schemeClr val="dk1"/>
              </a:solidFill>
              <a:effectLst/>
              <a:latin typeface="+mn-lt"/>
              <a:ea typeface="+mn-ea"/>
              <a:cs typeface="+mn-cs"/>
            </a:rPr>
            <a:t>Management should investigate the factors contributing to the revenue shortfall and identify opportunities to increase service utilization. Particular attention should be given to high-performing diagnoses and cities to determine whether successful practices can be replicated across lower-performing areas.</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review patient acquisition, referral partnerships, and community outreach programs to increase admissions and improve healthcare service utilization.</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review discharge procedures, treatment workflows, and administrative approval processes to identify factors contributing to prolonged patient stays.</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Regular patient feedback reviews should be conducted to identify service gaps and implement initiatives aimed at improving communication, responsiveness, and overall patient experience.</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examine the operational practices and treatment pathways associated with Asthma care to identify opportunities for improving performance across other diagnosis categories.</a:t>
          </a:r>
        </a:p>
        <a:p>
          <a:pPr lvl="0"/>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 </a:t>
          </a:r>
        </a:p>
        <a:p>
          <a:r>
            <a:rPr lang="en-US" sz="1200" b="1">
              <a:solidFill>
                <a:schemeClr val="dk1"/>
              </a:solidFill>
              <a:effectLst/>
              <a:latin typeface="+mn-lt"/>
              <a:ea typeface="+mn-ea"/>
              <a:cs typeface="+mn-cs"/>
            </a:rPr>
            <a:t>Further Investigatory Analysis Findings</a:t>
          </a:r>
          <a:endParaRPr lang="en-US" sz="1200">
            <a:solidFill>
              <a:schemeClr val="dk1"/>
            </a:solidFill>
            <a:effectLst/>
            <a:latin typeface="+mn-lt"/>
            <a:ea typeface="+mn-ea"/>
            <a:cs typeface="+mn-cs"/>
          </a:endParaRP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Length of Stay vs Revenue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Further analysis was conducted to understand the relationship between patient Length of Stay and revenue generation. The Long Stay category (11–14 days) generated the highest total revenue of approximately £2.57 million and recorded the highest number of admissions (198 patients). Although Extended Stay patients remained hospitalized for a longer period, they generated lower total revenue (£1.82 million) than the Long Stay category. Additional analysis revealed that revenue per patient was slightly higher among Short and Moderate Stay patients than among Long and Extended Stay patients. This suggests that higher revenue was primarily driven by patient volume rather than increased revenue generated by individual patients.</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Inter-City Performance Analysis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Further investigation revealed that London generated the highest overall revenue (£793,969), largely driven by higher patient admissions (65 patients) and the highest number of critical cases (19 patients). However, when revenue efficiency was assessed using revenue per patient, Sheffield (£13,897), Cardiff (£13,776), Glasgow (£13,410), and Nottingham (£13,292) outperformed London (£12,215). Cardiff was particularly noteworthy, achieving one of the highest revenue-per-patient figures while maintaining one of the shortest average lengths of stay (9.78 days). Despite this efficiency, Cardiff recorded the lowest overall revenue (£509,723) due to having the lowest patient volume (37 admissions). These findings suggest that city performance is influenced not only by patient volume but also by operational efficiency, case severity, and resource utilization.</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Age Group vs Severity Status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Age-group analysis revealed that Adults accounted for the largest patient population (211 patients) and recorded the highest number of High-severity cases (61 patients). However, Elders recorded the same number of Critical cases (41 patients) despite having a significantly smaller patient population (157 patients). This suggests that older patients may be more vulnerable to severe medical conditions and require greater healthcare attention and resource allocation.</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Payment Method Analysis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Payment method analysis revealed notable differences in patient outcomes and resource utilization. Patients covered under Private payment plans recorded the longest average length of stay (11.54 days) and the lowest satisfaction score (4.87), while Employer-sponsored patients generated the highest average revenue per patient (£13,696) and achieved one of the highest satisfaction scores (5.97). NHS patients recorded the shortest average length of stay (9.68 days), suggesting more efficient patient throughput. These findings indicate that payment method may influence patient experience, treatment duration, and revenue generation.</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Doctor Performance Analysis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Doctor performance analysis revealed significant variations in patient outcomes and revenue efficiency. Dr. Taylor achieved the highest patient satisfaction score (6.04) while also maintaining one of the shortest average lengths of stay (9.39 days), indicating strong clinical and patient-management performance. In contrast, Dr. Green generated the highest average revenue per patient (£13,968) but recorded the lowest patient satisfaction score (4.45). These findings suggest that higher revenue generation does not necessarily correspond with higher patient satisfaction and that physician performance should be evaluated using multiple measures rather than financial outcomes alone.</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Severity vs Revenue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Severity-level analysis revealed that Medium (£1.69 million) and High (£1.68 million) severity patients generated the highest total revenue during the reporting period, while Critical patients generated the lowest (£1.50 million). Although Critical cases typically require more intensive care, they represented the smallest patient group (113 patients), suggesting that overall revenue performance was influenced more by patient volume than severity level alone.</a:t>
          </a:r>
        </a:p>
        <a:p>
          <a:r>
            <a:rPr lang="en-US" sz="1200">
              <a:solidFill>
                <a:schemeClr val="dk1"/>
              </a:solidFill>
              <a:effectLst/>
              <a:latin typeface="+mn-lt"/>
              <a:ea typeface="+mn-ea"/>
              <a:cs typeface="+mn-cs"/>
            </a:rPr>
            <a:t> </a:t>
          </a:r>
        </a:p>
        <a:p>
          <a:r>
            <a:rPr lang="en-US" sz="1200">
              <a:solidFill>
                <a:schemeClr val="dk1"/>
              </a:solidFill>
              <a:effectLst/>
              <a:latin typeface="+mn-lt"/>
              <a:ea typeface="+mn-ea"/>
              <a:cs typeface="+mn-cs"/>
            </a:rPr>
            <a:t> </a:t>
          </a:r>
        </a:p>
        <a:p>
          <a:r>
            <a:rPr lang="en-US" sz="1200">
              <a:solidFill>
                <a:schemeClr val="dk1"/>
              </a:solidFill>
              <a:effectLst/>
              <a:latin typeface="+mn-lt"/>
              <a:ea typeface="+mn-ea"/>
              <a:cs typeface="+mn-cs"/>
            </a:rPr>
            <a:t> </a:t>
          </a:r>
        </a:p>
        <a:p>
          <a:r>
            <a:rPr lang="en-US" sz="1200" b="1">
              <a:solidFill>
                <a:schemeClr val="dk1"/>
              </a:solidFill>
              <a:effectLst/>
              <a:latin typeface="+mn-lt"/>
              <a:ea typeface="+mn-ea"/>
              <a:cs typeface="+mn-cs"/>
            </a:rPr>
            <a:t>Further Investigatory Recommendations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review factors contributing to extended patient stays, including discharge procedures, treatment workflows, and insurance-related administrative processes. Reducing unnecessary extended stays may improve operational efficiency without significantly impacting revenue generation.</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investigate the operational practices, treatment pathways, and resource utilization strategies employed in Sheffield, Cardiff, Glasgow, and Nottingham to identify factors contributing to higher revenue efficiency. Particular attention should be given to Cardiff, which demonstrated strong operational efficiency but suffered from low patient volume. Increasing patient admissions while maintaining current efficiency levels could significantly improve Cardiff's contribution to overall organizational revenue. Additionally, Cardiff's lower patient satisfaction score should be reviewed to ensure that operational efficiency is not negatively affecting patient experience and quality of care.</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strengthen preventive care, routine screening programs, and specialized treatment pathways for older patients, as they appear to be disproportionately represented among Critical cases. Early intervention strategies may help reduce disease severity and improve patient outcomes within this age group.</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review treatment workflows and administrative processes associated with Private payment plans to identify factors contributing to longer patient stays and lower satisfaction scores. Additionally, the practices associated with Employer-sponsored healthcare plans should be evaluated to determine whether their positive revenue and satisfaction outcomes can be replicated across other payment categories.</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evaluate the practices employed by high-performing physicians such as Dr. Taylor to identify approaches that contribute to shorter patient stays and higher satisfaction levels. Additionally, physicians generating strong financial outcomes but lower patient satisfaction should be supported through patient experience and communication improvement initiatives to ensure balanced performance across clinical, financial, and patient-centered metrics.</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continue monitoring resource allocation across all severity levels to ensure that high-severity cases receive appropriate care while maintaining operational efficiency. Additional analysis should be conducted to determine whether treatment costs and resource utilization are aligned with the complexity of Critical cases.</a:t>
          </a:r>
        </a:p>
        <a:p>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8.762898379631" createdVersion="8" refreshedVersion="8" minRefreshableVersion="3" recordCount="500" xr:uid="{644F3CA2-AC20-4F3D-9D29-EA64192FF99B}">
  <cacheSource type="worksheet">
    <worksheetSource name="CAPSTONE_PROJECT"/>
  </cacheSource>
  <cacheFields count="34">
    <cacheField name="Patient ID" numFmtId="0">
      <sharedItems count="500">
        <s v="P10001"/>
        <s v="P10002"/>
        <s v="P10003"/>
        <s v="P10004"/>
        <s v="P10005"/>
        <s v="P10006"/>
        <s v="P10007"/>
        <s v="P10008"/>
        <s v="P10009"/>
        <s v="P10010"/>
        <s v="P10011"/>
        <s v="P10012"/>
        <s v="P10013"/>
        <s v="P10014"/>
        <s v="P10015"/>
        <s v="P10016"/>
        <s v="P10017"/>
        <s v="P10018"/>
        <s v="P10019"/>
        <s v="P10020"/>
        <s v="P10021"/>
        <s v="P10022"/>
        <s v="P10023"/>
        <s v="P10024"/>
        <s v="P10025"/>
        <s v="P10026"/>
        <s v="P10027"/>
        <s v="P10028"/>
        <s v="P10029"/>
        <s v="P10030"/>
        <s v="P10031"/>
        <s v="P10032"/>
        <s v="P10033"/>
        <s v="P10034"/>
        <s v="P10035"/>
        <s v="P10036"/>
        <s v="P10037"/>
        <s v="P10038"/>
        <s v="P10039"/>
        <s v="P10040"/>
        <s v="P10041"/>
        <s v="P10042"/>
        <s v="P10043"/>
        <s v="P10044"/>
        <s v="P10045"/>
        <s v="P10046"/>
        <s v="P10047"/>
        <s v="P10048"/>
        <s v="P10049"/>
        <s v="P10050"/>
        <s v="P10051"/>
        <s v="P10052"/>
        <s v="P10053"/>
        <s v="P10054"/>
        <s v="P10055"/>
        <s v="P10056"/>
        <s v="P10057"/>
        <s v="P10058"/>
        <s v="P10059"/>
        <s v="P10060"/>
        <s v="P10061"/>
        <s v="P10062"/>
        <s v="P10063"/>
        <s v="P10064"/>
        <s v="P10065"/>
        <s v="P10066"/>
        <s v="P10067"/>
        <s v="P10068"/>
        <s v="P10069"/>
        <s v="P10070"/>
        <s v="P10071"/>
        <s v="P10072"/>
        <s v="P10073"/>
        <s v="P10074"/>
        <s v="P10075"/>
        <s v="P10076"/>
        <s v="P10077"/>
        <s v="P10078"/>
        <s v="P10079"/>
        <s v="P10080"/>
        <s v="P10081"/>
        <s v="P10082"/>
        <s v="P10083"/>
        <s v="P10084"/>
        <s v="P10085"/>
        <s v="P10086"/>
        <s v="P10087"/>
        <s v="P10088"/>
        <s v="P10089"/>
        <s v="P10090"/>
        <s v="P10091"/>
        <s v="P10092"/>
        <s v="P10093"/>
        <s v="P10094"/>
        <s v="P10095"/>
        <s v="P10096"/>
        <s v="P10097"/>
        <s v="P10098"/>
        <s v="P10099"/>
        <s v="P10100"/>
        <s v="P10101"/>
        <s v="P10102"/>
        <s v="P10103"/>
        <s v="P10104"/>
        <s v="P10105"/>
        <s v="P10106"/>
        <s v="P10107"/>
        <s v="P10108"/>
        <s v="P10109"/>
        <s v="P10110"/>
        <s v="P10111"/>
        <s v="P10112"/>
        <s v="P10113"/>
        <s v="P10114"/>
        <s v="P10115"/>
        <s v="P10116"/>
        <s v="P10117"/>
        <s v="P10118"/>
        <s v="P10119"/>
        <s v="P10120"/>
        <s v="P10121"/>
        <s v="P10122"/>
        <s v="P10123"/>
        <s v="P10124"/>
        <s v="P10125"/>
        <s v="P10126"/>
        <s v="P10127"/>
        <s v="P10128"/>
        <s v="P10129"/>
        <s v="P10130"/>
        <s v="P10131"/>
        <s v="P10132"/>
        <s v="P10133"/>
        <s v="P10134"/>
        <s v="P10135"/>
        <s v="P10136"/>
        <s v="P10137"/>
        <s v="P10138"/>
        <s v="P10139"/>
        <s v="P10140"/>
        <s v="P10141"/>
        <s v="P10142"/>
        <s v="P10143"/>
        <s v="P10144"/>
        <s v="P10145"/>
        <s v="P10146"/>
        <s v="P10147"/>
        <s v="P10148"/>
        <s v="P10149"/>
        <s v="P10150"/>
        <s v="P10151"/>
        <s v="P10152"/>
        <s v="P10153"/>
        <s v="P10154"/>
        <s v="P10155"/>
        <s v="P10156"/>
        <s v="P10157"/>
        <s v="P10158"/>
        <s v="P10159"/>
        <s v="P10160"/>
        <s v="P10161"/>
        <s v="P10162"/>
        <s v="P10163"/>
        <s v="P10164"/>
        <s v="P10165"/>
        <s v="P10166"/>
        <s v="P10167"/>
        <s v="P10168"/>
        <s v="P10169"/>
        <s v="P10170"/>
        <s v="P10171"/>
        <s v="P10172"/>
        <s v="P10173"/>
        <s v="P10174"/>
        <s v="P10175"/>
        <s v="P10176"/>
        <s v="P10177"/>
        <s v="P10178"/>
        <s v="P10179"/>
        <s v="P10180"/>
        <s v="P10181"/>
        <s v="P10182"/>
        <s v="P10183"/>
        <s v="P10184"/>
        <s v="P10185"/>
        <s v="P10186"/>
        <s v="P10187"/>
        <s v="P10188"/>
        <s v="P10189"/>
        <s v="P10190"/>
        <s v="P10191"/>
        <s v="P10192"/>
        <s v="P10193"/>
        <s v="P10194"/>
        <s v="P10195"/>
        <s v="P10196"/>
        <s v="P10197"/>
        <s v="P10198"/>
        <s v="P10199"/>
        <s v="P10200"/>
        <s v="P10201"/>
        <s v="P10202"/>
        <s v="P10203"/>
        <s v="P10204"/>
        <s v="P10205"/>
        <s v="P10206"/>
        <s v="P10207"/>
        <s v="P10208"/>
        <s v="P10209"/>
        <s v="P10210"/>
        <s v="P10211"/>
        <s v="P10212"/>
        <s v="P10213"/>
        <s v="P10214"/>
        <s v="P10215"/>
        <s v="P10216"/>
        <s v="P10217"/>
        <s v="P10218"/>
        <s v="P10219"/>
        <s v="P10220"/>
        <s v="P10221"/>
        <s v="P10222"/>
        <s v="P10223"/>
        <s v="P10224"/>
        <s v="P10225"/>
        <s v="P10226"/>
        <s v="P10227"/>
        <s v="P10228"/>
        <s v="P10229"/>
        <s v="P10230"/>
        <s v="P10231"/>
        <s v="P10232"/>
        <s v="P10233"/>
        <s v="P10234"/>
        <s v="P10235"/>
        <s v="P10236"/>
        <s v="P10237"/>
        <s v="P10238"/>
        <s v="P10239"/>
        <s v="P10240"/>
        <s v="P10241"/>
        <s v="P10242"/>
        <s v="P10243"/>
        <s v="P10244"/>
        <s v="P10245"/>
        <s v="P10246"/>
        <s v="P10247"/>
        <s v="P10248"/>
        <s v="P10249"/>
        <s v="P10250"/>
        <s v="P10251"/>
        <s v="P10252"/>
        <s v="P10253"/>
        <s v="P10254"/>
        <s v="P10255"/>
        <s v="P10256"/>
        <s v="P10257"/>
        <s v="P10258"/>
        <s v="P10259"/>
        <s v="P10260"/>
        <s v="P10261"/>
        <s v="P10262"/>
        <s v="P10263"/>
        <s v="P10264"/>
        <s v="P10265"/>
        <s v="P10266"/>
        <s v="P10267"/>
        <s v="P10268"/>
        <s v="P10269"/>
        <s v="P10270"/>
        <s v="P10271"/>
        <s v="P10272"/>
        <s v="P10273"/>
        <s v="P10274"/>
        <s v="P10275"/>
        <s v="P10276"/>
        <s v="P10277"/>
        <s v="P10278"/>
        <s v="P10279"/>
        <s v="P10280"/>
        <s v="P10281"/>
        <s v="P10282"/>
        <s v="P10283"/>
        <s v="P10284"/>
        <s v="P10285"/>
        <s v="P10286"/>
        <s v="P10287"/>
        <s v="P10288"/>
        <s v="P10289"/>
        <s v="P10290"/>
        <s v="P10291"/>
        <s v="P10292"/>
        <s v="P10293"/>
        <s v="P10294"/>
        <s v="P10295"/>
        <s v="P10296"/>
        <s v="P10297"/>
        <s v="P10298"/>
        <s v="P10299"/>
        <s v="P10300"/>
        <s v="P10301"/>
        <s v="P10302"/>
        <s v="P10303"/>
        <s v="P10304"/>
        <s v="P10305"/>
        <s v="P10306"/>
        <s v="P10307"/>
        <s v="P10308"/>
        <s v="P10309"/>
        <s v="P10310"/>
        <s v="P10311"/>
        <s v="P10312"/>
        <s v="P10313"/>
        <s v="P10314"/>
        <s v="P10315"/>
        <s v="P10316"/>
        <s v="P10317"/>
        <s v="P10318"/>
        <s v="P10319"/>
        <s v="P10320"/>
        <s v="P10321"/>
        <s v="P10322"/>
        <s v="P10323"/>
        <s v="P10324"/>
        <s v="P10325"/>
        <s v="P10326"/>
        <s v="P10327"/>
        <s v="P10328"/>
        <s v="P10329"/>
        <s v="P10330"/>
        <s v="P10331"/>
        <s v="P10332"/>
        <s v="P10333"/>
        <s v="P10334"/>
        <s v="P10335"/>
        <s v="P10336"/>
        <s v="P10337"/>
        <s v="P10338"/>
        <s v="P10339"/>
        <s v="P10340"/>
        <s v="P10341"/>
        <s v="P10342"/>
        <s v="P10343"/>
        <s v="P10344"/>
        <s v="P10345"/>
        <s v="P10346"/>
        <s v="P10347"/>
        <s v="P10348"/>
        <s v="P10349"/>
        <s v="P10350"/>
        <s v="P10351"/>
        <s v="P10352"/>
        <s v="P10353"/>
        <s v="P10354"/>
        <s v="P10355"/>
        <s v="P10356"/>
        <s v="P10357"/>
        <s v="P10358"/>
        <s v="P10359"/>
        <s v="P10360"/>
        <s v="P10361"/>
        <s v="P10362"/>
        <s v="P10363"/>
        <s v="P10364"/>
        <s v="P10365"/>
        <s v="P10366"/>
        <s v="P10367"/>
        <s v="P10368"/>
        <s v="P10369"/>
        <s v="P10370"/>
        <s v="P10371"/>
        <s v="P10372"/>
        <s v="P10373"/>
        <s v="P10374"/>
        <s v="P10375"/>
        <s v="P10376"/>
        <s v="P10377"/>
        <s v="P10378"/>
        <s v="P10379"/>
        <s v="P10380"/>
        <s v="P10381"/>
        <s v="P10382"/>
        <s v="P10383"/>
        <s v="P10384"/>
        <s v="P10385"/>
        <s v="P10386"/>
        <s v="P10387"/>
        <s v="P10388"/>
        <s v="P10389"/>
        <s v="P10390"/>
        <s v="P10391"/>
        <s v="P10392"/>
        <s v="P10393"/>
        <s v="P10394"/>
        <s v="P10395"/>
        <s v="P10396"/>
        <s v="P10397"/>
        <s v="P10398"/>
        <s v="P10399"/>
        <s v="P10400"/>
        <s v="P10401"/>
        <s v="P10402"/>
        <s v="P10403"/>
        <s v="P10404"/>
        <s v="P10405"/>
        <s v="P10406"/>
        <s v="P10407"/>
        <s v="P10408"/>
        <s v="P10409"/>
        <s v="P10410"/>
        <s v="P10411"/>
        <s v="P10412"/>
        <s v="P10413"/>
        <s v="P10414"/>
        <s v="P10415"/>
        <s v="P10416"/>
        <s v="P10417"/>
        <s v="P10418"/>
        <s v="P10419"/>
        <s v="P10420"/>
        <s v="P10421"/>
        <s v="P10422"/>
        <s v="P10423"/>
        <s v="P10424"/>
        <s v="P10425"/>
        <s v="P10426"/>
        <s v="P10427"/>
        <s v="P10428"/>
        <s v="P10429"/>
        <s v="P10430"/>
        <s v="P10431"/>
        <s v="P10432"/>
        <s v="P10433"/>
        <s v="P10434"/>
        <s v="P10435"/>
        <s v="P10436"/>
        <s v="P10437"/>
        <s v="P10438"/>
        <s v="P10439"/>
        <s v="P10440"/>
        <s v="P10441"/>
        <s v="P10442"/>
        <s v="P10443"/>
        <s v="P10444"/>
        <s v="P10445"/>
        <s v="P10446"/>
        <s v="P10447"/>
        <s v="P10448"/>
        <s v="P10449"/>
        <s v="P10450"/>
        <s v="P10451"/>
        <s v="P10452"/>
        <s v="P10453"/>
        <s v="P10454"/>
        <s v="P10455"/>
        <s v="P10456"/>
        <s v="P10457"/>
        <s v="P10458"/>
        <s v="P10459"/>
        <s v="P10460"/>
        <s v="P10461"/>
        <s v="P10462"/>
        <s v="P10463"/>
        <s v="P10464"/>
        <s v="P10465"/>
        <s v="P10466"/>
        <s v="P10467"/>
        <s v="P10468"/>
        <s v="P10469"/>
        <s v="P10470"/>
        <s v="P10471"/>
        <s v="P10472"/>
        <s v="P10473"/>
        <s v="P10474"/>
        <s v="P10475"/>
        <s v="P10476"/>
        <s v="P10477"/>
        <s v="P10478"/>
        <s v="P10479"/>
        <s v="P10480"/>
        <s v="P10481"/>
        <s v="P10482"/>
        <s v="P10483"/>
        <s v="P10484"/>
        <s v="P10485"/>
        <s v="P10486"/>
        <s v="P10487"/>
        <s v="P10488"/>
        <s v="P10489"/>
        <s v="P10490"/>
        <s v="P10491"/>
        <s v="P10492"/>
        <s v="P10493"/>
        <s v="P10494"/>
        <s v="P10495"/>
        <s v="P10496"/>
        <s v="P10497"/>
        <s v="P10498"/>
        <s v="P10499"/>
        <s v="P10500"/>
      </sharedItems>
    </cacheField>
    <cacheField name="Admission Date" numFmtId="14">
      <sharedItems containsSemiMixedTypes="0" containsNonDate="0" containsDate="1" containsString="0" minDate="2024-01-01T00:00:00" maxDate="2025-12-31T00:00:00" count="363">
        <d v="2024-08-25T00:00:00"/>
        <d v="2025-12-03T00:00:00"/>
        <d v="2025-05-08T00:00:00"/>
        <d v="2025-04-20T00:00:00"/>
        <d v="2025-10-22T00:00:00"/>
        <d v="2025-11-07T00:00:00"/>
        <d v="2025-11-12T00:00:00"/>
        <d v="2024-08-17T00:00:00"/>
        <d v="2025-01-20T00:00:00"/>
        <d v="2024-07-28T00:00:00"/>
        <d v="2024-06-24T00:00:00"/>
        <d v="2024-06-30T00:00:00"/>
        <d v="2024-02-12T00:00:00"/>
        <d v="2025-11-25T00:00:00"/>
        <d v="2024-08-19T00:00:00"/>
        <d v="2025-04-25T00:00:00"/>
        <d v="2024-01-28T00:00:00"/>
        <d v="2024-11-04T00:00:00"/>
        <d v="2025-10-12T00:00:00"/>
        <d v="2025-02-11T00:00:00"/>
        <d v="2024-12-01T00:00:00"/>
        <d v="2025-01-15T00:00:00"/>
        <d v="2024-03-07T00:00:00"/>
        <d v="2024-05-08T00:00:00"/>
        <d v="2025-06-30T00:00:00"/>
        <d v="2024-06-10T00:00:00"/>
        <d v="2024-11-16T00:00:00"/>
        <d v="2025-08-06T00:00:00"/>
        <d v="2024-02-02T00:00:00"/>
        <d v="2025-07-25T00:00:00"/>
        <d v="2025-07-29T00:00:00"/>
        <d v="2024-02-08T00:00:00"/>
        <d v="2024-10-29T00:00:00"/>
        <d v="2024-11-14T00:00:00"/>
        <d v="2025-08-20T00:00:00"/>
        <d v="2024-05-18T00:00:00"/>
        <d v="2025-09-21T00:00:00"/>
        <d v="2024-12-18T00:00:00"/>
        <d v="2025-09-11T00:00:00"/>
        <d v="2024-11-23T00:00:00"/>
        <d v="2024-03-17T00:00:00"/>
        <d v="2024-06-01T00:00:00"/>
        <d v="2025-12-09T00:00:00"/>
        <d v="2024-03-18T00:00:00"/>
        <d v="2025-01-03T00:00:00"/>
        <d v="2024-03-19T00:00:00"/>
        <d v="2025-02-06T00:00:00"/>
        <d v="2024-03-28T00:00:00"/>
        <d v="2025-03-18T00:00:00"/>
        <d v="2024-06-25T00:00:00"/>
        <d v="2025-01-28T00:00:00"/>
        <d v="2024-04-14T00:00:00"/>
        <d v="2025-06-10T00:00:00"/>
        <d v="2024-04-05T00:00:00"/>
        <d v="2025-11-01T00:00:00"/>
        <d v="2024-03-27T00:00:00"/>
        <d v="2024-03-15T00:00:00"/>
        <d v="2024-09-01T00:00:00"/>
        <d v="2025-06-20T00:00:00"/>
        <d v="2025-03-02T00:00:00"/>
        <d v="2024-09-08T00:00:00"/>
        <d v="2025-02-07T00:00:00"/>
        <d v="2024-05-02T00:00:00"/>
        <d v="2025-09-23T00:00:00"/>
        <d v="2025-01-01T00:00:00"/>
        <d v="2024-01-21T00:00:00"/>
        <d v="2025-12-11T00:00:00"/>
        <d v="2024-08-02T00:00:00"/>
        <d v="2025-11-08T00:00:00"/>
        <d v="2024-04-09T00:00:00"/>
        <d v="2024-07-25T00:00:00"/>
        <d v="2025-05-12T00:00:00"/>
        <d v="2024-05-06T00:00:00"/>
        <d v="2024-06-26T00:00:00"/>
        <d v="2024-10-10T00:00:00"/>
        <d v="2024-07-04T00:00:00"/>
        <d v="2024-07-24T00:00:00"/>
        <d v="2025-01-17T00:00:00"/>
        <d v="2024-08-21T00:00:00"/>
        <d v="2025-11-09T00:00:00"/>
        <d v="2025-08-10T00:00:00"/>
        <d v="2024-10-01T00:00:00"/>
        <d v="2025-02-25T00:00:00"/>
        <d v="2024-06-18T00:00:00"/>
        <d v="2024-12-15T00:00:00"/>
        <d v="2024-07-14T00:00:00"/>
        <d v="2025-04-08T00:00:00"/>
        <d v="2024-04-19T00:00:00"/>
        <d v="2024-12-04T00:00:00"/>
        <d v="2024-04-27T00:00:00"/>
        <d v="2024-08-06T00:00:00"/>
        <d v="2024-03-05T00:00:00"/>
        <d v="2025-09-02T00:00:00"/>
        <d v="2024-07-17T00:00:00"/>
        <d v="2024-07-20T00:00:00"/>
        <d v="2025-08-02T00:00:00"/>
        <d v="2024-03-20T00:00:00"/>
        <d v="2024-08-03T00:00:00"/>
        <d v="2024-07-05T00:00:00"/>
        <d v="2025-06-26T00:00:00"/>
        <d v="2024-09-16T00:00:00"/>
        <d v="2024-01-06T00:00:00"/>
        <d v="2024-04-29T00:00:00"/>
        <d v="2025-11-20T00:00:00"/>
        <d v="2024-09-22T00:00:00"/>
        <d v="2025-03-07T00:00:00"/>
        <d v="2024-11-28T00:00:00"/>
        <d v="2025-04-06T00:00:00"/>
        <d v="2024-06-23T00:00:00"/>
        <d v="2024-10-20T00:00:00"/>
        <d v="2024-10-02T00:00:00"/>
        <d v="2025-04-19T00:00:00"/>
        <d v="2024-02-13T00:00:00"/>
        <d v="2024-03-02T00:00:00"/>
        <d v="2024-10-08T00:00:00"/>
        <d v="2024-04-08T00:00:00"/>
        <d v="2025-09-06T00:00:00"/>
        <d v="2024-10-09T00:00:00"/>
        <d v="2024-03-21T00:00:00"/>
        <d v="2024-11-24T00:00:00"/>
        <d v="2024-08-24T00:00:00"/>
        <d v="2024-01-31T00:00:00"/>
        <d v="2024-03-22T00:00:00"/>
        <d v="2025-09-18T00:00:00"/>
        <d v="2024-04-02T00:00:00"/>
        <d v="2025-09-07T00:00:00"/>
        <d v="2024-10-26T00:00:00"/>
        <d v="2024-01-25T00:00:00"/>
        <d v="2025-05-05T00:00:00"/>
        <d v="2024-11-11T00:00:00"/>
        <d v="2025-04-15T00:00:00"/>
        <d v="2025-07-16T00:00:00"/>
        <d v="2025-11-17T00:00:00"/>
        <d v="2025-08-11T00:00:00"/>
        <d v="2025-05-13T00:00:00"/>
        <d v="2025-03-21T00:00:00"/>
        <d v="2024-10-22T00:00:00"/>
        <d v="2025-01-10T00:00:00"/>
        <d v="2024-06-20T00:00:00"/>
        <d v="2025-12-18T00:00:00"/>
        <d v="2025-04-30T00:00:00"/>
        <d v="2025-11-19T00:00:00"/>
        <d v="2024-03-13T00:00:00"/>
        <d v="2024-02-26T00:00:00"/>
        <d v="2025-07-07T00:00:00"/>
        <d v="2024-11-10T00:00:00"/>
        <d v="2024-02-11T00:00:00"/>
        <d v="2025-07-04T00:00:00"/>
        <d v="2025-04-13T00:00:00"/>
        <d v="2024-06-14T00:00:00"/>
        <d v="2025-04-21T00:00:00"/>
        <d v="2025-06-16T00:00:00"/>
        <d v="2025-05-17T00:00:00"/>
        <d v="2025-06-21T00:00:00"/>
        <d v="2025-03-03T00:00:00"/>
        <d v="2025-10-13T00:00:00"/>
        <d v="2024-07-11T00:00:00"/>
        <d v="2024-04-24T00:00:00"/>
        <d v="2024-01-15T00:00:00"/>
        <d v="2024-12-12T00:00:00"/>
        <d v="2024-07-02T00:00:00"/>
        <d v="2024-11-15T00:00:00"/>
        <d v="2024-12-19T00:00:00"/>
        <d v="2025-12-08T00:00:00"/>
        <d v="2024-11-03T00:00:00"/>
        <d v="2025-10-21T00:00:00"/>
        <d v="2024-06-28T00:00:00"/>
        <d v="2024-09-18T00:00:00"/>
        <d v="2024-02-23T00:00:00"/>
        <d v="2025-10-24T00:00:00"/>
        <d v="2024-07-30T00:00:00"/>
        <d v="2024-12-06T00:00:00"/>
        <d v="2025-01-04T00:00:00"/>
        <d v="2025-05-11T00:00:00"/>
        <d v="2024-11-27T00:00:00"/>
        <d v="2025-02-01T00:00:00"/>
        <d v="2025-11-23T00:00:00"/>
        <d v="2025-05-30T00:00:00"/>
        <d v="2025-04-29T00:00:00"/>
        <d v="2024-03-29T00:00:00"/>
        <d v="2025-07-24T00:00:00"/>
        <d v="2024-05-21T00:00:00"/>
        <d v="2024-01-11T00:00:00"/>
        <d v="2025-09-25T00:00:00"/>
        <d v="2025-03-11T00:00:00"/>
        <d v="2024-06-09T00:00:00"/>
        <d v="2024-07-16T00:00:00"/>
        <d v="2024-04-11T00:00:00"/>
        <d v="2025-10-30T00:00:00"/>
        <d v="2024-10-06T00:00:00"/>
        <d v="2025-12-14T00:00:00"/>
        <d v="2024-02-14T00:00:00"/>
        <d v="2024-12-14T00:00:00"/>
        <d v="2025-02-24T00:00:00"/>
        <d v="2024-02-15T00:00:00"/>
        <d v="2025-08-15T00:00:00"/>
        <d v="2025-10-08T00:00:00"/>
        <d v="2024-07-13T00:00:00"/>
        <d v="2024-11-25T00:00:00"/>
        <d v="2025-11-30T00:00:00"/>
        <d v="2025-07-01T00:00:00"/>
        <d v="2025-07-03T00:00:00"/>
        <d v="2024-04-03T00:00:00"/>
        <d v="2025-01-12T00:00:00"/>
        <d v="2024-10-12T00:00:00"/>
        <d v="2024-01-16T00:00:00"/>
        <d v="2025-09-15T00:00:00"/>
        <d v="2024-03-26T00:00:00"/>
        <d v="2025-01-29T00:00:00"/>
        <d v="2025-12-29T00:00:00"/>
        <d v="2024-12-16T00:00:00"/>
        <d v="2024-12-30T00:00:00"/>
        <d v="2025-09-19T00:00:00"/>
        <d v="2024-04-01T00:00:00"/>
        <d v="2024-10-24T00:00:00"/>
        <d v="2024-05-30T00:00:00"/>
        <d v="2025-03-08T00:00:00"/>
        <d v="2024-06-21T00:00:00"/>
        <d v="2025-05-15T00:00:00"/>
        <d v="2025-10-06T00:00:00"/>
        <d v="2024-04-17T00:00:00"/>
        <d v="2025-01-14T00:00:00"/>
        <d v="2024-05-19T00:00:00"/>
        <d v="2024-09-12T00:00:00"/>
        <d v="2024-06-06T00:00:00"/>
        <d v="2025-06-07T00:00:00"/>
        <d v="2025-01-05T00:00:00"/>
        <d v="2024-08-11T00:00:00"/>
        <d v="2025-10-09T00:00:00"/>
        <d v="2025-03-20T00:00:00"/>
        <d v="2024-04-22T00:00:00"/>
        <d v="2025-07-11T00:00:00"/>
        <d v="2024-12-08T00:00:00"/>
        <d v="2025-03-10T00:00:00"/>
        <d v="2024-05-22T00:00:00"/>
        <d v="2024-05-23T00:00:00"/>
        <d v="2025-02-05T00:00:00"/>
        <d v="2024-02-03T00:00:00"/>
        <d v="2024-06-13T00:00:00"/>
        <d v="2025-07-20T00:00:00"/>
        <d v="2024-12-25T00:00:00"/>
        <d v="2024-02-22T00:00:00"/>
        <d v="2024-05-13T00:00:00"/>
        <d v="2024-01-23T00:00:00"/>
        <d v="2024-08-10T00:00:00"/>
        <d v="2024-11-17T00:00:00"/>
        <d v="2024-11-01T00:00:00"/>
        <d v="2024-08-05T00:00:00"/>
        <d v="2024-01-04T00:00:00"/>
        <d v="2024-01-18T00:00:00"/>
        <d v="2025-05-24T00:00:00"/>
        <d v="2024-12-21T00:00:00"/>
        <d v="2025-05-29T00:00:00"/>
        <d v="2024-11-08T00:00:00"/>
        <d v="2025-02-16T00:00:00"/>
        <d v="2024-01-07T00:00:00"/>
        <d v="2025-11-04T00:00:00"/>
        <d v="2025-04-24T00:00:00"/>
        <d v="2025-08-25T00:00:00"/>
        <d v="2025-04-05T00:00:00"/>
        <d v="2025-06-14T00:00:00"/>
        <d v="2024-02-29T00:00:00"/>
        <d v="2025-05-21T00:00:00"/>
        <d v="2025-10-27T00:00:00"/>
        <d v="2025-08-28T00:00:00"/>
        <d v="2025-09-22T00:00:00"/>
        <d v="2024-08-20T00:00:00"/>
        <d v="2025-11-28T00:00:00"/>
        <d v="2025-11-03T00:00:00"/>
        <d v="2024-06-19T00:00:00"/>
        <d v="2025-02-22T00:00:00"/>
        <d v="2024-07-01T00:00:00"/>
        <d v="2025-06-09T00:00:00"/>
        <d v="2024-08-12T00:00:00"/>
        <d v="2024-12-05T00:00:00"/>
        <d v="2025-07-08T00:00:00"/>
        <d v="2024-12-11T00:00:00"/>
        <d v="2025-11-06T00:00:00"/>
        <d v="2024-01-26T00:00:00"/>
        <d v="2025-09-20T00:00:00"/>
        <d v="2024-04-30T00:00:00"/>
        <d v="2024-07-23T00:00:00"/>
        <d v="2024-09-24T00:00:00"/>
        <d v="2024-09-06T00:00:00"/>
        <d v="2024-12-20T00:00:00"/>
        <d v="2024-07-03T00:00:00"/>
        <d v="2025-09-05T00:00:00"/>
        <d v="2025-09-01T00:00:00"/>
        <d v="2025-08-21T00:00:00"/>
        <d v="2025-09-16T00:00:00"/>
        <d v="2025-05-27T00:00:00"/>
        <d v="2024-05-29T00:00:00"/>
        <d v="2024-08-14T00:00:00"/>
        <d v="2025-11-11T00:00:00"/>
        <d v="2024-07-31T00:00:00"/>
        <d v="2025-02-20T00:00:00"/>
        <d v="2024-07-06T00:00:00"/>
        <d v="2024-05-28T00:00:00"/>
        <d v="2025-12-01T00:00:00"/>
        <d v="2025-08-13T00:00:00"/>
        <d v="2024-08-01T00:00:00"/>
        <d v="2024-04-12T00:00:00"/>
        <d v="2024-08-16T00:00:00"/>
        <d v="2024-04-07T00:00:00"/>
        <d v="2025-07-17T00:00:00"/>
        <d v="2025-03-05T00:00:00"/>
        <d v="2025-09-10T00:00:00"/>
        <d v="2025-04-01T00:00:00"/>
        <d v="2024-09-26T00:00:00"/>
        <d v="2025-08-23T00:00:00"/>
        <d v="2024-12-29T00:00:00"/>
        <d v="2025-11-05T00:00:00"/>
        <d v="2025-12-16T00:00:00"/>
        <d v="2025-10-03T00:00:00"/>
        <d v="2025-01-07T00:00:00"/>
        <d v="2024-12-31T00:00:00"/>
        <d v="2024-11-05T00:00:00"/>
        <d v="2025-08-29T00:00:00"/>
        <d v="2024-11-22T00:00:00"/>
        <d v="2025-02-13T00:00:00"/>
        <d v="2024-08-27T00:00:00"/>
        <d v="2024-03-04T00:00:00"/>
        <d v="2025-02-09T00:00:00"/>
        <d v="2025-11-27T00:00:00"/>
        <d v="2025-09-27T00:00:00"/>
        <d v="2025-08-22T00:00:00"/>
        <d v="2024-08-18T00:00:00"/>
        <d v="2025-01-13T00:00:00"/>
        <d v="2025-05-23T00:00:00"/>
        <d v="2024-08-22T00:00:00"/>
        <d v="2025-12-30T00:00:00"/>
        <d v="2025-12-28T00:00:00"/>
        <d v="2025-01-26T00:00:00"/>
        <d v="2024-04-13T00:00:00"/>
        <d v="2025-11-29T00:00:00"/>
        <d v="2025-08-03T00:00:00"/>
        <d v="2024-06-17T00:00:00"/>
        <d v="2024-07-15T00:00:00"/>
        <d v="2025-02-14T00:00:00"/>
        <d v="2024-02-04T00:00:00"/>
        <d v="2024-02-10T00:00:00"/>
        <d v="2024-08-15T00:00:00"/>
        <d v="2025-05-06T00:00:00"/>
        <d v="2024-05-04T00:00:00"/>
        <d v="2024-10-18T00:00:00"/>
        <d v="2024-03-11T00:00:00"/>
        <d v="2024-03-01T00:00:00"/>
        <d v="2024-03-14T00:00:00"/>
        <d v="2025-11-14T00:00:00"/>
        <d v="2025-12-12T00:00:00"/>
        <d v="2024-07-29T00:00:00"/>
        <d v="2025-04-23T00:00:00"/>
        <d v="2025-02-03T00:00:00"/>
        <d v="2024-09-04T00:00:00"/>
        <d v="2025-04-10T00:00:00"/>
        <d v="2025-10-19T00:00:00"/>
        <d v="2024-01-01T00:00:00"/>
        <d v="2024-08-30T00:00:00"/>
        <d v="2024-01-03T00:00:00"/>
        <d v="2025-06-03T00:00:00"/>
        <d v="2024-07-19T00:00:00"/>
        <d v="2025-05-10T00:00:00"/>
        <d v="2024-11-20T00:00:00"/>
      </sharedItems>
      <fieldGroup par="33"/>
    </cacheField>
    <cacheField name="Discharge Date" numFmtId="14">
      <sharedItems containsSemiMixedTypes="0" containsNonDate="0" containsDate="1" containsString="0" minDate="2024-01-08T00:00:00" maxDate="2026-01-12T00:00:00"/>
    </cacheField>
    <cacheField name="Date of Birth" numFmtId="14">
      <sharedItems containsSemiMixedTypes="0" containsNonDate="0" containsDate="1" containsString="0" minDate="1945-03-07T00:00:00" maxDate="2006-11-05T00:00:00"/>
    </cacheField>
    <cacheField name="Age" numFmtId="0">
      <sharedItems containsSemiMixedTypes="0" containsString="0" containsNumber="1" containsInteger="1" minValue="19" maxValue="81"/>
    </cacheField>
    <cacheField name="Marital Status" numFmtId="0">
      <sharedItems count="4">
        <s v="Divorced"/>
        <s v="Married"/>
        <s v="Widowed"/>
        <s v="Single"/>
      </sharedItems>
    </cacheField>
    <cacheField name="Occupation" numFmtId="0">
      <sharedItems count="12">
        <s v="Consultant"/>
        <s v="Engineer"/>
        <s v="Manager"/>
        <s v="Driver"/>
        <s v="Cleaner"/>
        <s v="Student"/>
        <s v="Administrator"/>
        <s v="Chef"/>
        <s v="Accountant"/>
        <s v="Nurse"/>
        <s v="Teacher"/>
        <s v="Retail Assistant"/>
      </sharedItems>
    </cacheField>
    <cacheField name="Diagnosis" numFmtId="0">
      <sharedItems count="10">
        <s v="Migraine"/>
        <s v="Kidney Disease"/>
        <s v="Arthritis"/>
        <s v="Flu"/>
        <s v="Diabetes"/>
        <s v="Asthma"/>
        <s v="Covid-19"/>
        <s v="Cancer"/>
        <s v="Hypertension"/>
        <s v="Pneumonia"/>
      </sharedItems>
    </cacheField>
    <cacheField name="Severity Level" numFmtId="0">
      <sharedItems count="4">
        <s v="Critical"/>
        <s v="High"/>
        <s v="Low"/>
        <s v="Medium"/>
      </sharedItems>
    </cacheField>
    <cacheField name="Department" numFmtId="0">
      <sharedItems/>
    </cacheField>
    <cacheField name="Treatment Type" numFmtId="0">
      <sharedItems/>
    </cacheField>
    <cacheField name="Room Cost" numFmtId="164">
      <sharedItems containsSemiMixedTypes="0" containsString="0" containsNumber="1" minValue="135.4" maxValue="5017.95"/>
    </cacheField>
    <cacheField name="Lab Cost" numFmtId="164">
      <sharedItems containsSemiMixedTypes="0" containsString="0" containsNumber="1" minValue="31.43" maxValue="2026.74"/>
    </cacheField>
    <cacheField name="Medication Cost" numFmtId="164">
      <sharedItems containsSemiMixedTypes="0" containsString="0" containsNumber="1" minValue="0" maxValue="3065.7"/>
    </cacheField>
    <cacheField name="Treatment Cost" numFmtId="164">
      <sharedItems containsSemiMixedTypes="0" containsString="0" containsNumber="1" minValue="0" maxValue="15900.8"/>
    </cacheField>
    <cacheField name="Insurance Type" numFmtId="0">
      <sharedItems count="5">
        <s v="Self-Pay"/>
        <s v="Employer"/>
        <s v="NHS"/>
        <s v="Private"/>
        <s v="Unknown"/>
      </sharedItems>
    </cacheField>
    <cacheField name="Doctor" numFmtId="0">
      <sharedItems count="10">
        <s v="Dr. Wilson"/>
        <s v="Dr. Smith"/>
        <s v="Dr. Hall"/>
        <s v="Dr. Green"/>
        <s v="Dr. White"/>
        <s v="Dr. Jones"/>
        <s v="Dr. Brown"/>
        <s v="Dr. Thomas"/>
        <s v="Dr. Taylor"/>
        <s v="Dr. Martin"/>
      </sharedItems>
    </cacheField>
    <cacheField name="City" numFmtId="0">
      <sharedItems count="10">
        <s v="Sheffield"/>
        <s v="Manchester"/>
        <s v="Cardiff"/>
        <s v="Birmingham"/>
        <s v="Glasgow"/>
        <s v="London"/>
        <s v="Liverpool"/>
        <s v="Nottingham"/>
        <s v="Bristol"/>
        <s v="Leeds"/>
      </sharedItems>
    </cacheField>
    <cacheField name="Postcode" numFmtId="0">
      <sharedItems/>
    </cacheField>
    <cacheField name="Satisfaction Score" numFmtId="0">
      <sharedItems containsSemiMixedTypes="0" containsString="0" containsNumber="1" containsInteger="1" minValue="0" maxValue="10"/>
    </cacheField>
    <cacheField name="Length of Stay" numFmtId="0">
      <sharedItems containsSemiMixedTypes="0" containsString="0" containsNumber="1" containsInteger="1" minValue="1" maxValue="20"/>
    </cacheField>
    <cacheField name="Total Cost" numFmtId="164">
      <sharedItems containsSemiMixedTypes="0" containsString="0" containsNumber="1" minValue="1658.55" maxValue="22874.62"/>
    </cacheField>
    <cacheField name="Cost Per Day" numFmtId="164">
      <sharedItems containsSemiMixedTypes="0" containsString="0" containsNumber="1" minValue="110.55944444444444" maxValue="21977.9"/>
    </cacheField>
    <cacheField name="Admission Month" numFmtId="0">
      <sharedItems/>
    </cacheField>
    <cacheField name="Admission Year" numFmtId="0">
      <sharedItems/>
    </cacheField>
    <cacheField name="Admission Month &amp; Year" numFmtId="0">
      <sharedItems/>
    </cacheField>
    <cacheField name="Day of the Week" numFmtId="0">
      <sharedItems/>
    </cacheField>
    <cacheField name="Age Group" numFmtId="0">
      <sharedItems count="3">
        <s v="Young Adults"/>
        <s v="Elders"/>
        <s v="Adults"/>
      </sharedItems>
    </cacheField>
    <cacheField name="Patient Name" numFmtId="0">
      <sharedItems/>
    </cacheField>
    <cacheField name="Gender" numFmtId="0">
      <sharedItems/>
    </cacheField>
    <cacheField name="Length of Stay Category" numFmtId="0">
      <sharedItems count="4">
        <s v="Extended Stay"/>
        <s v="Short Stay"/>
        <s v="Long Stay"/>
        <s v="Moderate Stay"/>
      </sharedItems>
    </cacheField>
    <cacheField name="Months (Admission Date)" numFmtId="0" databaseField="0">
      <fieldGroup base="1">
        <rangePr groupBy="months" startDate="2024-01-01T00:00:00" endDate="2025-12-31T00:00:00"/>
        <groupItems count="14">
          <s v="&lt;1/1/2024"/>
          <s v="Jan"/>
          <s v="Feb"/>
          <s v="Mar"/>
          <s v="Apr"/>
          <s v="May"/>
          <s v="Jun"/>
          <s v="Jul"/>
          <s v="Aug"/>
          <s v="Sep"/>
          <s v="Oct"/>
          <s v="Nov"/>
          <s v="Dec"/>
          <s v="&gt;12/31/2025"/>
        </groupItems>
      </fieldGroup>
    </cacheField>
    <cacheField name="Quarters (Admission Date)" numFmtId="0" databaseField="0">
      <fieldGroup base="1">
        <rangePr groupBy="quarters" startDate="2024-01-01T00:00:00" endDate="2025-12-31T00:00:00"/>
        <groupItems count="6">
          <s v="&lt;1/1/2024"/>
          <s v="Qtr1"/>
          <s v="Qtr2"/>
          <s v="Qtr3"/>
          <s v="Qtr4"/>
          <s v="&gt;12/31/2025"/>
        </groupItems>
      </fieldGroup>
    </cacheField>
    <cacheField name="Years (Admission Date)" numFmtId="0" databaseField="0">
      <fieldGroup base="1">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134140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d v="2024-09-09T00:00:00"/>
    <d v="2003-10-05T00:00:00"/>
    <n v="22"/>
    <x v="0"/>
    <x v="0"/>
    <x v="0"/>
    <x v="0"/>
    <s v="Neurology"/>
    <s v="Emergency"/>
    <n v="2622.27"/>
    <n v="625.1"/>
    <n v="1295.76"/>
    <n v="10228.959999999999"/>
    <x v="0"/>
    <x v="0"/>
    <x v="0"/>
    <s v="SW59 5GM"/>
    <n v="3"/>
    <n v="15"/>
    <n v="14772.09"/>
    <n v="984.80600000000004"/>
    <s v="August"/>
    <s v="2024"/>
    <s v="Aug 2024"/>
    <s v="Sunday"/>
    <x v="0"/>
    <s v="Ethan Wilson"/>
    <s v="Male"/>
    <x v="0"/>
  </r>
  <r>
    <x v="1"/>
    <x v="1"/>
    <d v="2025-12-05T00:00:00"/>
    <d v="1945-10-28T00:00:00"/>
    <n v="80"/>
    <x v="1"/>
    <x v="0"/>
    <x v="1"/>
    <x v="1"/>
    <s v="Oncology"/>
    <s v="Surgery"/>
    <n v="1558.08"/>
    <n v="1656.97"/>
    <n v="1052.71"/>
    <n v="6599.48"/>
    <x v="1"/>
    <x v="1"/>
    <x v="1"/>
    <s v="E40 8BS"/>
    <n v="6"/>
    <n v="2"/>
    <n v="10867.24"/>
    <n v="5433.62"/>
    <s v="December"/>
    <s v="2025"/>
    <s v="Dec 2025"/>
    <s v="Wednesday"/>
    <x v="1"/>
    <s v="Sarah Walker"/>
    <s v="Female"/>
    <x v="1"/>
  </r>
  <r>
    <x v="2"/>
    <x v="2"/>
    <d v="2025-05-18T00:00:00"/>
    <d v="1998-03-09T00:00:00"/>
    <n v="28"/>
    <x v="0"/>
    <x v="1"/>
    <x v="2"/>
    <x v="1"/>
    <s v="Pediatrics"/>
    <s v="Emergency"/>
    <n v="3153.83"/>
    <n v="521.57000000000005"/>
    <n v="701.42"/>
    <n v="14612.55"/>
    <x v="2"/>
    <x v="2"/>
    <x v="0"/>
    <s v="E34 9DO"/>
    <n v="4"/>
    <n v="10"/>
    <n v="18989.37"/>
    <n v="1898.9369999999999"/>
    <s v="May"/>
    <s v="2025"/>
    <s v="May 2025"/>
    <s v="Thursday"/>
    <x v="0"/>
    <s v="James Jones"/>
    <s v="Male"/>
    <x v="2"/>
  </r>
  <r>
    <x v="3"/>
    <x v="3"/>
    <d v="2025-04-30T00:00:00"/>
    <d v="1986-02-21T00:00:00"/>
    <n v="40"/>
    <x v="2"/>
    <x v="2"/>
    <x v="3"/>
    <x v="2"/>
    <s v="Respiratory"/>
    <s v="Emergency"/>
    <n v="3156.73"/>
    <n v="977.53"/>
    <n v="1395.59"/>
    <n v="5115.72"/>
    <x v="2"/>
    <x v="2"/>
    <x v="2"/>
    <s v="M76 3NU"/>
    <n v="2"/>
    <n v="10"/>
    <n v="10645.57"/>
    <n v="1064.557"/>
    <s v="April"/>
    <s v="2025"/>
    <s v="Apr 2025"/>
    <s v="Sunday"/>
    <x v="2"/>
    <s v="Sophia Wilson"/>
    <s v="Female"/>
    <x v="2"/>
  </r>
  <r>
    <x v="4"/>
    <x v="4"/>
    <d v="2025-11-03T00:00:00"/>
    <d v="1988-06-18T00:00:00"/>
    <n v="37"/>
    <x v="0"/>
    <x v="3"/>
    <x v="4"/>
    <x v="2"/>
    <s v="Orthopedics"/>
    <s v="Surgery"/>
    <n v="4982.28"/>
    <n v="1827.2"/>
    <n v="0"/>
    <n v="0"/>
    <x v="2"/>
    <x v="0"/>
    <x v="3"/>
    <s v="B27 2YR"/>
    <n v="4"/>
    <n v="12"/>
    <n v="6809.48"/>
    <n v="567.45666666666659"/>
    <s v="October"/>
    <s v="2025"/>
    <s v="Oct 2025"/>
    <s v="Wednesday"/>
    <x v="2"/>
    <s v="Ethan Taylor"/>
    <s v="Male"/>
    <x v="2"/>
  </r>
  <r>
    <x v="5"/>
    <x v="5"/>
    <d v="2025-11-08T00:00:00"/>
    <d v="1996-03-04T00:00:00"/>
    <n v="30"/>
    <x v="3"/>
    <x v="4"/>
    <x v="5"/>
    <x v="2"/>
    <s v="Respiratory"/>
    <s v="Outpatient"/>
    <n v="4401.16"/>
    <n v="1385.2"/>
    <n v="2493.38"/>
    <n v="10620.37"/>
    <x v="3"/>
    <x v="3"/>
    <x v="1"/>
    <s v="M58 6QS"/>
    <n v="3"/>
    <n v="1"/>
    <n v="18900.11"/>
    <n v="18900.11"/>
    <s v="November"/>
    <s v="2025"/>
    <s v="Nov 2025"/>
    <s v="Friday"/>
    <x v="0"/>
    <s v="Charlotte Hall"/>
    <s v="Female"/>
    <x v="1"/>
  </r>
  <r>
    <x v="6"/>
    <x v="1"/>
    <d v="2025-12-07T00:00:00"/>
    <d v="1999-07-14T00:00:00"/>
    <n v="26"/>
    <x v="0"/>
    <x v="5"/>
    <x v="6"/>
    <x v="0"/>
    <s v="Neurology"/>
    <s v="Outpatient"/>
    <n v="2012.38"/>
    <n v="1736.67"/>
    <n v="1429.83"/>
    <n v="7997.55"/>
    <x v="2"/>
    <x v="1"/>
    <x v="4"/>
    <s v="B38 8QT"/>
    <n v="2"/>
    <n v="4"/>
    <n v="13176.43"/>
    <n v="3294.1075000000001"/>
    <s v="December"/>
    <s v="2025"/>
    <s v="Dec 2025"/>
    <s v="Wednesday"/>
    <x v="0"/>
    <s v="John Brown"/>
    <s v="Male"/>
    <x v="3"/>
  </r>
  <r>
    <x v="7"/>
    <x v="6"/>
    <d v="2025-11-21T00:00:00"/>
    <d v="1965-07-11T00:00:00"/>
    <n v="60"/>
    <x v="1"/>
    <x v="6"/>
    <x v="2"/>
    <x v="2"/>
    <s v="Emergency"/>
    <s v="Emergency"/>
    <n v="617.84"/>
    <n v="1264.6199999999999"/>
    <n v="333.12"/>
    <n v="15637.84"/>
    <x v="0"/>
    <x v="4"/>
    <x v="5"/>
    <s v="B72 9KV"/>
    <n v="2"/>
    <n v="9"/>
    <n v="17853.419999999998"/>
    <n v="1983.7133333333331"/>
    <s v="November"/>
    <s v="2025"/>
    <s v="Nov 2025"/>
    <s v="Wednesday"/>
    <x v="1"/>
    <s v="Emma Martin"/>
    <s v="Female"/>
    <x v="2"/>
  </r>
  <r>
    <x v="8"/>
    <x v="7"/>
    <d v="2024-08-21T00:00:00"/>
    <d v="1954-11-16T00:00:00"/>
    <n v="71"/>
    <x v="3"/>
    <x v="7"/>
    <x v="2"/>
    <x v="1"/>
    <s v="General Medicine"/>
    <s v="Inpatient"/>
    <n v="4804.7299999999996"/>
    <n v="169.09"/>
    <n v="2423.62"/>
    <n v="4341.8599999999997"/>
    <x v="1"/>
    <x v="4"/>
    <x v="6"/>
    <s v="E24 5WY"/>
    <n v="7"/>
    <n v="4"/>
    <n v="11739.3"/>
    <n v="2934.8249999999998"/>
    <s v="August"/>
    <s v="2024"/>
    <s v="Aug 2024"/>
    <s v="Saturday"/>
    <x v="1"/>
    <s v="James Brown"/>
    <s v="Male"/>
    <x v="3"/>
  </r>
  <r>
    <x v="9"/>
    <x v="8"/>
    <d v="2025-02-03T00:00:00"/>
    <d v="1992-09-07T00:00:00"/>
    <n v="33"/>
    <x v="3"/>
    <x v="8"/>
    <x v="6"/>
    <x v="3"/>
    <s v="Neurology"/>
    <s v="Emergency"/>
    <n v="5006.66"/>
    <n v="1401.42"/>
    <n v="2433.62"/>
    <n v="2599.25"/>
    <x v="1"/>
    <x v="4"/>
    <x v="7"/>
    <s v="M63 8NI"/>
    <n v="1"/>
    <n v="14"/>
    <n v="11440.95"/>
    <n v="817.21071428571429"/>
    <s v="January"/>
    <s v="2025"/>
    <s v="Jan 2025"/>
    <s v="Monday"/>
    <x v="0"/>
    <s v="Emily Martin"/>
    <s v="Female"/>
    <x v="2"/>
  </r>
  <r>
    <x v="10"/>
    <x v="9"/>
    <d v="2024-08-07T00:00:00"/>
    <d v="1983-01-01T00:00:00"/>
    <n v="43"/>
    <x v="1"/>
    <x v="6"/>
    <x v="7"/>
    <x v="0"/>
    <s v="Cardiology"/>
    <s v="Inpatient"/>
    <n v="3673.34"/>
    <n v="1505.01"/>
    <n v="1405"/>
    <n v="14937.06"/>
    <x v="1"/>
    <x v="5"/>
    <x v="2"/>
    <s v="SW10 7XB"/>
    <n v="8"/>
    <n v="10"/>
    <n v="21520.41"/>
    <n v="2152.0410000000002"/>
    <s v="July"/>
    <s v="2024"/>
    <s v="Jul 2024"/>
    <s v="Sunday"/>
    <x v="2"/>
    <s v="Lucas Hall"/>
    <s v="Male"/>
    <x v="2"/>
  </r>
  <r>
    <x v="11"/>
    <x v="10"/>
    <d v="2024-07-14T00:00:00"/>
    <d v="1970-01-11T00:00:00"/>
    <n v="56"/>
    <x v="0"/>
    <x v="4"/>
    <x v="6"/>
    <x v="2"/>
    <s v="Orthopedics"/>
    <s v="Surgery"/>
    <n v="1332.63"/>
    <n v="331.8"/>
    <n v="1922.45"/>
    <n v="13375.22"/>
    <x v="2"/>
    <x v="4"/>
    <x v="8"/>
    <s v="N43 3CQ"/>
    <n v="4"/>
    <n v="20"/>
    <n v="16962.099999999999"/>
    <n v="848.1049999999999"/>
    <s v="June"/>
    <s v="2024"/>
    <s v="Jun 2024"/>
    <s v="Monday"/>
    <x v="2"/>
    <s v="Olivia Wood"/>
    <s v="Female"/>
    <x v="0"/>
  </r>
  <r>
    <x v="12"/>
    <x v="11"/>
    <d v="2024-07-16T00:00:00"/>
    <d v="1993-11-03T00:00:00"/>
    <n v="32"/>
    <x v="0"/>
    <x v="9"/>
    <x v="6"/>
    <x v="1"/>
    <s v="Cardiology"/>
    <s v="Inpatient"/>
    <n v="413.69"/>
    <n v="1737.35"/>
    <n v="2931.42"/>
    <n v="6046.74"/>
    <x v="0"/>
    <x v="4"/>
    <x v="7"/>
    <s v="E61 8UJ"/>
    <n v="10"/>
    <n v="16"/>
    <n v="11129.2"/>
    <n v="695.57500000000005"/>
    <s v="June"/>
    <s v="2024"/>
    <s v="Jun 2024"/>
    <s v="Sunday"/>
    <x v="0"/>
    <s v="Benjamin Walker"/>
    <s v="Male"/>
    <x v="0"/>
  </r>
  <r>
    <x v="13"/>
    <x v="12"/>
    <d v="2024-02-27T00:00:00"/>
    <d v="1974-10-18T00:00:00"/>
    <n v="51"/>
    <x v="3"/>
    <x v="6"/>
    <x v="1"/>
    <x v="3"/>
    <s v="General Medicine"/>
    <s v="Surgery"/>
    <n v="2938.89"/>
    <n v="166.46"/>
    <n v="2118.09"/>
    <n v="7255.77"/>
    <x v="0"/>
    <x v="4"/>
    <x v="3"/>
    <s v="E32 8OQ"/>
    <n v="1"/>
    <n v="15"/>
    <n v="12479.210000000001"/>
    <n v="831.9473333333334"/>
    <s v="February"/>
    <s v="2024"/>
    <s v="Feb 2024"/>
    <s v="Monday"/>
    <x v="2"/>
    <s v="Lily Brown"/>
    <s v="Female"/>
    <x v="0"/>
  </r>
  <r>
    <x v="14"/>
    <x v="13"/>
    <d v="2025-12-08T00:00:00"/>
    <d v="1966-02-18T00:00:00"/>
    <n v="60"/>
    <x v="2"/>
    <x v="9"/>
    <x v="0"/>
    <x v="1"/>
    <s v="Oncology"/>
    <s v="Inpatient"/>
    <n v="4301.18"/>
    <n v="777.44"/>
    <n v="1423.15"/>
    <n v="11754.46"/>
    <x v="3"/>
    <x v="3"/>
    <x v="4"/>
    <s v="E40 9MU"/>
    <n v="3"/>
    <n v="13"/>
    <n v="18256.23"/>
    <n v="1404.3253846153846"/>
    <s v="November"/>
    <s v="2025"/>
    <s v="Nov 2025"/>
    <s v="Tuesday"/>
    <x v="1"/>
    <s v="Henry White"/>
    <s v="Male"/>
    <x v="2"/>
  </r>
  <r>
    <x v="15"/>
    <x v="14"/>
    <d v="2024-08-24T00:00:00"/>
    <d v="2005-08-07T00:00:00"/>
    <n v="20"/>
    <x v="1"/>
    <x v="7"/>
    <x v="5"/>
    <x v="3"/>
    <s v="Respiratory"/>
    <s v="Emergency"/>
    <n v="2141.96"/>
    <n v="1284.25"/>
    <n v="2206.09"/>
    <n v="7144.36"/>
    <x v="4"/>
    <x v="6"/>
    <x v="0"/>
    <s v="N21 3WY"/>
    <n v="9"/>
    <n v="5"/>
    <n v="12776.66"/>
    <n v="2555.3319999999999"/>
    <s v="August"/>
    <s v="2024"/>
    <s v="Aug 2024"/>
    <s v="Monday"/>
    <x v="0"/>
    <s v="Ella Hall"/>
    <s v="Female"/>
    <x v="3"/>
  </r>
  <r>
    <x v="16"/>
    <x v="15"/>
    <d v="2025-05-02T00:00:00"/>
    <d v="1979-04-10T00:00:00"/>
    <n v="47"/>
    <x v="1"/>
    <x v="7"/>
    <x v="2"/>
    <x v="2"/>
    <s v="Neurology"/>
    <s v="Inpatient"/>
    <n v="3870.53"/>
    <n v="362.55"/>
    <n v="2017.94"/>
    <n v="13162.31"/>
    <x v="0"/>
    <x v="7"/>
    <x v="3"/>
    <s v="SW7 8LR"/>
    <n v="7"/>
    <n v="7"/>
    <n v="19413.330000000002"/>
    <n v="2773.3328571428574"/>
    <s v="April"/>
    <s v="2025"/>
    <s v="Apr 2025"/>
    <s v="Friday"/>
    <x v="2"/>
    <s v="Noah Walker"/>
    <s v="Male"/>
    <x v="3"/>
  </r>
  <r>
    <x v="17"/>
    <x v="16"/>
    <d v="2024-02-11T00:00:00"/>
    <d v="1997-08-12T00:00:00"/>
    <n v="28"/>
    <x v="0"/>
    <x v="9"/>
    <x v="4"/>
    <x v="0"/>
    <s v="Respiratory"/>
    <s v="Inpatient"/>
    <n v="1949.5"/>
    <n v="1190.01"/>
    <n v="421.49"/>
    <n v="1817"/>
    <x v="0"/>
    <x v="2"/>
    <x v="3"/>
    <s v="E37 8WE"/>
    <n v="1"/>
    <n v="14"/>
    <n v="5378"/>
    <n v="384.14285714285717"/>
    <s v="January"/>
    <s v="2024"/>
    <s v="Jan 2024"/>
    <s v="Sunday"/>
    <x v="0"/>
    <s v="Sophia Martin"/>
    <s v="Female"/>
    <x v="2"/>
  </r>
  <r>
    <x v="18"/>
    <x v="17"/>
    <d v="2024-11-08T00:00:00"/>
    <d v="1994-05-08T00:00:00"/>
    <n v="32"/>
    <x v="1"/>
    <x v="4"/>
    <x v="4"/>
    <x v="3"/>
    <s v="Emergency"/>
    <s v="Inpatient"/>
    <n v="749.34"/>
    <n v="1159.3699999999999"/>
    <n v="318.08999999999997"/>
    <n v="10050.65"/>
    <x v="0"/>
    <x v="8"/>
    <x v="3"/>
    <s v="SW55 1TL"/>
    <n v="3"/>
    <n v="4"/>
    <n v="12277.45"/>
    <n v="3069.3625000000002"/>
    <s v="November"/>
    <s v="2024"/>
    <s v="Nov 2024"/>
    <s v="Monday"/>
    <x v="0"/>
    <s v="Henry Thompson"/>
    <s v="Male"/>
    <x v="3"/>
  </r>
  <r>
    <x v="19"/>
    <x v="18"/>
    <d v="2025-10-25T00:00:00"/>
    <d v="2000-08-02T00:00:00"/>
    <n v="25"/>
    <x v="3"/>
    <x v="2"/>
    <x v="2"/>
    <x v="0"/>
    <s v="Respiratory"/>
    <s v="Outpatient"/>
    <n v="3852.7"/>
    <n v="434.19"/>
    <n v="1486.11"/>
    <n v="2249.0500000000002"/>
    <x v="2"/>
    <x v="8"/>
    <x v="2"/>
    <s v="SW83 3YV"/>
    <n v="2"/>
    <n v="13"/>
    <n v="8022.0499999999993"/>
    <n v="617.08076923076919"/>
    <s v="October"/>
    <s v="2025"/>
    <s v="Oct 2025"/>
    <s v="Sunday"/>
    <x v="0"/>
    <s v="Emma Taylor"/>
    <s v="Female"/>
    <x v="2"/>
  </r>
  <r>
    <x v="20"/>
    <x v="19"/>
    <d v="2025-03-01T00:00:00"/>
    <d v="1965-05-17T00:00:00"/>
    <n v="61"/>
    <x v="0"/>
    <x v="5"/>
    <x v="6"/>
    <x v="0"/>
    <s v="General Medicine"/>
    <s v="Surgery"/>
    <n v="3584.89"/>
    <n v="1302.75"/>
    <n v="1256.7"/>
    <n v="13708.61"/>
    <x v="3"/>
    <x v="3"/>
    <x v="0"/>
    <s v="M50 6FP"/>
    <n v="1"/>
    <n v="18"/>
    <n v="19852.95"/>
    <n v="1102.9416666666666"/>
    <s v="February"/>
    <s v="2025"/>
    <s v="Feb 2025"/>
    <s v="Tuesday"/>
    <x v="1"/>
    <s v="Oliver Wilson"/>
    <s v="Male"/>
    <x v="0"/>
  </r>
  <r>
    <x v="21"/>
    <x v="20"/>
    <d v="2024-12-11T00:00:00"/>
    <d v="1965-02-03T00:00:00"/>
    <n v="61"/>
    <x v="2"/>
    <x v="8"/>
    <x v="0"/>
    <x v="3"/>
    <s v="Cardiology"/>
    <s v="Emergency"/>
    <n v="2110.85"/>
    <n v="788.11"/>
    <n v="2919.39"/>
    <n v="1196.23"/>
    <x v="4"/>
    <x v="8"/>
    <x v="5"/>
    <s v="E86 7LQ"/>
    <n v="8"/>
    <n v="10"/>
    <n v="7014.58"/>
    <n v="701.45799999999997"/>
    <s v="December"/>
    <s v="2024"/>
    <s v="Dec 2024"/>
    <s v="Sunday"/>
    <x v="1"/>
    <s v="Grace Evans"/>
    <s v="Female"/>
    <x v="2"/>
  </r>
  <r>
    <x v="22"/>
    <x v="21"/>
    <d v="2025-01-30T00:00:00"/>
    <d v="1988-08-12T00:00:00"/>
    <n v="37"/>
    <x v="2"/>
    <x v="6"/>
    <x v="8"/>
    <x v="1"/>
    <s v="Respiratory"/>
    <s v="Inpatient"/>
    <n v="3820.27"/>
    <n v="1502.26"/>
    <n v="1401.96"/>
    <n v="3575.83"/>
    <x v="0"/>
    <x v="0"/>
    <x v="1"/>
    <s v="SW34 8GT"/>
    <n v="5"/>
    <n v="15"/>
    <n v="10300.32"/>
    <n v="686.68799999999999"/>
    <s v="January"/>
    <s v="2025"/>
    <s v="Jan 2025"/>
    <s v="Wednesday"/>
    <x v="2"/>
    <s v="Benjamin Z Walker"/>
    <s v="Male"/>
    <x v="0"/>
  </r>
  <r>
    <x v="23"/>
    <x v="22"/>
    <d v="2024-03-25T00:00:00"/>
    <d v="1987-06-23T00:00:00"/>
    <n v="38"/>
    <x v="1"/>
    <x v="9"/>
    <x v="9"/>
    <x v="1"/>
    <s v="Respiratory"/>
    <s v="Outpatient"/>
    <n v="668.93"/>
    <n v="1523.94"/>
    <n v="3035.96"/>
    <n v="11410.25"/>
    <x v="3"/>
    <x v="3"/>
    <x v="9"/>
    <s v="M4 6RS"/>
    <n v="3"/>
    <n v="18"/>
    <n v="16639.080000000002"/>
    <n v="924.39333333333343"/>
    <s v="March"/>
    <s v="2024"/>
    <s v="Mar 2024"/>
    <s v="Thursday"/>
    <x v="2"/>
    <s v="Sarah Wood"/>
    <s v="Female"/>
    <x v="0"/>
  </r>
  <r>
    <x v="24"/>
    <x v="23"/>
    <d v="2024-05-19T00:00:00"/>
    <d v="1997-10-03T00:00:00"/>
    <n v="28"/>
    <x v="2"/>
    <x v="6"/>
    <x v="8"/>
    <x v="3"/>
    <s v="General Medicine"/>
    <s v="Surgery"/>
    <n v="771.06"/>
    <n v="1367.82"/>
    <n v="662.8"/>
    <n v="9895.93"/>
    <x v="1"/>
    <x v="0"/>
    <x v="5"/>
    <s v="E67 3JF"/>
    <n v="9"/>
    <n v="11"/>
    <n v="12697.61"/>
    <n v="1154.328181818182"/>
    <s v="May"/>
    <s v="2024"/>
    <s v="May 2024"/>
    <s v="Wednesday"/>
    <x v="0"/>
    <s v="Samuel Wilson"/>
    <s v="Male"/>
    <x v="2"/>
  </r>
  <r>
    <x v="25"/>
    <x v="24"/>
    <d v="2025-07-03T00:00:00"/>
    <d v="1985-05-20T00:00:00"/>
    <n v="41"/>
    <x v="3"/>
    <x v="1"/>
    <x v="9"/>
    <x v="0"/>
    <s v="Cardiology"/>
    <s v="Surgery"/>
    <n v="4080.49"/>
    <n v="1707.25"/>
    <n v="816.87"/>
    <n v="11973.65"/>
    <x v="3"/>
    <x v="5"/>
    <x v="5"/>
    <s v="B34 4YS"/>
    <n v="10"/>
    <n v="3"/>
    <n v="18578.259999999998"/>
    <n v="6192.7533333333331"/>
    <s v="June"/>
    <s v="2025"/>
    <s v="Jun 2025"/>
    <s v="Monday"/>
    <x v="2"/>
    <s v="Freya Green"/>
    <s v="Female"/>
    <x v="1"/>
  </r>
  <r>
    <x v="26"/>
    <x v="25"/>
    <d v="2024-06-25T00:00:00"/>
    <d v="1949-12-02T00:00:00"/>
    <n v="76"/>
    <x v="1"/>
    <x v="2"/>
    <x v="3"/>
    <x v="2"/>
    <s v="Pediatrics"/>
    <s v="Outpatient"/>
    <n v="2571.54"/>
    <n v="1819.77"/>
    <n v="1416.15"/>
    <n v="2904.81"/>
    <x v="3"/>
    <x v="5"/>
    <x v="2"/>
    <s v="B14 6HO"/>
    <n v="6"/>
    <n v="15"/>
    <n v="8712.2699999999986"/>
    <n v="580.81799999999987"/>
    <s v="June"/>
    <s v="2024"/>
    <s v="Jun 2024"/>
    <s v="Monday"/>
    <x v="1"/>
    <s v="Michael Robinson"/>
    <s v="Male"/>
    <x v="0"/>
  </r>
  <r>
    <x v="27"/>
    <x v="26"/>
    <d v="2024-11-23T00:00:00"/>
    <d v="1997-06-19T00:00:00"/>
    <n v="28"/>
    <x v="1"/>
    <x v="7"/>
    <x v="5"/>
    <x v="0"/>
    <s v="Pediatrics"/>
    <s v="Inpatient"/>
    <n v="1285.25"/>
    <n v="1527.29"/>
    <n v="1362.74"/>
    <n v="14487.5"/>
    <x v="0"/>
    <x v="3"/>
    <x v="8"/>
    <s v="E7 5PT"/>
    <n v="2"/>
    <n v="7"/>
    <n v="18662.78"/>
    <n v="2666.1114285714284"/>
    <s v="November"/>
    <s v="2024"/>
    <s v="Nov 2024"/>
    <s v="Saturday"/>
    <x v="0"/>
    <s v="Chloe Evans"/>
    <s v="Female"/>
    <x v="3"/>
  </r>
  <r>
    <x v="28"/>
    <x v="27"/>
    <d v="2025-08-24T00:00:00"/>
    <d v="1947-07-02T00:00:00"/>
    <n v="78"/>
    <x v="3"/>
    <x v="9"/>
    <x v="7"/>
    <x v="3"/>
    <s v="Orthopedics"/>
    <s v="Emergency"/>
    <n v="431.7"/>
    <n v="742.2"/>
    <n v="2160.04"/>
    <n v="8733.25"/>
    <x v="0"/>
    <x v="2"/>
    <x v="1"/>
    <s v="M48 6RL"/>
    <n v="9"/>
    <n v="18"/>
    <n v="12067.19"/>
    <n v="670.3994444444445"/>
    <s v="August"/>
    <s v="2025"/>
    <s v="Aug 2025"/>
    <s v="Wednesday"/>
    <x v="1"/>
    <s v="Benjamin Martin"/>
    <s v="Male"/>
    <x v="0"/>
  </r>
  <r>
    <x v="29"/>
    <x v="20"/>
    <d v="2024-12-21T00:00:00"/>
    <d v="1983-09-05T00:00:00"/>
    <n v="42"/>
    <x v="3"/>
    <x v="2"/>
    <x v="2"/>
    <x v="2"/>
    <s v="Respiratory"/>
    <s v="Outpatient"/>
    <n v="4052.05"/>
    <n v="1344.06"/>
    <n v="2514.64"/>
    <n v="12370.36"/>
    <x v="1"/>
    <x v="7"/>
    <x v="8"/>
    <s v="E54 5ZX"/>
    <n v="9"/>
    <n v="20"/>
    <n v="20281.11"/>
    <n v="1014.0555000000001"/>
    <s v="December"/>
    <s v="2024"/>
    <s v="Dec 2024"/>
    <s v="Sunday"/>
    <x v="2"/>
    <s v="Ella Taylor"/>
    <s v="Female"/>
    <x v="0"/>
  </r>
  <r>
    <x v="30"/>
    <x v="28"/>
    <d v="2024-02-21T00:00:00"/>
    <d v="1997-11-08T00:00:00"/>
    <n v="28"/>
    <x v="3"/>
    <x v="4"/>
    <x v="8"/>
    <x v="0"/>
    <s v="Emergency"/>
    <s v="Outpatient"/>
    <n v="2958.63"/>
    <n v="1442.6"/>
    <n v="711.3"/>
    <n v="8943.1200000000008"/>
    <x v="0"/>
    <x v="4"/>
    <x v="3"/>
    <s v="B27 9KV"/>
    <n v="4"/>
    <n v="19"/>
    <n v="14055.650000000001"/>
    <n v="739.77105263157898"/>
    <s v="February"/>
    <s v="2024"/>
    <s v="Feb 2024"/>
    <s v="Friday"/>
    <x v="0"/>
    <s v="John Jones"/>
    <s v="Male"/>
    <x v="0"/>
  </r>
  <r>
    <x v="31"/>
    <x v="29"/>
    <d v="2025-08-04T00:00:00"/>
    <d v="1957-04-09T00:00:00"/>
    <n v="69"/>
    <x v="0"/>
    <x v="8"/>
    <x v="7"/>
    <x v="1"/>
    <s v="Oncology"/>
    <s v="Inpatient"/>
    <n v="781.64"/>
    <n v="957.8"/>
    <n v="2957.73"/>
    <n v="6167.31"/>
    <x v="1"/>
    <x v="7"/>
    <x v="1"/>
    <s v="B87 9MM"/>
    <n v="8"/>
    <n v="10"/>
    <n v="10864.48"/>
    <n v="1086.4479999999999"/>
    <s v="July"/>
    <s v="2025"/>
    <s v="Jul 2025"/>
    <s v="Friday"/>
    <x v="1"/>
    <s v="Lily Robinson"/>
    <s v="Female"/>
    <x v="2"/>
  </r>
  <r>
    <x v="32"/>
    <x v="30"/>
    <d v="2025-08-07T00:00:00"/>
    <d v="1957-09-09T00:00:00"/>
    <n v="68"/>
    <x v="0"/>
    <x v="4"/>
    <x v="5"/>
    <x v="3"/>
    <s v="Emergency"/>
    <s v="Emergency"/>
    <n v="2485.12"/>
    <n v="1344.96"/>
    <n v="1048.08"/>
    <n v="11357.46"/>
    <x v="3"/>
    <x v="5"/>
    <x v="7"/>
    <s v="E88 3AR"/>
    <n v="9"/>
    <n v="9"/>
    <n v="16235.619999999999"/>
    <n v="1803.9577777777777"/>
    <s v="July"/>
    <s v="2025"/>
    <s v="Jul 2025"/>
    <s v="Tuesday"/>
    <x v="1"/>
    <s v="Michael Jones"/>
    <s v="Male"/>
    <x v="2"/>
  </r>
  <r>
    <x v="33"/>
    <x v="31"/>
    <d v="2024-02-14T00:00:00"/>
    <d v="1979-12-24T00:00:00"/>
    <n v="46"/>
    <x v="3"/>
    <x v="10"/>
    <x v="3"/>
    <x v="0"/>
    <s v="Respiratory"/>
    <s v="Emergency"/>
    <n v="1055.07"/>
    <n v="1539.95"/>
    <n v="1754.8"/>
    <n v="5162.8100000000004"/>
    <x v="2"/>
    <x v="8"/>
    <x v="6"/>
    <s v="B78 2KJ"/>
    <n v="3"/>
    <n v="6"/>
    <n v="9512.630000000001"/>
    <n v="1585.4383333333335"/>
    <s v="February"/>
    <s v="2024"/>
    <s v="Feb 2024"/>
    <s v="Thursday"/>
    <x v="2"/>
    <s v="Chloe Wilson"/>
    <s v="Female"/>
    <x v="3"/>
  </r>
  <r>
    <x v="34"/>
    <x v="32"/>
    <d v="2024-11-17T00:00:00"/>
    <d v="1945-12-11T00:00:00"/>
    <n v="80"/>
    <x v="2"/>
    <x v="2"/>
    <x v="7"/>
    <x v="1"/>
    <s v="General Medicine"/>
    <s v="Inpatient"/>
    <n v="2041.21"/>
    <n v="285.27"/>
    <n v="1852.53"/>
    <n v="5438.68"/>
    <x v="0"/>
    <x v="7"/>
    <x v="9"/>
    <s v="E34 7HO"/>
    <n v="2"/>
    <n v="19"/>
    <n v="9617.69"/>
    <n v="506.19421052631583"/>
    <s v="October"/>
    <s v="2024"/>
    <s v="Oct 2024"/>
    <s v="Tuesday"/>
    <x v="1"/>
    <s v="Oliver Walker"/>
    <s v="Male"/>
    <x v="0"/>
  </r>
  <r>
    <x v="35"/>
    <x v="33"/>
    <d v="2024-11-18T00:00:00"/>
    <d v="1988-09-23T00:00:00"/>
    <n v="37"/>
    <x v="1"/>
    <x v="3"/>
    <x v="0"/>
    <x v="1"/>
    <s v="Neurology"/>
    <s v="Inpatient"/>
    <n v="4260.22"/>
    <n v="1126.49"/>
    <n v="2023.32"/>
    <n v="2339.77"/>
    <x v="3"/>
    <x v="2"/>
    <x v="4"/>
    <s v="E68 8QW"/>
    <n v="10"/>
    <n v="4"/>
    <n v="9749.7999999999993"/>
    <n v="2437.4499999999998"/>
    <s v="November"/>
    <s v="2024"/>
    <s v="Nov 2024"/>
    <s v="Thursday"/>
    <x v="2"/>
    <s v="Mia Evans"/>
    <s v="Female"/>
    <x v="3"/>
  </r>
  <r>
    <x v="36"/>
    <x v="34"/>
    <d v="2025-09-05T00:00:00"/>
    <d v="1952-11-07T00:00:00"/>
    <n v="73"/>
    <x v="0"/>
    <x v="4"/>
    <x v="8"/>
    <x v="2"/>
    <s v="Cardiology"/>
    <s v="Surgery"/>
    <n v="686.46"/>
    <n v="210.31"/>
    <n v="1920.19"/>
    <n v="12038.76"/>
    <x v="2"/>
    <x v="9"/>
    <x v="5"/>
    <s v="M33 1XG"/>
    <n v="7"/>
    <n v="16"/>
    <n v="14855.720000000001"/>
    <n v="928.48250000000007"/>
    <s v="August"/>
    <s v="2025"/>
    <s v="Aug 2025"/>
    <s v="Wednesday"/>
    <x v="1"/>
    <s v="David Evans"/>
    <s v="Male"/>
    <x v="0"/>
  </r>
  <r>
    <x v="37"/>
    <x v="35"/>
    <d v="2024-06-01T00:00:00"/>
    <d v="1963-07-06T00:00:00"/>
    <n v="62"/>
    <x v="2"/>
    <x v="6"/>
    <x v="2"/>
    <x v="0"/>
    <s v="Emergency"/>
    <s v="Outpatient"/>
    <n v="2376.85"/>
    <n v="1848.25"/>
    <n v="1596.02"/>
    <n v="8392.16"/>
    <x v="0"/>
    <x v="0"/>
    <x v="3"/>
    <s v="N1 1JO"/>
    <n v="9"/>
    <n v="14"/>
    <n v="14213.28"/>
    <n v="1015.2342857142858"/>
    <s v="May"/>
    <s v="2024"/>
    <s v="May 2024"/>
    <s v="Saturday"/>
    <x v="1"/>
    <s v="Grace Martin"/>
    <s v="Female"/>
    <x v="2"/>
  </r>
  <r>
    <x v="38"/>
    <x v="36"/>
    <d v="2025-09-22T00:00:00"/>
    <d v="1996-11-14T00:00:00"/>
    <n v="29"/>
    <x v="1"/>
    <x v="10"/>
    <x v="7"/>
    <x v="1"/>
    <s v="General Medicine"/>
    <s v="Surgery"/>
    <n v="4392.1000000000004"/>
    <n v="648.76"/>
    <n v="1937.78"/>
    <n v="14999.26"/>
    <x v="2"/>
    <x v="0"/>
    <x v="3"/>
    <s v="B38 4XS"/>
    <n v="2"/>
    <n v="1"/>
    <n v="21977.9"/>
    <n v="21977.9"/>
    <s v="September"/>
    <s v="2025"/>
    <s v="Sep 2025"/>
    <s v="Sunday"/>
    <x v="0"/>
    <s v="Ethan Walker"/>
    <s v="Male"/>
    <x v="1"/>
  </r>
  <r>
    <x v="39"/>
    <x v="37"/>
    <d v="2024-12-31T00:00:00"/>
    <d v="1980-08-02T00:00:00"/>
    <n v="45"/>
    <x v="1"/>
    <x v="11"/>
    <x v="9"/>
    <x v="3"/>
    <s v="Emergency"/>
    <s v="Surgery"/>
    <n v="839.22"/>
    <n v="1772.55"/>
    <n v="1315.65"/>
    <n v="4161.26"/>
    <x v="3"/>
    <x v="0"/>
    <x v="5"/>
    <s v="B53 7RQ"/>
    <n v="9"/>
    <n v="13"/>
    <n v="8088.68"/>
    <n v="622.20615384615382"/>
    <s v="December"/>
    <s v="2024"/>
    <s v="Dec 2024"/>
    <s v="Wednesday"/>
    <x v="2"/>
    <s v="Ella T Taylor"/>
    <s v="Female"/>
    <x v="2"/>
  </r>
  <r>
    <x v="40"/>
    <x v="38"/>
    <d v="2025-10-01T00:00:00"/>
    <d v="1962-07-22T00:00:00"/>
    <n v="63"/>
    <x v="1"/>
    <x v="4"/>
    <x v="4"/>
    <x v="1"/>
    <s v="Pediatrics"/>
    <s v="Emergency"/>
    <n v="2652.16"/>
    <n v="1114.1400000000001"/>
    <n v="2033.89"/>
    <n v="9891.7199999999993"/>
    <x v="3"/>
    <x v="9"/>
    <x v="1"/>
    <s v="M32 4MH"/>
    <n v="6"/>
    <n v="20"/>
    <n v="15691.91"/>
    <n v="784.59550000000002"/>
    <s v="September"/>
    <s v="2025"/>
    <s v="Sep 2025"/>
    <s v="Thursday"/>
    <x v="1"/>
    <s v="Ethan White"/>
    <s v="Male"/>
    <x v="0"/>
  </r>
  <r>
    <x v="41"/>
    <x v="39"/>
    <d v="2024-11-30T00:00:00"/>
    <d v="1996-12-16T00:00:00"/>
    <n v="29"/>
    <x v="1"/>
    <x v="3"/>
    <x v="2"/>
    <x v="1"/>
    <s v="Pediatrics"/>
    <s v="Emergency"/>
    <n v="3001.93"/>
    <n v="1522.33"/>
    <n v="648.62"/>
    <n v="8218.23"/>
    <x v="3"/>
    <x v="5"/>
    <x v="8"/>
    <s v="N49 4PR"/>
    <n v="9"/>
    <n v="7"/>
    <n v="13391.11"/>
    <n v="1913.0157142857145"/>
    <s v="November"/>
    <s v="2024"/>
    <s v="Nov 2024"/>
    <s v="Saturday"/>
    <x v="0"/>
    <s v="Emily Jones"/>
    <s v="Female"/>
    <x v="3"/>
  </r>
  <r>
    <x v="42"/>
    <x v="40"/>
    <d v="2024-03-19T00:00:00"/>
    <d v="1978-01-27T00:00:00"/>
    <n v="48"/>
    <x v="2"/>
    <x v="0"/>
    <x v="4"/>
    <x v="2"/>
    <s v="Cardiology"/>
    <s v="Surgery"/>
    <n v="290.22000000000003"/>
    <n v="1482.7"/>
    <n v="398.72"/>
    <n v="10254.48"/>
    <x v="3"/>
    <x v="3"/>
    <x v="7"/>
    <s v="E1 9RN"/>
    <n v="1"/>
    <n v="2"/>
    <n v="12426.119999999999"/>
    <n v="6213.0599999999995"/>
    <s v="March"/>
    <s v="2024"/>
    <s v="Mar 2024"/>
    <s v="Sunday"/>
    <x v="2"/>
    <s v="David Wood"/>
    <s v="Male"/>
    <x v="1"/>
  </r>
  <r>
    <x v="43"/>
    <x v="41"/>
    <d v="2024-06-09T00:00:00"/>
    <d v="2003-02-17T00:00:00"/>
    <n v="23"/>
    <x v="1"/>
    <x v="8"/>
    <x v="7"/>
    <x v="0"/>
    <s v="Cardiology"/>
    <s v="Outpatient"/>
    <n v="3718.49"/>
    <n v="726.29"/>
    <n v="1223.49"/>
    <n v="2353.86"/>
    <x v="1"/>
    <x v="6"/>
    <x v="1"/>
    <s v="E12 7MM"/>
    <n v="2"/>
    <n v="8"/>
    <n v="8022.1299999999992"/>
    <n v="1002.7662499999999"/>
    <s v="June"/>
    <s v="2024"/>
    <s v="Jun 2024"/>
    <s v="Saturday"/>
    <x v="0"/>
    <s v="Isabella Walker"/>
    <s v="Female"/>
    <x v="2"/>
  </r>
  <r>
    <x v="44"/>
    <x v="42"/>
    <d v="2025-12-28T00:00:00"/>
    <d v="1959-04-28T00:00:00"/>
    <n v="67"/>
    <x v="1"/>
    <x v="7"/>
    <x v="6"/>
    <x v="2"/>
    <s v="Emergency"/>
    <s v="Surgery"/>
    <n v="1325.05"/>
    <n v="1467.21"/>
    <n v="0"/>
    <n v="0"/>
    <x v="1"/>
    <x v="3"/>
    <x v="3"/>
    <s v="M10 5FS"/>
    <n v="1"/>
    <n v="19"/>
    <n v="2792.26"/>
    <n v="146.96105263157895"/>
    <s v="December"/>
    <s v="2025"/>
    <s v="Dec 2025"/>
    <s v="Tuesday"/>
    <x v="1"/>
    <s v="Arthur Jones"/>
    <s v="Male"/>
    <x v="0"/>
  </r>
  <r>
    <x v="45"/>
    <x v="43"/>
    <d v="2024-03-29T00:00:00"/>
    <d v="1951-07-08T00:00:00"/>
    <n v="74"/>
    <x v="2"/>
    <x v="5"/>
    <x v="1"/>
    <x v="1"/>
    <s v="Orthopedics"/>
    <s v="Inpatient"/>
    <n v="1436.97"/>
    <n v="686.04"/>
    <n v="1388.96"/>
    <n v="5044.22"/>
    <x v="0"/>
    <x v="1"/>
    <x v="3"/>
    <s v="B85 7CY"/>
    <n v="5"/>
    <n v="11"/>
    <n v="8556.19"/>
    <n v="777.83545454545458"/>
    <s v="March"/>
    <s v="2024"/>
    <s v="Mar 2024"/>
    <s v="Monday"/>
    <x v="1"/>
    <s v="Amelia Thompson"/>
    <s v="Female"/>
    <x v="2"/>
  </r>
  <r>
    <x v="46"/>
    <x v="44"/>
    <d v="2025-01-12T00:00:00"/>
    <d v="2005-05-15T00:00:00"/>
    <n v="21"/>
    <x v="0"/>
    <x v="5"/>
    <x v="8"/>
    <x v="3"/>
    <s v="Oncology"/>
    <s v="Outpatient"/>
    <n v="2347.31"/>
    <n v="157.36000000000001"/>
    <n v="2386.4699999999998"/>
    <n v="3042.92"/>
    <x v="0"/>
    <x v="9"/>
    <x v="5"/>
    <s v="SW53 7YC"/>
    <n v="7"/>
    <n v="9"/>
    <n v="7934.0599999999995"/>
    <n v="881.5622222222222"/>
    <s v="January"/>
    <s v="2025"/>
    <s v="Jan 2025"/>
    <s v="Friday"/>
    <x v="0"/>
    <s v="Leo Smith"/>
    <s v="Male"/>
    <x v="2"/>
  </r>
  <r>
    <x v="47"/>
    <x v="45"/>
    <d v="2024-03-31T00:00:00"/>
    <d v="1964-08-26T00:00:00"/>
    <n v="61"/>
    <x v="0"/>
    <x v="7"/>
    <x v="0"/>
    <x v="3"/>
    <s v="Pediatrics"/>
    <s v="Outpatient"/>
    <n v="3458.87"/>
    <n v="652.74"/>
    <n v="2543.67"/>
    <n v="8662.18"/>
    <x v="0"/>
    <x v="4"/>
    <x v="0"/>
    <s v="SW57 6NU"/>
    <n v="8"/>
    <n v="12"/>
    <n v="15317.46"/>
    <n v="1276.4549999999999"/>
    <s v="March"/>
    <s v="2024"/>
    <s v="Mar 2024"/>
    <s v="Tuesday"/>
    <x v="1"/>
    <s v="Olivia Smith"/>
    <s v="Female"/>
    <x v="2"/>
  </r>
  <r>
    <x v="48"/>
    <x v="46"/>
    <d v="2025-02-18T00:00:00"/>
    <d v="1965-07-09T00:00:00"/>
    <n v="60"/>
    <x v="2"/>
    <x v="8"/>
    <x v="8"/>
    <x v="1"/>
    <s v="Orthopedics"/>
    <s v="Outpatient"/>
    <n v="3195.4"/>
    <n v="1267.96"/>
    <n v="2918.76"/>
    <n v="12641.13"/>
    <x v="3"/>
    <x v="7"/>
    <x v="1"/>
    <s v="M87 8EU"/>
    <n v="1"/>
    <n v="12"/>
    <n v="20023.25"/>
    <n v="1668.6041666666667"/>
    <s v="February"/>
    <s v="2025"/>
    <s v="Feb 2025"/>
    <s v="Thursday"/>
    <x v="1"/>
    <s v="Henry M Thompson"/>
    <s v="Male"/>
    <x v="2"/>
  </r>
  <r>
    <x v="49"/>
    <x v="44"/>
    <d v="2025-01-21T00:00:00"/>
    <d v="1979-01-26T00:00:00"/>
    <n v="47"/>
    <x v="2"/>
    <x v="2"/>
    <x v="1"/>
    <x v="3"/>
    <s v="Respiratory"/>
    <s v="Emergency"/>
    <n v="4990.04"/>
    <n v="345.25"/>
    <n v="2809.47"/>
    <n v="8858.34"/>
    <x v="3"/>
    <x v="4"/>
    <x v="0"/>
    <s v="E2 2IH"/>
    <n v="1"/>
    <n v="18"/>
    <n v="17003.099999999999"/>
    <n v="944.61666666666656"/>
    <s v="January"/>
    <s v="2025"/>
    <s v="Jan 2025"/>
    <s v="Friday"/>
    <x v="2"/>
    <s v="Ava Taylor"/>
    <s v="Female"/>
    <x v="0"/>
  </r>
  <r>
    <x v="50"/>
    <x v="47"/>
    <d v="2024-04-01T00:00:00"/>
    <d v="1951-05-14T00:00:00"/>
    <n v="75"/>
    <x v="3"/>
    <x v="8"/>
    <x v="5"/>
    <x v="3"/>
    <s v="Orthopedics"/>
    <s v="Outpatient"/>
    <n v="4728.6400000000003"/>
    <n v="977.59"/>
    <n v="2232.29"/>
    <n v="9702.14"/>
    <x v="3"/>
    <x v="3"/>
    <x v="5"/>
    <s v="E3 6UD"/>
    <n v="8"/>
    <n v="4"/>
    <n v="17640.66"/>
    <n v="4410.165"/>
    <s v="March"/>
    <s v="2024"/>
    <s v="Mar 2024"/>
    <s v="Thursday"/>
    <x v="1"/>
    <s v="James Thompson"/>
    <s v="Male"/>
    <x v="3"/>
  </r>
  <r>
    <x v="51"/>
    <x v="48"/>
    <d v="2025-03-31T00:00:00"/>
    <d v="1956-11-22T00:00:00"/>
    <n v="69"/>
    <x v="3"/>
    <x v="7"/>
    <x v="4"/>
    <x v="0"/>
    <s v="Neurology"/>
    <s v="Emergency"/>
    <n v="2726.7"/>
    <n v="1290.6300000000001"/>
    <n v="2517.96"/>
    <n v="10111.92"/>
    <x v="0"/>
    <x v="7"/>
    <x v="1"/>
    <s v="B24 6KG"/>
    <n v="1"/>
    <n v="13"/>
    <n v="16647.21"/>
    <n v="1280.5546153846153"/>
    <s v="March"/>
    <s v="2025"/>
    <s v="Mar 2025"/>
    <s v="Tuesday"/>
    <x v="1"/>
    <s v="Olivia Clarke"/>
    <s v="Female"/>
    <x v="2"/>
  </r>
  <r>
    <x v="52"/>
    <x v="49"/>
    <d v="2024-07-05T00:00:00"/>
    <d v="1967-08-20T00:00:00"/>
    <n v="58"/>
    <x v="2"/>
    <x v="7"/>
    <x v="1"/>
    <x v="3"/>
    <s v="Oncology"/>
    <s v="Surgery"/>
    <n v="3855.94"/>
    <n v="1809.95"/>
    <n v="555.86"/>
    <n v="2985.1"/>
    <x v="1"/>
    <x v="5"/>
    <x v="3"/>
    <s v="B50 7FP"/>
    <n v="2"/>
    <n v="10"/>
    <n v="9206.85"/>
    <n v="920.68500000000006"/>
    <s v="June"/>
    <s v="2024"/>
    <s v="Jun 2024"/>
    <s v="Tuesday"/>
    <x v="2"/>
    <s v="Oliver Wood"/>
    <s v="Male"/>
    <x v="2"/>
  </r>
  <r>
    <x v="53"/>
    <x v="50"/>
    <d v="2025-02-15T00:00:00"/>
    <d v="1953-04-27T00:00:00"/>
    <n v="73"/>
    <x v="1"/>
    <x v="8"/>
    <x v="9"/>
    <x v="2"/>
    <s v="Respiratory"/>
    <s v="Inpatient"/>
    <n v="4631.33"/>
    <n v="798.1"/>
    <n v="0"/>
    <n v="0"/>
    <x v="0"/>
    <x v="3"/>
    <x v="5"/>
    <s v="SW29 9JF"/>
    <n v="8"/>
    <n v="18"/>
    <n v="5429.43"/>
    <n v="301.63499999999999"/>
    <s v="January"/>
    <s v="2025"/>
    <s v="Jan 2025"/>
    <s v="Tuesday"/>
    <x v="1"/>
    <s v="Sophia Walker"/>
    <s v="Female"/>
    <x v="0"/>
  </r>
  <r>
    <x v="54"/>
    <x v="51"/>
    <d v="2024-04-22T00:00:00"/>
    <d v="1979-04-14T00:00:00"/>
    <n v="47"/>
    <x v="1"/>
    <x v="3"/>
    <x v="0"/>
    <x v="3"/>
    <s v="Orthopedics"/>
    <s v="Inpatient"/>
    <n v="2461.69"/>
    <n v="380.18"/>
    <n v="1563.22"/>
    <n v="10190.82"/>
    <x v="1"/>
    <x v="0"/>
    <x v="4"/>
    <s v="SW91 7FT"/>
    <n v="2"/>
    <n v="8"/>
    <n v="14595.91"/>
    <n v="1824.48875"/>
    <s v="April"/>
    <s v="2024"/>
    <s v="Apr 2024"/>
    <s v="Sunday"/>
    <x v="2"/>
    <s v="David Jones"/>
    <s v="Male"/>
    <x v="2"/>
  </r>
  <r>
    <x v="55"/>
    <x v="52"/>
    <d v="2025-06-14T00:00:00"/>
    <d v="1981-05-28T00:00:00"/>
    <n v="45"/>
    <x v="0"/>
    <x v="3"/>
    <x v="5"/>
    <x v="0"/>
    <s v="Respiratory"/>
    <s v="Inpatient"/>
    <n v="2448.4699999999998"/>
    <n v="1834.45"/>
    <n v="1271.7"/>
    <n v="7615.61"/>
    <x v="2"/>
    <x v="1"/>
    <x v="0"/>
    <s v="M19 5UN"/>
    <n v="3"/>
    <n v="4"/>
    <n v="13170.23"/>
    <n v="3292.5574999999999"/>
    <s v="June"/>
    <s v="2025"/>
    <s v="Jun 2025"/>
    <s v="Tuesday"/>
    <x v="2"/>
    <s v="Ella Walker"/>
    <s v="Female"/>
    <x v="3"/>
  </r>
  <r>
    <x v="56"/>
    <x v="53"/>
    <d v="2024-04-20T00:00:00"/>
    <d v="1982-01-28T00:00:00"/>
    <n v="44"/>
    <x v="1"/>
    <x v="7"/>
    <x v="2"/>
    <x v="0"/>
    <s v="Cardiology"/>
    <s v="Outpatient"/>
    <n v="3624.23"/>
    <n v="1475.47"/>
    <n v="1038.81"/>
    <n v="8186.52"/>
    <x v="0"/>
    <x v="1"/>
    <x v="7"/>
    <s v="SW88 1BD"/>
    <n v="4"/>
    <n v="15"/>
    <n v="14325.03"/>
    <n v="955.00200000000007"/>
    <s v="April"/>
    <s v="2024"/>
    <s v="Apr 2024"/>
    <s v="Friday"/>
    <x v="2"/>
    <s v="Lucas S Hall"/>
    <s v="Male"/>
    <x v="0"/>
  </r>
  <r>
    <x v="57"/>
    <x v="54"/>
    <d v="2025-11-13T00:00:00"/>
    <d v="2000-05-03T00:00:00"/>
    <n v="26"/>
    <x v="3"/>
    <x v="4"/>
    <x v="0"/>
    <x v="3"/>
    <s v="Respiratory"/>
    <s v="Inpatient"/>
    <n v="1185.82"/>
    <n v="918.7"/>
    <n v="301.63"/>
    <n v="12239.57"/>
    <x v="3"/>
    <x v="6"/>
    <x v="1"/>
    <s v="E28 8CE"/>
    <n v="5"/>
    <n v="12"/>
    <n v="14645.72"/>
    <n v="1220.4766666666667"/>
    <s v="November"/>
    <s v="2025"/>
    <s v="Nov 2025"/>
    <s v="Saturday"/>
    <x v="0"/>
    <s v="Isabella Evans"/>
    <s v="Female"/>
    <x v="2"/>
  </r>
  <r>
    <x v="58"/>
    <x v="51"/>
    <d v="2024-04-18T00:00:00"/>
    <d v="1959-07-03T00:00:00"/>
    <n v="66"/>
    <x v="1"/>
    <x v="11"/>
    <x v="2"/>
    <x v="0"/>
    <s v="Orthopedics"/>
    <s v="Inpatient"/>
    <n v="5002"/>
    <n v="787.16"/>
    <n v="659.16"/>
    <n v="3545.45"/>
    <x v="0"/>
    <x v="1"/>
    <x v="8"/>
    <s v="N81 3NT"/>
    <n v="3"/>
    <n v="4"/>
    <n v="9993.77"/>
    <n v="2498.4425000000001"/>
    <s v="April"/>
    <s v="2024"/>
    <s v="Apr 2024"/>
    <s v="Sunday"/>
    <x v="1"/>
    <s v="James Thomas"/>
    <s v="Male"/>
    <x v="3"/>
  </r>
  <r>
    <x v="59"/>
    <x v="55"/>
    <d v="2024-04-04T00:00:00"/>
    <d v="1960-05-21T00:00:00"/>
    <n v="66"/>
    <x v="2"/>
    <x v="8"/>
    <x v="9"/>
    <x v="0"/>
    <s v="Neurology"/>
    <s v="Inpatient"/>
    <n v="1219.68"/>
    <n v="1766.42"/>
    <n v="2880.68"/>
    <n v="7349.92"/>
    <x v="1"/>
    <x v="3"/>
    <x v="5"/>
    <s v="N64 7DH"/>
    <n v="5"/>
    <n v="8"/>
    <n v="13216.7"/>
    <n v="1652.0875000000001"/>
    <s v="March"/>
    <s v="2024"/>
    <s v="Mar 2024"/>
    <s v="Wednesday"/>
    <x v="1"/>
    <s v="Emily Clarke"/>
    <s v="Female"/>
    <x v="2"/>
  </r>
  <r>
    <x v="60"/>
    <x v="56"/>
    <d v="2024-03-16T00:00:00"/>
    <d v="1993-08-25T00:00:00"/>
    <n v="32"/>
    <x v="2"/>
    <x v="5"/>
    <x v="1"/>
    <x v="3"/>
    <s v="Pediatrics"/>
    <s v="Surgery"/>
    <n v="1861.43"/>
    <n v="364.82"/>
    <n v="936.98"/>
    <n v="2305.3000000000002"/>
    <x v="1"/>
    <x v="1"/>
    <x v="0"/>
    <s v="E82 9RT"/>
    <n v="1"/>
    <n v="1"/>
    <n v="5468.5300000000007"/>
    <n v="5468.5300000000007"/>
    <s v="March"/>
    <s v="2024"/>
    <s v="Mar 2024"/>
    <s v="Friday"/>
    <x v="0"/>
    <s v="Michael Smith"/>
    <s v="Male"/>
    <x v="1"/>
  </r>
  <r>
    <x v="61"/>
    <x v="57"/>
    <d v="2024-09-03T00:00:00"/>
    <d v="1964-12-14T00:00:00"/>
    <n v="61"/>
    <x v="1"/>
    <x v="1"/>
    <x v="7"/>
    <x v="1"/>
    <s v="Pediatrics"/>
    <s v="Surgery"/>
    <n v="2374.29"/>
    <n v="299.57"/>
    <n v="570.34"/>
    <n v="3328.78"/>
    <x v="4"/>
    <x v="8"/>
    <x v="5"/>
    <s v="N90 1FP"/>
    <n v="10"/>
    <n v="2"/>
    <n v="6572.9800000000005"/>
    <n v="3286.4900000000002"/>
    <s v="September"/>
    <s v="2024"/>
    <s v="Sep 2024"/>
    <s v="Sunday"/>
    <x v="1"/>
    <s v="Chloe E Wilson"/>
    <s v="Female"/>
    <x v="1"/>
  </r>
  <r>
    <x v="62"/>
    <x v="58"/>
    <d v="2025-06-23T00:00:00"/>
    <d v="1996-07-09T00:00:00"/>
    <n v="29"/>
    <x v="1"/>
    <x v="8"/>
    <x v="0"/>
    <x v="2"/>
    <s v="Cardiology"/>
    <s v="Outpatient"/>
    <n v="3329.02"/>
    <n v="432.56"/>
    <n v="2127.52"/>
    <n v="1724.76"/>
    <x v="4"/>
    <x v="6"/>
    <x v="1"/>
    <s v="B87 2HX"/>
    <n v="6"/>
    <n v="3"/>
    <n v="7613.8600000000006"/>
    <n v="2537.9533333333334"/>
    <s v="June"/>
    <s v="2025"/>
    <s v="Jun 2025"/>
    <s v="Friday"/>
    <x v="0"/>
    <s v="Ethan Z White"/>
    <s v="Male"/>
    <x v="1"/>
  </r>
  <r>
    <x v="63"/>
    <x v="59"/>
    <d v="2025-03-13T00:00:00"/>
    <d v="1959-06-08T00:00:00"/>
    <n v="67"/>
    <x v="2"/>
    <x v="1"/>
    <x v="0"/>
    <x v="0"/>
    <s v="Cardiology"/>
    <s v="Outpatient"/>
    <n v="2662.96"/>
    <n v="539.20000000000005"/>
    <n v="2173.33"/>
    <n v="5840.81"/>
    <x v="2"/>
    <x v="4"/>
    <x v="7"/>
    <s v="SW40 6CR"/>
    <n v="1"/>
    <n v="11"/>
    <n v="11216.3"/>
    <n v="1019.6636363636363"/>
    <s v="March"/>
    <s v="2025"/>
    <s v="Mar 2025"/>
    <s v="Sunday"/>
    <x v="1"/>
    <s v="Amelia Hall"/>
    <s v="Female"/>
    <x v="2"/>
  </r>
  <r>
    <x v="64"/>
    <x v="60"/>
    <d v="2024-09-13T00:00:00"/>
    <d v="1991-09-25T00:00:00"/>
    <n v="34"/>
    <x v="0"/>
    <x v="1"/>
    <x v="4"/>
    <x v="3"/>
    <s v="Pediatrics"/>
    <s v="Inpatient"/>
    <n v="4398.3100000000004"/>
    <n v="1872.62"/>
    <n v="2737.96"/>
    <n v="5189.29"/>
    <x v="1"/>
    <x v="1"/>
    <x v="9"/>
    <s v="B31 7PB"/>
    <n v="0"/>
    <n v="5"/>
    <n v="14198.18"/>
    <n v="2839.636"/>
    <s v="September"/>
    <s v="2024"/>
    <s v="Sep 2024"/>
    <s v="Sunday"/>
    <x v="0"/>
    <s v="Benjamin Taylor"/>
    <s v="Male"/>
    <x v="3"/>
  </r>
  <r>
    <x v="65"/>
    <x v="61"/>
    <d v="2025-02-10T00:00:00"/>
    <d v="1977-03-21T00:00:00"/>
    <n v="49"/>
    <x v="0"/>
    <x v="2"/>
    <x v="1"/>
    <x v="2"/>
    <s v="Oncology"/>
    <s v="Outpatient"/>
    <n v="3442.07"/>
    <n v="801.23"/>
    <n v="1048.17"/>
    <n v="8331.06"/>
    <x v="3"/>
    <x v="1"/>
    <x v="7"/>
    <s v="SW30 2GE"/>
    <n v="6"/>
    <n v="3"/>
    <n v="13622.529999999999"/>
    <n v="4540.8433333333332"/>
    <s v="February"/>
    <s v="2025"/>
    <s v="Feb 2025"/>
    <s v="Friday"/>
    <x v="2"/>
    <s v="Isabella Green"/>
    <s v="Female"/>
    <x v="1"/>
  </r>
  <r>
    <x v="66"/>
    <x v="62"/>
    <d v="2024-05-05T00:00:00"/>
    <d v="1964-08-09T00:00:00"/>
    <n v="61"/>
    <x v="2"/>
    <x v="6"/>
    <x v="5"/>
    <x v="0"/>
    <s v="Orthopedics"/>
    <s v="Emergency"/>
    <n v="1257.1500000000001"/>
    <n v="187.52"/>
    <n v="1013.59"/>
    <n v="2972.9"/>
    <x v="2"/>
    <x v="1"/>
    <x v="5"/>
    <s v="SW34 3AM"/>
    <n v="6"/>
    <n v="3"/>
    <n v="5431.16"/>
    <n v="1810.3866666666665"/>
    <s v="May"/>
    <s v="2024"/>
    <s v="May 2024"/>
    <s v="Thursday"/>
    <x v="1"/>
    <s v="Benjamin Wood"/>
    <s v="Male"/>
    <x v="1"/>
  </r>
  <r>
    <x v="67"/>
    <x v="1"/>
    <d v="2025-12-06T00:00:00"/>
    <d v="1957-07-12T00:00:00"/>
    <n v="68"/>
    <x v="0"/>
    <x v="1"/>
    <x v="1"/>
    <x v="0"/>
    <s v="Respiratory"/>
    <s v="Emergency"/>
    <n v="3020.47"/>
    <n v="416.75"/>
    <n v="238.72"/>
    <n v="12119.66"/>
    <x v="2"/>
    <x v="6"/>
    <x v="5"/>
    <s v="M7 3SN"/>
    <n v="4"/>
    <n v="3"/>
    <n v="15795.599999999999"/>
    <n v="5265.2"/>
    <s v="December"/>
    <s v="2025"/>
    <s v="Dec 2025"/>
    <s v="Wednesday"/>
    <x v="1"/>
    <s v="Emily Walker"/>
    <s v="Female"/>
    <x v="1"/>
  </r>
  <r>
    <x v="68"/>
    <x v="63"/>
    <d v="2025-10-01T00:00:00"/>
    <d v="1947-10-20T00:00:00"/>
    <n v="78"/>
    <x v="1"/>
    <x v="0"/>
    <x v="0"/>
    <x v="0"/>
    <s v="General Medicine"/>
    <s v="Surgery"/>
    <n v="344.89"/>
    <n v="469.47"/>
    <n v="307.77"/>
    <n v="7133.44"/>
    <x v="0"/>
    <x v="2"/>
    <x v="2"/>
    <s v="E49 6PR"/>
    <n v="7"/>
    <n v="8"/>
    <n v="8255.57"/>
    <n v="1031.94625"/>
    <s v="September"/>
    <s v="2025"/>
    <s v="Sep 2025"/>
    <s v="Tuesday"/>
    <x v="1"/>
    <s v="Samuel Brown"/>
    <s v="Male"/>
    <x v="2"/>
  </r>
  <r>
    <x v="69"/>
    <x v="64"/>
    <d v="2025-01-20T00:00:00"/>
    <d v="1996-08-17T00:00:00"/>
    <n v="29"/>
    <x v="2"/>
    <x v="2"/>
    <x v="7"/>
    <x v="1"/>
    <s v="Cardiology"/>
    <s v="Outpatient"/>
    <n v="4186.21"/>
    <n v="403.52"/>
    <n v="1194.3699999999999"/>
    <n v="10673.37"/>
    <x v="3"/>
    <x v="4"/>
    <x v="3"/>
    <s v="N31 6ZX"/>
    <n v="1"/>
    <n v="19"/>
    <n v="16457.47"/>
    <n v="866.18263157894739"/>
    <s v="January"/>
    <s v="2025"/>
    <s v="Jan 2025"/>
    <s v="Wednesday"/>
    <x v="0"/>
    <s v="Amelia Wilson"/>
    <s v="Female"/>
    <x v="0"/>
  </r>
  <r>
    <x v="70"/>
    <x v="65"/>
    <d v="2024-02-07T00:00:00"/>
    <d v="1959-10-08T00:00:00"/>
    <n v="66"/>
    <x v="3"/>
    <x v="9"/>
    <x v="6"/>
    <x v="1"/>
    <s v="Emergency"/>
    <s v="Inpatient"/>
    <n v="1314.59"/>
    <n v="1566.43"/>
    <n v="618.08000000000004"/>
    <n v="6315.77"/>
    <x v="3"/>
    <x v="2"/>
    <x v="4"/>
    <s v="N15 9LC"/>
    <n v="3"/>
    <n v="17"/>
    <n v="9814.8700000000008"/>
    <n v="577.34529411764709"/>
    <s v="January"/>
    <s v="2024"/>
    <s v="Jan 2024"/>
    <s v="Sunday"/>
    <x v="1"/>
    <s v="Ethan Y Walker"/>
    <s v="Male"/>
    <x v="0"/>
  </r>
  <r>
    <x v="71"/>
    <x v="66"/>
    <d v="2025-12-31T00:00:00"/>
    <d v="1956-12-18T00:00:00"/>
    <n v="69"/>
    <x v="2"/>
    <x v="7"/>
    <x v="2"/>
    <x v="3"/>
    <s v="Neurology"/>
    <s v="Outpatient"/>
    <n v="2083.6799999999998"/>
    <n v="682.39"/>
    <n v="1629.68"/>
    <n v="6670.34"/>
    <x v="3"/>
    <x v="5"/>
    <x v="5"/>
    <s v="N78 6ZT"/>
    <n v="5"/>
    <n v="20"/>
    <n v="11066.09"/>
    <n v="553.30449999999996"/>
    <s v="December"/>
    <s v="2025"/>
    <s v="Dec 2025"/>
    <s v="Thursday"/>
    <x v="1"/>
    <s v="Amelia D Thompson"/>
    <s v="Female"/>
    <x v="0"/>
  </r>
  <r>
    <x v="72"/>
    <x v="67"/>
    <d v="2024-08-10T00:00:00"/>
    <d v="1973-01-09T00:00:00"/>
    <n v="53"/>
    <x v="2"/>
    <x v="2"/>
    <x v="8"/>
    <x v="3"/>
    <s v="Oncology"/>
    <s v="Inpatient"/>
    <n v="2517.0100000000002"/>
    <n v="601.58000000000004"/>
    <n v="285.58999999999997"/>
    <n v="14439.76"/>
    <x v="2"/>
    <x v="5"/>
    <x v="2"/>
    <s v="M13 8ZS"/>
    <n v="7"/>
    <n v="8"/>
    <n v="17843.940000000002"/>
    <n v="2230.4925000000003"/>
    <s v="August"/>
    <s v="2024"/>
    <s v="Aug 2024"/>
    <s v="Friday"/>
    <x v="2"/>
    <s v="Daniel Hall"/>
    <s v="Male"/>
    <x v="2"/>
  </r>
  <r>
    <x v="73"/>
    <x v="40"/>
    <d v="2024-04-04T00:00:00"/>
    <d v="1955-07-06T00:00:00"/>
    <n v="70"/>
    <x v="0"/>
    <x v="3"/>
    <x v="8"/>
    <x v="1"/>
    <s v="Pediatrics"/>
    <s v="Outpatient"/>
    <n v="4837.97"/>
    <n v="1032.68"/>
    <n v="2938.1"/>
    <n v="2120.64"/>
    <x v="0"/>
    <x v="7"/>
    <x v="9"/>
    <s v="M90 9XX"/>
    <n v="3"/>
    <n v="18"/>
    <n v="10929.39"/>
    <n v="607.18833333333328"/>
    <s v="March"/>
    <s v="2024"/>
    <s v="Mar 2024"/>
    <s v="Sunday"/>
    <x v="1"/>
    <s v="Sophia Wood"/>
    <s v="Female"/>
    <x v="0"/>
  </r>
  <r>
    <x v="74"/>
    <x v="68"/>
    <d v="2025-11-28T00:00:00"/>
    <d v="1972-02-10T00:00:00"/>
    <n v="54"/>
    <x v="2"/>
    <x v="11"/>
    <x v="6"/>
    <x v="1"/>
    <s v="Emergency"/>
    <s v="Outpatient"/>
    <n v="3748.51"/>
    <n v="524.85"/>
    <n v="2693.18"/>
    <n v="7847.62"/>
    <x v="3"/>
    <x v="4"/>
    <x v="6"/>
    <s v="E83 9MF"/>
    <n v="2"/>
    <n v="20"/>
    <n v="14814.16"/>
    <n v="740.70799999999997"/>
    <s v="November"/>
    <s v="2025"/>
    <s v="Nov 2025"/>
    <s v="Saturday"/>
    <x v="2"/>
    <s v="John Walker"/>
    <s v="Male"/>
    <x v="0"/>
  </r>
  <r>
    <x v="75"/>
    <x v="69"/>
    <d v="2024-04-12T00:00:00"/>
    <d v="1993-12-22T00:00:00"/>
    <n v="32"/>
    <x v="2"/>
    <x v="7"/>
    <x v="2"/>
    <x v="2"/>
    <s v="Oncology"/>
    <s v="Emergency"/>
    <n v="1566.22"/>
    <n v="1684.64"/>
    <n v="2323.1"/>
    <n v="4281.0600000000004"/>
    <x v="3"/>
    <x v="1"/>
    <x v="9"/>
    <s v="M39 2MW"/>
    <n v="7"/>
    <n v="3"/>
    <n v="9855.02"/>
    <n v="3285.0066666666667"/>
    <s v="April"/>
    <s v="2024"/>
    <s v="Apr 2024"/>
    <s v="Tuesday"/>
    <x v="0"/>
    <s v="Emily White"/>
    <s v="Female"/>
    <x v="1"/>
  </r>
  <r>
    <x v="76"/>
    <x v="70"/>
    <d v="2024-07-30T00:00:00"/>
    <d v="1950-11-14T00:00:00"/>
    <n v="75"/>
    <x v="3"/>
    <x v="4"/>
    <x v="1"/>
    <x v="3"/>
    <s v="Oncology"/>
    <s v="Inpatient"/>
    <n v="1005.57"/>
    <n v="1822.78"/>
    <n v="444.81"/>
    <n v="2792.68"/>
    <x v="2"/>
    <x v="2"/>
    <x v="4"/>
    <s v="B67 7DN"/>
    <n v="7"/>
    <n v="5"/>
    <n v="6065.84"/>
    <n v="1213.1680000000001"/>
    <s v="July"/>
    <s v="2024"/>
    <s v="Jul 2024"/>
    <s v="Thursday"/>
    <x v="1"/>
    <s v="Samuel U Wilson"/>
    <s v="Male"/>
    <x v="3"/>
  </r>
  <r>
    <x v="77"/>
    <x v="71"/>
    <d v="2025-05-31T00:00:00"/>
    <d v="1961-07-21T00:00:00"/>
    <n v="64"/>
    <x v="1"/>
    <x v="10"/>
    <x v="1"/>
    <x v="1"/>
    <s v="Pediatrics"/>
    <s v="Emergency"/>
    <n v="1001.25"/>
    <n v="492.72"/>
    <n v="700.82"/>
    <n v="15257.18"/>
    <x v="4"/>
    <x v="7"/>
    <x v="7"/>
    <s v="SW48 1KZ"/>
    <n v="7"/>
    <n v="19"/>
    <n v="17451.97"/>
    <n v="918.52473684210531"/>
    <s v="May"/>
    <s v="2025"/>
    <s v="May 2025"/>
    <s v="Monday"/>
    <x v="1"/>
    <s v="Ava Martin"/>
    <s v="Female"/>
    <x v="0"/>
  </r>
  <r>
    <x v="78"/>
    <x v="38"/>
    <d v="2025-09-14T00:00:00"/>
    <d v="1962-12-14T00:00:00"/>
    <n v="63"/>
    <x v="0"/>
    <x v="4"/>
    <x v="7"/>
    <x v="3"/>
    <s v="Orthopedics"/>
    <s v="Inpatient"/>
    <n v="605.79999999999995"/>
    <n v="1472.96"/>
    <n v="2109.9499999999998"/>
    <n v="4620.07"/>
    <x v="0"/>
    <x v="0"/>
    <x v="2"/>
    <s v="M18 9SA"/>
    <n v="6"/>
    <n v="3"/>
    <n v="8808.7799999999988"/>
    <n v="2936.2599999999998"/>
    <s v="September"/>
    <s v="2025"/>
    <s v="Sep 2025"/>
    <s v="Thursday"/>
    <x v="1"/>
    <s v="David Y Evans"/>
    <s v="Male"/>
    <x v="1"/>
  </r>
  <r>
    <x v="79"/>
    <x v="72"/>
    <d v="2024-05-07T00:00:00"/>
    <d v="1977-07-21T00:00:00"/>
    <n v="48"/>
    <x v="3"/>
    <x v="8"/>
    <x v="7"/>
    <x v="3"/>
    <s v="Orthopedics"/>
    <s v="Outpatient"/>
    <n v="4306.01"/>
    <n v="1666.36"/>
    <n v="2051.69"/>
    <n v="5559.59"/>
    <x v="3"/>
    <x v="0"/>
    <x v="5"/>
    <s v="M7 3SY"/>
    <n v="6"/>
    <n v="1"/>
    <n v="13583.65"/>
    <n v="13583.65"/>
    <s v="May"/>
    <s v="2024"/>
    <s v="May 2024"/>
    <s v="Monday"/>
    <x v="2"/>
    <s v="Sophia Brown"/>
    <s v="Female"/>
    <x v="1"/>
  </r>
  <r>
    <x v="80"/>
    <x v="73"/>
    <d v="2024-07-16T00:00:00"/>
    <d v="2003-03-21T00:00:00"/>
    <n v="23"/>
    <x v="0"/>
    <x v="3"/>
    <x v="4"/>
    <x v="2"/>
    <s v="Cardiology"/>
    <s v="Surgery"/>
    <n v="2444.85"/>
    <n v="265.08999999999997"/>
    <n v="3065.7"/>
    <n v="10345.34"/>
    <x v="1"/>
    <x v="3"/>
    <x v="7"/>
    <s v="SW87 9TM"/>
    <n v="5"/>
    <n v="20"/>
    <n v="16120.98"/>
    <n v="806.04899999999998"/>
    <s v="June"/>
    <s v="2024"/>
    <s v="Jun 2024"/>
    <s v="Wednesday"/>
    <x v="0"/>
    <s v="Benjamin Thompson"/>
    <s v="Male"/>
    <x v="0"/>
  </r>
  <r>
    <x v="81"/>
    <x v="74"/>
    <d v="2024-10-19T00:00:00"/>
    <d v="1985-06-28T00:00:00"/>
    <n v="40"/>
    <x v="3"/>
    <x v="0"/>
    <x v="0"/>
    <x v="2"/>
    <s v="Orthopedics"/>
    <s v="Outpatient"/>
    <n v="4087.65"/>
    <n v="1412.92"/>
    <n v="362.54"/>
    <n v="12278.64"/>
    <x v="3"/>
    <x v="4"/>
    <x v="7"/>
    <s v="SW34 7MM"/>
    <n v="10"/>
    <n v="9"/>
    <n v="18141.75"/>
    <n v="2015.75"/>
    <s v="October"/>
    <s v="2024"/>
    <s v="Oct 2024"/>
    <s v="Thursday"/>
    <x v="2"/>
    <s v="Mia Brown"/>
    <s v="Female"/>
    <x v="2"/>
  </r>
  <r>
    <x v="82"/>
    <x v="75"/>
    <d v="2024-07-14T00:00:00"/>
    <d v="1998-11-18T00:00:00"/>
    <n v="27"/>
    <x v="2"/>
    <x v="2"/>
    <x v="8"/>
    <x v="0"/>
    <s v="Cardiology"/>
    <s v="Inpatient"/>
    <n v="4210.9799999999996"/>
    <n v="1433.08"/>
    <n v="2923.96"/>
    <n v="9125.43"/>
    <x v="3"/>
    <x v="2"/>
    <x v="8"/>
    <s v="SW75 5OD"/>
    <n v="2"/>
    <n v="10"/>
    <n v="17693.45"/>
    <n v="1769.345"/>
    <s v="July"/>
    <s v="2024"/>
    <s v="Jul 2024"/>
    <s v="Thursday"/>
    <x v="0"/>
    <s v="Michael Evans"/>
    <s v="Male"/>
    <x v="2"/>
  </r>
  <r>
    <x v="83"/>
    <x v="76"/>
    <d v="2024-08-04T00:00:00"/>
    <d v="1948-03-05T00:00:00"/>
    <n v="78"/>
    <x v="1"/>
    <x v="2"/>
    <x v="3"/>
    <x v="3"/>
    <s v="Oncology"/>
    <s v="Inpatient"/>
    <n v="3657.34"/>
    <n v="2019.87"/>
    <n v="667.64"/>
    <n v="3234.48"/>
    <x v="0"/>
    <x v="5"/>
    <x v="5"/>
    <s v="E58 5GY"/>
    <n v="3"/>
    <n v="11"/>
    <n v="9579.33"/>
    <n v="870.84818181818184"/>
    <s v="July"/>
    <s v="2024"/>
    <s v="Jul 2024"/>
    <s v="Wednesday"/>
    <x v="1"/>
    <s v="Freya Robinson"/>
    <s v="Female"/>
    <x v="2"/>
  </r>
  <r>
    <x v="84"/>
    <x v="77"/>
    <d v="2025-01-18T00:00:00"/>
    <d v="1979-04-24T00:00:00"/>
    <n v="47"/>
    <x v="3"/>
    <x v="5"/>
    <x v="2"/>
    <x v="1"/>
    <s v="Pediatrics"/>
    <s v="Surgery"/>
    <n v="1230.27"/>
    <n v="1890.51"/>
    <n v="2821.41"/>
    <n v="8492.9699999999993"/>
    <x v="2"/>
    <x v="5"/>
    <x v="2"/>
    <s v="B40 3CB"/>
    <n v="4"/>
    <n v="1"/>
    <n v="14435.16"/>
    <n v="14435.16"/>
    <s v="January"/>
    <s v="2025"/>
    <s v="Jan 2025"/>
    <s v="Friday"/>
    <x v="2"/>
    <s v="James Smith"/>
    <s v="Male"/>
    <x v="1"/>
  </r>
  <r>
    <x v="85"/>
    <x v="78"/>
    <d v="2024-08-29T00:00:00"/>
    <d v="2005-07-01T00:00:00"/>
    <n v="20"/>
    <x v="3"/>
    <x v="7"/>
    <x v="5"/>
    <x v="2"/>
    <s v="Emergency"/>
    <s v="Emergency"/>
    <n v="4056.19"/>
    <n v="474.76"/>
    <n v="590.66"/>
    <n v="3071.28"/>
    <x v="3"/>
    <x v="5"/>
    <x v="5"/>
    <s v="E84 1BW"/>
    <n v="1"/>
    <n v="8"/>
    <n v="8192.89"/>
    <n v="1024.1112499999999"/>
    <s v="August"/>
    <s v="2024"/>
    <s v="Aug 2024"/>
    <s v="Wednesday"/>
    <x v="0"/>
    <s v="Olivia Taylor"/>
    <s v="Female"/>
    <x v="2"/>
  </r>
  <r>
    <x v="86"/>
    <x v="79"/>
    <d v="2025-11-26T00:00:00"/>
    <d v="1971-11-04T00:00:00"/>
    <n v="54"/>
    <x v="1"/>
    <x v="7"/>
    <x v="0"/>
    <x v="0"/>
    <s v="Pediatrics"/>
    <s v="Inpatient"/>
    <n v="1869.82"/>
    <n v="1020.53"/>
    <n v="530.16"/>
    <n v="9976.35"/>
    <x v="0"/>
    <x v="8"/>
    <x v="9"/>
    <s v="SW67 4LW"/>
    <n v="10"/>
    <n v="17"/>
    <n v="13396.86"/>
    <n v="788.05058823529419"/>
    <s v="November"/>
    <s v="2025"/>
    <s v="Nov 2025"/>
    <s v="Sunday"/>
    <x v="2"/>
    <s v="Michael Clarke"/>
    <s v="Male"/>
    <x v="0"/>
  </r>
  <r>
    <x v="87"/>
    <x v="80"/>
    <d v="2025-08-26T00:00:00"/>
    <d v="1987-02-04T00:00:00"/>
    <n v="39"/>
    <x v="3"/>
    <x v="1"/>
    <x v="5"/>
    <x v="1"/>
    <s v="Emergency"/>
    <s v="Inpatient"/>
    <n v="475.97"/>
    <n v="336.17"/>
    <n v="554.48"/>
    <n v="15204.2"/>
    <x v="2"/>
    <x v="1"/>
    <x v="3"/>
    <s v="E38 6ZV"/>
    <n v="4"/>
    <n v="16"/>
    <n v="16570.82"/>
    <n v="1035.67625"/>
    <s v="August"/>
    <s v="2025"/>
    <s v="Aug 2025"/>
    <s v="Sunday"/>
    <x v="2"/>
    <s v="Chloe Taylor"/>
    <s v="Female"/>
    <x v="0"/>
  </r>
  <r>
    <x v="88"/>
    <x v="81"/>
    <d v="2024-10-04T00:00:00"/>
    <d v="1967-08-20T00:00:00"/>
    <n v="58"/>
    <x v="2"/>
    <x v="0"/>
    <x v="2"/>
    <x v="0"/>
    <s v="Respiratory"/>
    <s v="Emergency"/>
    <n v="3098.14"/>
    <n v="1820.22"/>
    <n v="1785.23"/>
    <n v="4080.32"/>
    <x v="0"/>
    <x v="2"/>
    <x v="3"/>
    <s v="E17 1FD"/>
    <n v="5"/>
    <n v="3"/>
    <n v="10783.91"/>
    <n v="3594.6366666666668"/>
    <s v="October"/>
    <s v="2024"/>
    <s v="Oct 2024"/>
    <s v="Tuesday"/>
    <x v="2"/>
    <s v="Henry Thomas"/>
    <s v="Male"/>
    <x v="1"/>
  </r>
  <r>
    <x v="89"/>
    <x v="82"/>
    <d v="2025-03-12T00:00:00"/>
    <d v="2003-08-04T00:00:00"/>
    <n v="22"/>
    <x v="0"/>
    <x v="6"/>
    <x v="4"/>
    <x v="3"/>
    <s v="Respiratory"/>
    <s v="Emergency"/>
    <n v="4762.21"/>
    <n v="1277.73"/>
    <n v="170.46"/>
    <n v="3774.03"/>
    <x v="1"/>
    <x v="4"/>
    <x v="2"/>
    <s v="B13 7VX"/>
    <n v="9"/>
    <n v="15"/>
    <n v="9984.43"/>
    <n v="665.62866666666673"/>
    <s v="February"/>
    <s v="2025"/>
    <s v="Feb 2025"/>
    <s v="Tuesday"/>
    <x v="0"/>
    <s v="Sophia Clarke"/>
    <s v="Female"/>
    <x v="0"/>
  </r>
  <r>
    <x v="90"/>
    <x v="83"/>
    <d v="2024-06-21T00:00:00"/>
    <d v="1999-08-28T00:00:00"/>
    <n v="26"/>
    <x v="2"/>
    <x v="11"/>
    <x v="6"/>
    <x v="2"/>
    <s v="Respiratory"/>
    <s v="Inpatient"/>
    <n v="4718.91"/>
    <n v="1715.54"/>
    <n v="306.69"/>
    <n v="7521.34"/>
    <x v="1"/>
    <x v="6"/>
    <x v="4"/>
    <s v="M12 8OK"/>
    <n v="9"/>
    <n v="3"/>
    <n v="14262.48"/>
    <n v="4754.16"/>
    <s v="June"/>
    <s v="2024"/>
    <s v="Jun 2024"/>
    <s v="Tuesday"/>
    <x v="0"/>
    <s v="Samuel White"/>
    <s v="Male"/>
    <x v="1"/>
  </r>
  <r>
    <x v="91"/>
    <x v="84"/>
    <d v="2024-12-27T00:00:00"/>
    <d v="1986-11-15T00:00:00"/>
    <n v="39"/>
    <x v="3"/>
    <x v="1"/>
    <x v="4"/>
    <x v="1"/>
    <s v="General Medicine"/>
    <s v="Inpatient"/>
    <n v="3462.7"/>
    <n v="1280.8"/>
    <n v="2420.7399999999998"/>
    <n v="3681.42"/>
    <x v="1"/>
    <x v="1"/>
    <x v="9"/>
    <s v="E44 6UZ"/>
    <n v="10"/>
    <n v="12"/>
    <n v="10845.66"/>
    <n v="903.80499999999995"/>
    <s v="December"/>
    <s v="2024"/>
    <s v="Dec 2024"/>
    <s v="Sunday"/>
    <x v="2"/>
    <s v="Ava Hall"/>
    <s v="Female"/>
    <x v="2"/>
  </r>
  <r>
    <x v="92"/>
    <x v="85"/>
    <d v="2024-07-25T00:00:00"/>
    <d v="1958-08-27T00:00:00"/>
    <n v="67"/>
    <x v="3"/>
    <x v="6"/>
    <x v="8"/>
    <x v="3"/>
    <s v="Oncology"/>
    <s v="Emergency"/>
    <n v="2786.41"/>
    <n v="827.93"/>
    <n v="1940.74"/>
    <n v="11872.55"/>
    <x v="2"/>
    <x v="1"/>
    <x v="0"/>
    <s v="B62 9YF"/>
    <n v="10"/>
    <n v="11"/>
    <n v="17427.629999999997"/>
    <n v="1584.3299999999997"/>
    <s v="July"/>
    <s v="2024"/>
    <s v="Jul 2024"/>
    <s v="Sunday"/>
    <x v="1"/>
    <s v="James Martin"/>
    <s v="Male"/>
    <x v="2"/>
  </r>
  <r>
    <x v="93"/>
    <x v="86"/>
    <d v="2025-04-13T00:00:00"/>
    <d v="1970-06-10T00:00:00"/>
    <n v="56"/>
    <x v="1"/>
    <x v="3"/>
    <x v="5"/>
    <x v="3"/>
    <s v="General Medicine"/>
    <s v="Surgery"/>
    <n v="4868.2700000000004"/>
    <n v="1494.87"/>
    <n v="2977.78"/>
    <n v="10192.370000000001"/>
    <x v="1"/>
    <x v="1"/>
    <x v="4"/>
    <s v="SW88 6VE"/>
    <n v="6"/>
    <n v="5"/>
    <n v="19533.29"/>
    <n v="3906.6580000000004"/>
    <s v="April"/>
    <s v="2025"/>
    <s v="Apr 2025"/>
    <s v="Tuesday"/>
    <x v="2"/>
    <s v="Ella Robinson"/>
    <s v="Female"/>
    <x v="3"/>
  </r>
  <r>
    <x v="94"/>
    <x v="87"/>
    <d v="2024-04-20T00:00:00"/>
    <d v="1996-01-17T00:00:00"/>
    <n v="30"/>
    <x v="3"/>
    <x v="4"/>
    <x v="3"/>
    <x v="0"/>
    <s v="Neurology"/>
    <s v="Outpatient"/>
    <n v="3308.76"/>
    <n v="1665.84"/>
    <n v="1218.02"/>
    <n v="13310.12"/>
    <x v="3"/>
    <x v="2"/>
    <x v="6"/>
    <s v="N97 9BL"/>
    <n v="3"/>
    <n v="1"/>
    <n v="19502.740000000002"/>
    <n v="19502.740000000002"/>
    <s v="April"/>
    <s v="2024"/>
    <s v="Apr 2024"/>
    <s v="Friday"/>
    <x v="0"/>
    <s v="Oliver Evans"/>
    <s v="Male"/>
    <x v="1"/>
  </r>
  <r>
    <x v="95"/>
    <x v="59"/>
    <d v="2025-03-13T00:00:00"/>
    <d v="2004-07-13T00:00:00"/>
    <n v="21"/>
    <x v="0"/>
    <x v="7"/>
    <x v="9"/>
    <x v="3"/>
    <s v="Neurology"/>
    <s v="Outpatient"/>
    <n v="3194.06"/>
    <n v="618.83000000000004"/>
    <n v="943.06"/>
    <n v="13056.85"/>
    <x v="1"/>
    <x v="8"/>
    <x v="2"/>
    <s v="B26 4JO"/>
    <n v="8"/>
    <n v="11"/>
    <n v="17812.8"/>
    <n v="1619.3454545454545"/>
    <s v="March"/>
    <s v="2025"/>
    <s v="Mar 2025"/>
    <s v="Sunday"/>
    <x v="0"/>
    <s v="Mia Wood"/>
    <s v="Female"/>
    <x v="2"/>
  </r>
  <r>
    <x v="96"/>
    <x v="88"/>
    <d v="2024-12-19T00:00:00"/>
    <d v="1982-05-01T00:00:00"/>
    <n v="44"/>
    <x v="0"/>
    <x v="1"/>
    <x v="5"/>
    <x v="3"/>
    <s v="Emergency"/>
    <s v="Emergency"/>
    <n v="1913.33"/>
    <n v="716.04"/>
    <n v="2499.09"/>
    <n v="2355.4"/>
    <x v="1"/>
    <x v="3"/>
    <x v="8"/>
    <s v="B29 3QC"/>
    <n v="10"/>
    <n v="15"/>
    <n v="7483.8600000000006"/>
    <n v="498.92400000000004"/>
    <s v="December"/>
    <s v="2024"/>
    <s v="Dec 2024"/>
    <s v="Wednesday"/>
    <x v="2"/>
    <s v="Michael H Jones"/>
    <s v="Male"/>
    <x v="0"/>
  </r>
  <r>
    <x v="97"/>
    <x v="89"/>
    <d v="2024-05-09T00:00:00"/>
    <d v="1980-11-01T00:00:00"/>
    <n v="45"/>
    <x v="0"/>
    <x v="6"/>
    <x v="6"/>
    <x v="0"/>
    <s v="Respiratory"/>
    <s v="Surgery"/>
    <n v="4317.2299999999996"/>
    <n v="224.37"/>
    <n v="281.26"/>
    <n v="11366.51"/>
    <x v="3"/>
    <x v="6"/>
    <x v="6"/>
    <s v="E67 6QZ"/>
    <n v="6"/>
    <n v="12"/>
    <n v="16189.369999999999"/>
    <n v="1349.1141666666665"/>
    <s v="April"/>
    <s v="2024"/>
    <s v="Apr 2024"/>
    <s v="Saturday"/>
    <x v="2"/>
    <s v="Emma Thompson"/>
    <s v="Female"/>
    <x v="2"/>
  </r>
  <r>
    <x v="98"/>
    <x v="90"/>
    <d v="2024-08-20T00:00:00"/>
    <d v="1958-11-21T00:00:00"/>
    <n v="67"/>
    <x v="0"/>
    <x v="10"/>
    <x v="8"/>
    <x v="2"/>
    <s v="Orthopedics"/>
    <s v="Emergency"/>
    <n v="3456.3"/>
    <n v="73.48"/>
    <n v="2779.68"/>
    <n v="7308.13"/>
    <x v="0"/>
    <x v="7"/>
    <x v="1"/>
    <s v="E7 3ZI"/>
    <n v="2"/>
    <n v="14"/>
    <n v="13617.59"/>
    <n v="972.68500000000006"/>
    <s v="August"/>
    <s v="2024"/>
    <s v="Aug 2024"/>
    <s v="Tuesday"/>
    <x v="1"/>
    <s v="John S Jones"/>
    <s v="Male"/>
    <x v="2"/>
  </r>
  <r>
    <x v="99"/>
    <x v="91"/>
    <d v="2024-03-24T00:00:00"/>
    <d v="1986-12-20T00:00:00"/>
    <n v="39"/>
    <x v="2"/>
    <x v="5"/>
    <x v="4"/>
    <x v="0"/>
    <s v="Pediatrics"/>
    <s v="Surgery"/>
    <n v="3251.74"/>
    <n v="69.680000000000007"/>
    <n v="1315.69"/>
    <n v="12482.98"/>
    <x v="2"/>
    <x v="8"/>
    <x v="5"/>
    <s v="M21 9HE"/>
    <n v="5"/>
    <n v="19"/>
    <n v="17120.09"/>
    <n v="901.05736842105262"/>
    <s v="March"/>
    <s v="2024"/>
    <s v="Mar 2024"/>
    <s v="Tuesday"/>
    <x v="2"/>
    <s v="Olivia Brown"/>
    <s v="Female"/>
    <x v="0"/>
  </r>
  <r>
    <x v="100"/>
    <x v="92"/>
    <d v="2025-09-15T00:00:00"/>
    <d v="1947-01-19T00:00:00"/>
    <n v="79"/>
    <x v="0"/>
    <x v="3"/>
    <x v="9"/>
    <x v="0"/>
    <s v="Neurology"/>
    <s v="Inpatient"/>
    <n v="4904.72"/>
    <n v="714.86"/>
    <n v="1479.17"/>
    <n v="4705.2"/>
    <x v="3"/>
    <x v="7"/>
    <x v="1"/>
    <s v="N86 1YR"/>
    <n v="9"/>
    <n v="13"/>
    <n v="11803.95"/>
    <n v="907.9961538461539"/>
    <s v="September"/>
    <s v="2025"/>
    <s v="Sep 2025"/>
    <s v="Tuesday"/>
    <x v="1"/>
    <s v="Michael H Smith"/>
    <s v="Male"/>
    <x v="2"/>
  </r>
  <r>
    <x v="101"/>
    <x v="93"/>
    <d v="2024-07-28T00:00:00"/>
    <d v="1963-10-03T00:00:00"/>
    <n v="62"/>
    <x v="1"/>
    <x v="10"/>
    <x v="6"/>
    <x v="3"/>
    <s v="General Medicine"/>
    <s v="Emergency"/>
    <n v="2650.7"/>
    <n v="250.79"/>
    <n v="2948.42"/>
    <n v="8154.74"/>
    <x v="1"/>
    <x v="5"/>
    <x v="8"/>
    <s v="N29 7IL"/>
    <n v="10"/>
    <n v="11"/>
    <n v="14004.65"/>
    <n v="1273.1499999999999"/>
    <s v="July"/>
    <s v="2024"/>
    <s v="Jul 2024"/>
    <s v="Wednesday"/>
    <x v="1"/>
    <s v="Emma Smith"/>
    <s v="Female"/>
    <x v="2"/>
  </r>
  <r>
    <x v="102"/>
    <x v="94"/>
    <d v="2024-07-29T00:00:00"/>
    <d v="1999-03-18T00:00:00"/>
    <n v="27"/>
    <x v="2"/>
    <x v="0"/>
    <x v="8"/>
    <x v="1"/>
    <s v="Oncology"/>
    <s v="Inpatient"/>
    <n v="252.27"/>
    <n v="1804.2"/>
    <n v="2490.89"/>
    <n v="7363.87"/>
    <x v="2"/>
    <x v="5"/>
    <x v="3"/>
    <s v="SW51 4YS"/>
    <n v="9"/>
    <n v="9"/>
    <n v="11911.23"/>
    <n v="1323.47"/>
    <s v="July"/>
    <s v="2024"/>
    <s v="Jul 2024"/>
    <s v="Saturday"/>
    <x v="0"/>
    <s v="Leo Thompson"/>
    <s v="Male"/>
    <x v="2"/>
  </r>
  <r>
    <x v="103"/>
    <x v="95"/>
    <d v="2025-08-21T00:00:00"/>
    <d v="1973-03-06T00:00:00"/>
    <n v="53"/>
    <x v="1"/>
    <x v="6"/>
    <x v="5"/>
    <x v="1"/>
    <s v="Neurology"/>
    <s v="Surgery"/>
    <n v="4894.4399999999996"/>
    <n v="394.83"/>
    <n v="236.88"/>
    <n v="14919.91"/>
    <x v="1"/>
    <x v="3"/>
    <x v="8"/>
    <s v="M61 8BB"/>
    <n v="8"/>
    <n v="19"/>
    <n v="20446.059999999998"/>
    <n v="1076.1084210526315"/>
    <s v="August"/>
    <s v="2025"/>
    <s v="Aug 2025"/>
    <s v="Saturday"/>
    <x v="2"/>
    <s v="Emma Jones"/>
    <s v="Female"/>
    <x v="0"/>
  </r>
  <r>
    <x v="104"/>
    <x v="96"/>
    <d v="2024-04-06T00:00:00"/>
    <d v="1982-11-27T00:00:00"/>
    <n v="43"/>
    <x v="1"/>
    <x v="11"/>
    <x v="0"/>
    <x v="3"/>
    <s v="Oncology"/>
    <s v="Outpatient"/>
    <n v="1135.1099999999999"/>
    <n v="909.56"/>
    <n v="1576.72"/>
    <n v="7036.02"/>
    <x v="0"/>
    <x v="8"/>
    <x v="3"/>
    <s v="N10 9UI"/>
    <n v="6"/>
    <n v="17"/>
    <n v="10657.41"/>
    <n v="626.90647058823527"/>
    <s v="March"/>
    <s v="2024"/>
    <s v="Mar 2024"/>
    <s v="Wednesday"/>
    <x v="2"/>
    <s v="Daniel Clarke"/>
    <s v="Male"/>
    <x v="0"/>
  </r>
  <r>
    <x v="105"/>
    <x v="97"/>
    <d v="2024-08-22T00:00:00"/>
    <d v="1988-08-16T00:00:00"/>
    <n v="37"/>
    <x v="1"/>
    <x v="10"/>
    <x v="5"/>
    <x v="2"/>
    <s v="Pediatrics"/>
    <s v="Outpatient"/>
    <n v="4047.73"/>
    <n v="379.97"/>
    <n v="0"/>
    <n v="0"/>
    <x v="3"/>
    <x v="1"/>
    <x v="3"/>
    <s v="SW24 9MT"/>
    <n v="10"/>
    <n v="19"/>
    <n v="4427.7"/>
    <n v="233.03684210526316"/>
    <s v="August"/>
    <s v="2024"/>
    <s v="Aug 2024"/>
    <s v="Saturday"/>
    <x v="2"/>
    <s v="Olivia Thomas"/>
    <s v="Female"/>
    <x v="0"/>
  </r>
  <r>
    <x v="106"/>
    <x v="98"/>
    <d v="2024-07-25T00:00:00"/>
    <d v="1995-10-27T00:00:00"/>
    <n v="30"/>
    <x v="1"/>
    <x v="6"/>
    <x v="9"/>
    <x v="2"/>
    <s v="Neurology"/>
    <s v="Emergency"/>
    <n v="4599.75"/>
    <n v="1902.89"/>
    <n v="1966.65"/>
    <n v="11433.33"/>
    <x v="1"/>
    <x v="1"/>
    <x v="2"/>
    <s v="M20 2FP"/>
    <n v="2"/>
    <n v="20"/>
    <n v="19902.620000000003"/>
    <n v="995.13100000000009"/>
    <s v="July"/>
    <s v="2024"/>
    <s v="Jul 2024"/>
    <s v="Friday"/>
    <x v="0"/>
    <s v="Lucas Clarke"/>
    <s v="Male"/>
    <x v="0"/>
  </r>
  <r>
    <x v="107"/>
    <x v="99"/>
    <d v="2025-07-10T00:00:00"/>
    <d v="1968-01-23T00:00:00"/>
    <n v="58"/>
    <x v="1"/>
    <x v="1"/>
    <x v="7"/>
    <x v="2"/>
    <s v="Cardiology"/>
    <s v="Inpatient"/>
    <n v="1850.78"/>
    <n v="686.44"/>
    <n v="1543.9"/>
    <n v="9022.19"/>
    <x v="0"/>
    <x v="2"/>
    <x v="6"/>
    <s v="B70 7IG"/>
    <n v="10"/>
    <n v="14"/>
    <n v="13103.310000000001"/>
    <n v="935.95071428571441"/>
    <s v="June"/>
    <s v="2025"/>
    <s v="Jun 2025"/>
    <s v="Thursday"/>
    <x v="2"/>
    <s v="Olivia Z Clarke"/>
    <s v="Female"/>
    <x v="2"/>
  </r>
  <r>
    <x v="108"/>
    <x v="100"/>
    <d v="2024-09-25T00:00:00"/>
    <d v="1972-11-19T00:00:00"/>
    <n v="53"/>
    <x v="0"/>
    <x v="6"/>
    <x v="9"/>
    <x v="0"/>
    <s v="Oncology"/>
    <s v="Outpatient"/>
    <n v="1435.03"/>
    <n v="1081.03"/>
    <n v="2876.75"/>
    <n v="8600.11"/>
    <x v="1"/>
    <x v="1"/>
    <x v="2"/>
    <s v="M33 5SL"/>
    <n v="4"/>
    <n v="9"/>
    <n v="13992.92"/>
    <n v="1554.7688888888888"/>
    <s v="September"/>
    <s v="2024"/>
    <s v="Sep 2024"/>
    <s v="Monday"/>
    <x v="2"/>
    <s v="Oliver Martin"/>
    <s v="Male"/>
    <x v="2"/>
  </r>
  <r>
    <x v="109"/>
    <x v="101"/>
    <d v="2024-01-09T00:00:00"/>
    <d v="1955-07-21T00:00:00"/>
    <n v="70"/>
    <x v="2"/>
    <x v="7"/>
    <x v="5"/>
    <x v="0"/>
    <s v="Respiratory"/>
    <s v="Outpatient"/>
    <n v="4372.6000000000004"/>
    <n v="127.2"/>
    <n v="338.31"/>
    <n v="15091.88"/>
    <x v="2"/>
    <x v="6"/>
    <x v="2"/>
    <s v="SW92 1YF"/>
    <n v="9"/>
    <n v="3"/>
    <n v="19929.989999999998"/>
    <n v="6643.329999999999"/>
    <s v="January"/>
    <s v="2024"/>
    <s v="Jan 2024"/>
    <s v="Saturday"/>
    <x v="1"/>
    <s v="Emma Wilson"/>
    <s v="Female"/>
    <x v="1"/>
  </r>
  <r>
    <x v="110"/>
    <x v="57"/>
    <d v="2024-09-02T00:00:00"/>
    <d v="1988-01-12T00:00:00"/>
    <n v="38"/>
    <x v="3"/>
    <x v="1"/>
    <x v="5"/>
    <x v="2"/>
    <s v="Pediatrics"/>
    <s v="Outpatient"/>
    <n v="4809.47"/>
    <n v="398.36"/>
    <n v="0"/>
    <n v="0"/>
    <x v="1"/>
    <x v="0"/>
    <x v="2"/>
    <s v="SW93 9SL"/>
    <n v="7"/>
    <n v="1"/>
    <n v="5207.83"/>
    <n v="5207.83"/>
    <s v="September"/>
    <s v="2024"/>
    <s v="Sep 2024"/>
    <s v="Sunday"/>
    <x v="2"/>
    <s v="Ethan Hall"/>
    <s v="Male"/>
    <x v="1"/>
  </r>
  <r>
    <x v="111"/>
    <x v="102"/>
    <d v="2024-05-16T00:00:00"/>
    <d v="1977-05-11T00:00:00"/>
    <n v="49"/>
    <x v="2"/>
    <x v="0"/>
    <x v="0"/>
    <x v="2"/>
    <s v="Emergency"/>
    <s v="Outpatient"/>
    <n v="3043.65"/>
    <n v="74.040000000000006"/>
    <n v="2937.28"/>
    <n v="13924.73"/>
    <x v="1"/>
    <x v="0"/>
    <x v="7"/>
    <s v="B4 8DI"/>
    <n v="7"/>
    <n v="17"/>
    <n v="19979.7"/>
    <n v="1175.2764705882353"/>
    <s v="April"/>
    <s v="2024"/>
    <s v="Apr 2024"/>
    <s v="Monday"/>
    <x v="2"/>
    <s v="Grace Hall"/>
    <s v="Female"/>
    <x v="0"/>
  </r>
  <r>
    <x v="112"/>
    <x v="103"/>
    <d v="2025-12-01T00:00:00"/>
    <d v="1963-02-13T00:00:00"/>
    <n v="63"/>
    <x v="1"/>
    <x v="11"/>
    <x v="8"/>
    <x v="3"/>
    <s v="Orthopedics"/>
    <s v="Surgery"/>
    <n v="1174.02"/>
    <n v="1451.79"/>
    <n v="1519.86"/>
    <n v="3833.94"/>
    <x v="1"/>
    <x v="0"/>
    <x v="9"/>
    <s v="N95 4IG"/>
    <n v="10"/>
    <n v="11"/>
    <n v="7979.6100000000006"/>
    <n v="725.41909090909098"/>
    <s v="November"/>
    <s v="2025"/>
    <s v="Nov 2025"/>
    <s v="Thursday"/>
    <x v="1"/>
    <s v="Oliver X Wood"/>
    <s v="Male"/>
    <x v="2"/>
  </r>
  <r>
    <x v="113"/>
    <x v="2"/>
    <d v="2025-05-20T00:00:00"/>
    <d v="1993-09-02T00:00:00"/>
    <n v="32"/>
    <x v="3"/>
    <x v="6"/>
    <x v="1"/>
    <x v="0"/>
    <s v="Oncology"/>
    <s v="Inpatient"/>
    <n v="2753.92"/>
    <n v="77.709999999999994"/>
    <n v="2078.29"/>
    <n v="12458.21"/>
    <x v="1"/>
    <x v="5"/>
    <x v="0"/>
    <s v="M70 1QL"/>
    <n v="9"/>
    <n v="12"/>
    <n v="17368.129999999997"/>
    <n v="1447.3441666666665"/>
    <s v="May"/>
    <s v="2025"/>
    <s v="May 2025"/>
    <s v="Thursday"/>
    <x v="0"/>
    <s v="Sarah Wilson"/>
    <s v="Female"/>
    <x v="2"/>
  </r>
  <r>
    <x v="114"/>
    <x v="104"/>
    <d v="2024-09-28T00:00:00"/>
    <d v="1965-06-20T00:00:00"/>
    <n v="60"/>
    <x v="2"/>
    <x v="8"/>
    <x v="9"/>
    <x v="3"/>
    <s v="Neurology"/>
    <s v="Outpatient"/>
    <n v="3239.61"/>
    <n v="1705.96"/>
    <n v="1566.39"/>
    <n v="10030.219999999999"/>
    <x v="1"/>
    <x v="7"/>
    <x v="7"/>
    <s v="N74 3SV"/>
    <n v="7"/>
    <n v="6"/>
    <n v="16542.18"/>
    <n v="2757.03"/>
    <s v="September"/>
    <s v="2024"/>
    <s v="Sep 2024"/>
    <s v="Sunday"/>
    <x v="1"/>
    <s v="John Green"/>
    <s v="Male"/>
    <x v="3"/>
  </r>
  <r>
    <x v="115"/>
    <x v="105"/>
    <d v="2025-03-23T00:00:00"/>
    <d v="1996-01-06T00:00:00"/>
    <n v="30"/>
    <x v="1"/>
    <x v="10"/>
    <x v="5"/>
    <x v="1"/>
    <s v="Pediatrics"/>
    <s v="Surgery"/>
    <n v="2245.41"/>
    <n v="869.06"/>
    <n v="2073"/>
    <n v="10237.49"/>
    <x v="1"/>
    <x v="4"/>
    <x v="9"/>
    <s v="SW61 2OX"/>
    <n v="2"/>
    <n v="16"/>
    <n v="15424.96"/>
    <n v="964.06"/>
    <s v="March"/>
    <s v="2025"/>
    <s v="Mar 2025"/>
    <s v="Friday"/>
    <x v="0"/>
    <s v="Ella Thompson"/>
    <s v="Female"/>
    <x v="0"/>
  </r>
  <r>
    <x v="116"/>
    <x v="106"/>
    <d v="2024-12-15T00:00:00"/>
    <d v="1994-05-12T00:00:00"/>
    <n v="32"/>
    <x v="0"/>
    <x v="5"/>
    <x v="6"/>
    <x v="1"/>
    <s v="Orthopedics"/>
    <s v="Surgery"/>
    <n v="2351.54"/>
    <n v="842.56"/>
    <n v="1671.37"/>
    <n v="11489.36"/>
    <x v="2"/>
    <x v="4"/>
    <x v="4"/>
    <s v="B52 2CF"/>
    <n v="8"/>
    <n v="17"/>
    <n v="16354.83"/>
    <n v="962.04882352941172"/>
    <s v="November"/>
    <s v="2024"/>
    <s v="Nov 2024"/>
    <s v="Thursday"/>
    <x v="0"/>
    <s v="Henry Wilson"/>
    <s v="Male"/>
    <x v="0"/>
  </r>
  <r>
    <x v="117"/>
    <x v="107"/>
    <d v="2025-04-20T00:00:00"/>
    <d v="1992-10-17T00:00:00"/>
    <n v="33"/>
    <x v="2"/>
    <x v="6"/>
    <x v="5"/>
    <x v="2"/>
    <s v="Neurology"/>
    <s v="Outpatient"/>
    <n v="3323.94"/>
    <n v="562.88"/>
    <n v="2786.16"/>
    <n v="2535.83"/>
    <x v="3"/>
    <x v="7"/>
    <x v="5"/>
    <s v="E99 7QY"/>
    <n v="2"/>
    <n v="14"/>
    <n v="9208.81"/>
    <n v="657.77214285714285"/>
    <s v="April"/>
    <s v="2025"/>
    <s v="Apr 2025"/>
    <s v="Sunday"/>
    <x v="0"/>
    <s v="Olivia Martin"/>
    <s v="Female"/>
    <x v="2"/>
  </r>
  <r>
    <x v="118"/>
    <x v="108"/>
    <d v="2024-06-24T00:00:00"/>
    <d v="1953-09-27T00:00:00"/>
    <n v="72"/>
    <x v="1"/>
    <x v="7"/>
    <x v="4"/>
    <x v="1"/>
    <s v="General Medicine"/>
    <s v="Outpatient"/>
    <n v="2658.58"/>
    <n v="559.79"/>
    <n v="2046.72"/>
    <n v="13773.55"/>
    <x v="1"/>
    <x v="5"/>
    <x v="4"/>
    <s v="M81 7QU"/>
    <n v="9"/>
    <n v="1"/>
    <n v="19038.64"/>
    <n v="19038.64"/>
    <s v="June"/>
    <s v="2024"/>
    <s v="Jun 2024"/>
    <s v="Sunday"/>
    <x v="1"/>
    <s v="James Wood"/>
    <s v="Male"/>
    <x v="1"/>
  </r>
  <r>
    <x v="119"/>
    <x v="109"/>
    <d v="2024-11-05T00:00:00"/>
    <d v="1978-03-12T00:00:00"/>
    <n v="48"/>
    <x v="0"/>
    <x v="3"/>
    <x v="9"/>
    <x v="0"/>
    <s v="Emergency"/>
    <s v="Surgery"/>
    <n v="2113.66"/>
    <n v="1703.5"/>
    <n v="2033.96"/>
    <n v="2219.2399999999998"/>
    <x v="0"/>
    <x v="0"/>
    <x v="0"/>
    <s v="B56 7HF"/>
    <n v="7"/>
    <n v="16"/>
    <n v="8070.36"/>
    <n v="504.39749999999998"/>
    <s v="October"/>
    <s v="2024"/>
    <s v="Oct 2024"/>
    <s v="Sunday"/>
    <x v="2"/>
    <s v="Sophia Hall"/>
    <s v="Female"/>
    <x v="0"/>
  </r>
  <r>
    <x v="120"/>
    <x v="110"/>
    <d v="2024-10-16T00:00:00"/>
    <d v="1986-12-18T00:00:00"/>
    <n v="39"/>
    <x v="0"/>
    <x v="10"/>
    <x v="7"/>
    <x v="1"/>
    <s v="Pediatrics"/>
    <s v="Emergency"/>
    <n v="853.07"/>
    <n v="1040.8599999999999"/>
    <n v="565.69000000000005"/>
    <n v="12420.2"/>
    <x v="1"/>
    <x v="8"/>
    <x v="3"/>
    <s v="E69 1FD"/>
    <n v="10"/>
    <n v="14"/>
    <n v="14879.82"/>
    <n v="1062.8442857142857"/>
    <s v="October"/>
    <s v="2024"/>
    <s v="Oct 2024"/>
    <s v="Wednesday"/>
    <x v="2"/>
    <s v="David Walker"/>
    <s v="Male"/>
    <x v="2"/>
  </r>
  <r>
    <x v="121"/>
    <x v="111"/>
    <d v="2025-04-21T00:00:00"/>
    <d v="1995-08-12T00:00:00"/>
    <n v="30"/>
    <x v="0"/>
    <x v="5"/>
    <x v="2"/>
    <x v="0"/>
    <s v="Orthopedics"/>
    <s v="Outpatient"/>
    <n v="921.11"/>
    <n v="469.64"/>
    <n v="305.64999999999998"/>
    <n v="8785.32"/>
    <x v="3"/>
    <x v="6"/>
    <x v="5"/>
    <s v="E99 4MY"/>
    <n v="7"/>
    <n v="2"/>
    <n v="10481.719999999999"/>
    <n v="5240.8599999999997"/>
    <s v="April"/>
    <s v="2025"/>
    <s v="Apr 2025"/>
    <s v="Saturday"/>
    <x v="0"/>
    <s v="Mia Jones"/>
    <s v="Female"/>
    <x v="1"/>
  </r>
  <r>
    <x v="122"/>
    <x v="112"/>
    <d v="2024-03-02T00:00:00"/>
    <d v="1955-11-24T00:00:00"/>
    <n v="70"/>
    <x v="2"/>
    <x v="2"/>
    <x v="9"/>
    <x v="3"/>
    <s v="Cardiology"/>
    <s v="Emergency"/>
    <n v="3219.08"/>
    <n v="536.88"/>
    <n v="899.04"/>
    <n v="12374.21"/>
    <x v="1"/>
    <x v="6"/>
    <x v="5"/>
    <s v="N36 2MZ"/>
    <n v="1"/>
    <n v="18"/>
    <n v="17029.21"/>
    <n v="946.0672222222222"/>
    <s v="February"/>
    <s v="2024"/>
    <s v="Feb 2024"/>
    <s v="Tuesday"/>
    <x v="1"/>
    <s v="Leo Taylor"/>
    <s v="Male"/>
    <x v="0"/>
  </r>
  <r>
    <x v="123"/>
    <x v="113"/>
    <d v="2024-03-14T00:00:00"/>
    <d v="2004-11-02T00:00:00"/>
    <n v="21"/>
    <x v="2"/>
    <x v="4"/>
    <x v="5"/>
    <x v="3"/>
    <s v="Pediatrics"/>
    <s v="Emergency"/>
    <n v="2568.27"/>
    <n v="1032.49"/>
    <n v="2071.27"/>
    <n v="12514.5"/>
    <x v="3"/>
    <x v="6"/>
    <x v="9"/>
    <s v="E89 7LX"/>
    <n v="9"/>
    <n v="12"/>
    <n v="18186.53"/>
    <n v="1515.5441666666666"/>
    <s v="March"/>
    <s v="2024"/>
    <s v="Mar 2024"/>
    <s v="Saturday"/>
    <x v="0"/>
    <s v="Mia Wilson"/>
    <s v="Female"/>
    <x v="2"/>
  </r>
  <r>
    <x v="124"/>
    <x v="114"/>
    <d v="2024-10-28T00:00:00"/>
    <d v="1965-12-15T00:00:00"/>
    <n v="60"/>
    <x v="2"/>
    <x v="4"/>
    <x v="9"/>
    <x v="3"/>
    <s v="General Medicine"/>
    <s v="Emergency"/>
    <n v="4251.57"/>
    <n v="365.65"/>
    <n v="1342.94"/>
    <n v="4134.07"/>
    <x v="0"/>
    <x v="1"/>
    <x v="3"/>
    <s v="E80 6YT"/>
    <n v="0"/>
    <n v="20"/>
    <n v="10094.23"/>
    <n v="504.7115"/>
    <s v="October"/>
    <s v="2024"/>
    <s v="Oct 2024"/>
    <s v="Tuesday"/>
    <x v="1"/>
    <s v="John C Brown"/>
    <s v="Male"/>
    <x v="0"/>
  </r>
  <r>
    <x v="125"/>
    <x v="115"/>
    <d v="2024-04-25T00:00:00"/>
    <d v="1986-06-04T00:00:00"/>
    <n v="40"/>
    <x v="2"/>
    <x v="0"/>
    <x v="8"/>
    <x v="2"/>
    <s v="Neurology"/>
    <s v="Outpatient"/>
    <n v="801.81"/>
    <n v="1331.04"/>
    <n v="0"/>
    <n v="0"/>
    <x v="3"/>
    <x v="6"/>
    <x v="7"/>
    <s v="B80 5BL"/>
    <n v="4"/>
    <n v="17"/>
    <n v="2132.85"/>
    <n v="125.46176470588235"/>
    <s v="April"/>
    <s v="2024"/>
    <s v="Apr 2024"/>
    <s v="Monday"/>
    <x v="2"/>
    <s v="Freya Jones"/>
    <s v="Female"/>
    <x v="0"/>
  </r>
  <r>
    <x v="126"/>
    <x v="63"/>
    <d v="2025-10-02T00:00:00"/>
    <d v="1995-12-02T00:00:00"/>
    <n v="30"/>
    <x v="2"/>
    <x v="3"/>
    <x v="9"/>
    <x v="3"/>
    <s v="Emergency"/>
    <s v="Surgery"/>
    <n v="3686.28"/>
    <n v="400.62"/>
    <n v="1301.79"/>
    <n v="12008.72"/>
    <x v="2"/>
    <x v="1"/>
    <x v="9"/>
    <s v="B85 4SU"/>
    <n v="4"/>
    <n v="9"/>
    <n v="17397.41"/>
    <n v="1933.0455555555554"/>
    <s v="September"/>
    <s v="2025"/>
    <s v="Sep 2025"/>
    <s v="Tuesday"/>
    <x v="0"/>
    <s v="David Hall"/>
    <s v="Male"/>
    <x v="2"/>
  </r>
  <r>
    <x v="127"/>
    <x v="116"/>
    <d v="2025-09-21T00:00:00"/>
    <d v="1987-03-18T00:00:00"/>
    <n v="39"/>
    <x v="1"/>
    <x v="5"/>
    <x v="2"/>
    <x v="2"/>
    <s v="Cardiology"/>
    <s v="Inpatient"/>
    <n v="2572.66"/>
    <n v="484.74"/>
    <n v="1613.23"/>
    <n v="9115.09"/>
    <x v="1"/>
    <x v="7"/>
    <x v="2"/>
    <s v="SW47 8OM"/>
    <n v="7"/>
    <n v="15"/>
    <n v="13785.72"/>
    <n v="919.048"/>
    <s v="September"/>
    <s v="2025"/>
    <s v="Sep 2025"/>
    <s v="Saturday"/>
    <x v="2"/>
    <s v="Mia Clarke"/>
    <s v="Female"/>
    <x v="0"/>
  </r>
  <r>
    <x v="128"/>
    <x v="117"/>
    <d v="2024-10-27T00:00:00"/>
    <d v="1994-12-27T00:00:00"/>
    <n v="31"/>
    <x v="1"/>
    <x v="3"/>
    <x v="9"/>
    <x v="2"/>
    <s v="General Medicine"/>
    <s v="Outpatient"/>
    <n v="4901.95"/>
    <n v="244.76"/>
    <n v="439.77"/>
    <n v="9324.7099999999991"/>
    <x v="3"/>
    <x v="5"/>
    <x v="6"/>
    <s v="SW12 7SG"/>
    <n v="6"/>
    <n v="18"/>
    <n v="14911.189999999999"/>
    <n v="828.39944444444438"/>
    <s v="October"/>
    <s v="2024"/>
    <s v="Oct 2024"/>
    <s v="Wednesday"/>
    <x v="0"/>
    <s v="James Green"/>
    <s v="Male"/>
    <x v="0"/>
  </r>
  <r>
    <x v="129"/>
    <x v="118"/>
    <d v="2024-03-23T00:00:00"/>
    <d v="1991-10-13T00:00:00"/>
    <n v="34"/>
    <x v="2"/>
    <x v="10"/>
    <x v="2"/>
    <x v="3"/>
    <s v="General Medicine"/>
    <s v="Outpatient"/>
    <n v="3415.1"/>
    <n v="1590.76"/>
    <n v="629.98"/>
    <n v="3059.52"/>
    <x v="0"/>
    <x v="3"/>
    <x v="6"/>
    <s v="B6 6RS"/>
    <n v="4"/>
    <n v="2"/>
    <n v="8695.36"/>
    <n v="4347.68"/>
    <s v="March"/>
    <s v="2024"/>
    <s v="Mar 2024"/>
    <s v="Thursday"/>
    <x v="0"/>
    <s v="Freya Smith"/>
    <s v="Female"/>
    <x v="1"/>
  </r>
  <r>
    <x v="130"/>
    <x v="61"/>
    <d v="2025-02-12T00:00:00"/>
    <d v="1972-05-26T00:00:00"/>
    <n v="54"/>
    <x v="1"/>
    <x v="11"/>
    <x v="5"/>
    <x v="3"/>
    <s v="Orthopedics"/>
    <s v="Inpatient"/>
    <n v="2817.47"/>
    <n v="1203.48"/>
    <n v="2334.92"/>
    <n v="5638.77"/>
    <x v="2"/>
    <x v="0"/>
    <x v="2"/>
    <s v="N63 7US"/>
    <n v="2"/>
    <n v="5"/>
    <n v="11994.64"/>
    <n v="2398.9279999999999"/>
    <s v="February"/>
    <s v="2025"/>
    <s v="Feb 2025"/>
    <s v="Friday"/>
    <x v="2"/>
    <s v="David Green"/>
    <s v="Male"/>
    <x v="3"/>
  </r>
  <r>
    <x v="131"/>
    <x v="119"/>
    <d v="2024-12-06T00:00:00"/>
    <d v="1968-06-07T00:00:00"/>
    <n v="58"/>
    <x v="1"/>
    <x v="3"/>
    <x v="1"/>
    <x v="2"/>
    <s v="Orthopedics"/>
    <s v="Outpatient"/>
    <n v="2457.37"/>
    <n v="1480.21"/>
    <n v="1543.62"/>
    <n v="15565.44"/>
    <x v="3"/>
    <x v="2"/>
    <x v="8"/>
    <s v="N97 2DX"/>
    <n v="8"/>
    <n v="12"/>
    <n v="21046.639999999999"/>
    <n v="1753.8866666666665"/>
    <s v="November"/>
    <s v="2024"/>
    <s v="Nov 2024"/>
    <s v="Sunday"/>
    <x v="2"/>
    <s v="Sarah Green"/>
    <s v="Female"/>
    <x v="2"/>
  </r>
  <r>
    <x v="132"/>
    <x v="67"/>
    <d v="2024-08-20T00:00:00"/>
    <d v="1975-01-11T00:00:00"/>
    <n v="51"/>
    <x v="3"/>
    <x v="8"/>
    <x v="7"/>
    <x v="1"/>
    <s v="Cardiology"/>
    <s v="Inpatient"/>
    <n v="2388.3000000000002"/>
    <n v="1922.01"/>
    <n v="2345.3000000000002"/>
    <n v="1979.65"/>
    <x v="1"/>
    <x v="5"/>
    <x v="3"/>
    <s v="E37 4ZW"/>
    <n v="3"/>
    <n v="18"/>
    <n v="8635.26"/>
    <n v="479.73666666666668"/>
    <s v="August"/>
    <s v="2024"/>
    <s v="Aug 2024"/>
    <s v="Friday"/>
    <x v="2"/>
    <s v="Daniel Wood"/>
    <s v="Male"/>
    <x v="0"/>
  </r>
  <r>
    <x v="133"/>
    <x v="120"/>
    <d v="2024-09-06T00:00:00"/>
    <d v="1963-11-13T00:00:00"/>
    <n v="62"/>
    <x v="3"/>
    <x v="10"/>
    <x v="9"/>
    <x v="3"/>
    <s v="Cardiology"/>
    <s v="Surgery"/>
    <n v="2133.6"/>
    <n v="1059.79"/>
    <n v="2121.6799999999998"/>
    <n v="6947.23"/>
    <x v="1"/>
    <x v="4"/>
    <x v="9"/>
    <s v="B40 6PM"/>
    <n v="9"/>
    <n v="13"/>
    <n v="12262.3"/>
    <n v="943.2538461538461"/>
    <s v="August"/>
    <s v="2024"/>
    <s v="Aug 2024"/>
    <s v="Saturday"/>
    <x v="1"/>
    <s v="Ava W Hall"/>
    <s v="Female"/>
    <x v="2"/>
  </r>
  <r>
    <x v="134"/>
    <x v="121"/>
    <d v="2024-02-18T00:00:00"/>
    <d v="2001-07-27T00:00:00"/>
    <n v="24"/>
    <x v="1"/>
    <x v="5"/>
    <x v="0"/>
    <x v="1"/>
    <s v="Respiratory"/>
    <s v="Outpatient"/>
    <n v="4913.1400000000003"/>
    <n v="1668.12"/>
    <n v="2753.73"/>
    <n v="4539.47"/>
    <x v="0"/>
    <x v="3"/>
    <x v="9"/>
    <s v="B20 7JT"/>
    <n v="7"/>
    <n v="18"/>
    <n v="13874.46"/>
    <n v="770.80333333333328"/>
    <s v="January"/>
    <s v="2024"/>
    <s v="Jan 2024"/>
    <s v="Wednesday"/>
    <x v="0"/>
    <s v="Lucas E Clarke"/>
    <s v="Male"/>
    <x v="0"/>
  </r>
  <r>
    <x v="135"/>
    <x v="35"/>
    <d v="2024-06-01T00:00:00"/>
    <d v="1989-12-17T00:00:00"/>
    <n v="36"/>
    <x v="1"/>
    <x v="4"/>
    <x v="5"/>
    <x v="1"/>
    <s v="Oncology"/>
    <s v="Inpatient"/>
    <n v="2346.56"/>
    <n v="1285.55"/>
    <n v="1356.78"/>
    <n v="2839.75"/>
    <x v="3"/>
    <x v="0"/>
    <x v="5"/>
    <s v="SW53 7JO"/>
    <n v="9"/>
    <n v="14"/>
    <n v="7828.6399999999994"/>
    <n v="559.18857142857144"/>
    <s v="May"/>
    <s v="2024"/>
    <s v="May 2024"/>
    <s v="Saturday"/>
    <x v="2"/>
    <s v="Olivia Robinson"/>
    <s v="Female"/>
    <x v="2"/>
  </r>
  <r>
    <x v="136"/>
    <x v="122"/>
    <d v="2024-04-07T00:00:00"/>
    <d v="1988-01-12T00:00:00"/>
    <n v="38"/>
    <x v="2"/>
    <x v="10"/>
    <x v="5"/>
    <x v="2"/>
    <s v="Oncology"/>
    <s v="Emergency"/>
    <n v="3936.76"/>
    <n v="915.24"/>
    <n v="888.21"/>
    <n v="12093.9"/>
    <x v="1"/>
    <x v="5"/>
    <x v="6"/>
    <s v="M29 4YG"/>
    <n v="8"/>
    <n v="16"/>
    <n v="17834.11"/>
    <n v="1114.631875"/>
    <s v="March"/>
    <s v="2024"/>
    <s v="Mar 2024"/>
    <s v="Friday"/>
    <x v="2"/>
    <s v="James S Smith"/>
    <s v="Male"/>
    <x v="0"/>
  </r>
  <r>
    <x v="137"/>
    <x v="123"/>
    <d v="2025-10-07T00:00:00"/>
    <d v="1991-06-13T00:00:00"/>
    <n v="34"/>
    <x v="2"/>
    <x v="4"/>
    <x v="1"/>
    <x v="2"/>
    <s v="Orthopedics"/>
    <s v="Emergency"/>
    <n v="2488.13"/>
    <n v="899.72"/>
    <n v="2192.9299999999998"/>
    <n v="7905.4"/>
    <x v="2"/>
    <x v="7"/>
    <x v="5"/>
    <s v="B50 9YU"/>
    <n v="1"/>
    <n v="19"/>
    <n v="13486.18"/>
    <n v="709.79894736842107"/>
    <s v="September"/>
    <s v="2025"/>
    <s v="Sep 2025"/>
    <s v="Thursday"/>
    <x v="0"/>
    <s v="Ella Smith"/>
    <s v="Female"/>
    <x v="0"/>
  </r>
  <r>
    <x v="138"/>
    <x v="124"/>
    <d v="2024-04-19T00:00:00"/>
    <d v="1974-11-15T00:00:00"/>
    <n v="51"/>
    <x v="1"/>
    <x v="11"/>
    <x v="8"/>
    <x v="2"/>
    <s v="Neurology"/>
    <s v="Emergency"/>
    <n v="4461.7299999999996"/>
    <n v="1547.55"/>
    <n v="1701.36"/>
    <n v="11250.94"/>
    <x v="4"/>
    <x v="1"/>
    <x v="1"/>
    <s v="SW42 3WX"/>
    <n v="8"/>
    <n v="17"/>
    <n v="18961.580000000002"/>
    <n v="1115.3870588235295"/>
    <s v="April"/>
    <s v="2024"/>
    <s v="Apr 2024"/>
    <s v="Tuesday"/>
    <x v="2"/>
    <s v="Lucas Thompson"/>
    <s v="Male"/>
    <x v="0"/>
  </r>
  <r>
    <x v="139"/>
    <x v="108"/>
    <d v="2024-07-04T00:00:00"/>
    <d v="1980-07-02T00:00:00"/>
    <n v="45"/>
    <x v="2"/>
    <x v="8"/>
    <x v="1"/>
    <x v="1"/>
    <s v="Cardiology"/>
    <s v="Emergency"/>
    <n v="207.8"/>
    <n v="1041.8900000000001"/>
    <n v="659.89"/>
    <n v="15013.64"/>
    <x v="3"/>
    <x v="5"/>
    <x v="3"/>
    <s v="E17 4AT"/>
    <n v="1"/>
    <n v="11"/>
    <n v="16923.22"/>
    <n v="1538.4745454545455"/>
    <s v="June"/>
    <s v="2024"/>
    <s v="Jun 2024"/>
    <s v="Sunday"/>
    <x v="2"/>
    <s v="Sarah Smith"/>
    <s v="Female"/>
    <x v="2"/>
  </r>
  <r>
    <x v="140"/>
    <x v="125"/>
    <d v="2025-09-27T00:00:00"/>
    <d v="1971-08-03T00:00:00"/>
    <n v="54"/>
    <x v="0"/>
    <x v="2"/>
    <x v="4"/>
    <x v="1"/>
    <s v="Oncology"/>
    <s v="Surgery"/>
    <n v="2583.2800000000002"/>
    <n v="1876.95"/>
    <n v="268.48"/>
    <n v="1180.1300000000001"/>
    <x v="3"/>
    <x v="5"/>
    <x v="1"/>
    <s v="E14 7FF"/>
    <n v="4"/>
    <n v="20"/>
    <n v="5908.8400000000011"/>
    <n v="295.44200000000006"/>
    <s v="September"/>
    <s v="2025"/>
    <s v="Sep 2025"/>
    <s v="Sunday"/>
    <x v="2"/>
    <s v="Benjamin Clarke"/>
    <s v="Male"/>
    <x v="0"/>
  </r>
  <r>
    <x v="141"/>
    <x v="126"/>
    <d v="2024-11-11T00:00:00"/>
    <d v="1998-09-03T00:00:00"/>
    <n v="27"/>
    <x v="3"/>
    <x v="11"/>
    <x v="5"/>
    <x v="1"/>
    <s v="Oncology"/>
    <s v="Emergency"/>
    <n v="4226.25"/>
    <n v="432.18"/>
    <n v="2249.38"/>
    <n v="9743.18"/>
    <x v="1"/>
    <x v="2"/>
    <x v="4"/>
    <s v="SW55 6IQ"/>
    <n v="4"/>
    <n v="16"/>
    <n v="16650.990000000002"/>
    <n v="1040.6868750000001"/>
    <s v="October"/>
    <s v="2024"/>
    <s v="Oct 2024"/>
    <s v="Saturday"/>
    <x v="0"/>
    <s v="Emily B White"/>
    <s v="Female"/>
    <x v="0"/>
  </r>
  <r>
    <x v="142"/>
    <x v="127"/>
    <d v="2024-02-09T00:00:00"/>
    <d v="1957-01-04T00:00:00"/>
    <n v="69"/>
    <x v="1"/>
    <x v="4"/>
    <x v="8"/>
    <x v="2"/>
    <s v="Cardiology"/>
    <s v="Surgery"/>
    <n v="4821.6000000000004"/>
    <n v="120.6"/>
    <n v="0"/>
    <n v="0"/>
    <x v="0"/>
    <x v="1"/>
    <x v="6"/>
    <s v="SW9 5JQ"/>
    <n v="6"/>
    <n v="15"/>
    <n v="4942.2000000000007"/>
    <n v="329.48000000000008"/>
    <s v="January"/>
    <s v="2024"/>
    <s v="Jan 2024"/>
    <s v="Thursday"/>
    <x v="1"/>
    <s v="Samuel Taylor"/>
    <s v="Male"/>
    <x v="0"/>
  </r>
  <r>
    <x v="143"/>
    <x v="128"/>
    <d v="2025-05-21T00:00:00"/>
    <d v="1998-06-22T00:00:00"/>
    <n v="27"/>
    <x v="0"/>
    <x v="7"/>
    <x v="4"/>
    <x v="1"/>
    <s v="General Medicine"/>
    <s v="Outpatient"/>
    <n v="2976.36"/>
    <n v="1329.71"/>
    <n v="2338.59"/>
    <n v="5935.74"/>
    <x v="0"/>
    <x v="1"/>
    <x v="8"/>
    <s v="B69 1GS"/>
    <n v="8"/>
    <n v="16"/>
    <n v="12580.4"/>
    <n v="786.27499999999998"/>
    <s v="May"/>
    <s v="2025"/>
    <s v="May 2025"/>
    <s v="Monday"/>
    <x v="0"/>
    <s v="Chloe White"/>
    <s v="Female"/>
    <x v="0"/>
  </r>
  <r>
    <x v="144"/>
    <x v="129"/>
    <d v="2024-11-22T00:00:00"/>
    <d v="1956-10-04T00:00:00"/>
    <n v="69"/>
    <x v="3"/>
    <x v="3"/>
    <x v="4"/>
    <x v="3"/>
    <s v="Orthopedics"/>
    <s v="Emergency"/>
    <n v="2719.55"/>
    <n v="351.47"/>
    <n v="1617.19"/>
    <n v="13373.88"/>
    <x v="3"/>
    <x v="4"/>
    <x v="1"/>
    <s v="M65 1ZP"/>
    <n v="5"/>
    <n v="11"/>
    <n v="18062.09"/>
    <n v="1642.0081818181818"/>
    <s v="November"/>
    <s v="2024"/>
    <s v="Nov 2024"/>
    <s v="Monday"/>
    <x v="1"/>
    <s v="Michael Taylor"/>
    <s v="Male"/>
    <x v="2"/>
  </r>
  <r>
    <x v="145"/>
    <x v="130"/>
    <d v="2025-04-28T00:00:00"/>
    <d v="1958-12-02T00:00:00"/>
    <n v="67"/>
    <x v="0"/>
    <x v="10"/>
    <x v="9"/>
    <x v="3"/>
    <s v="Pediatrics"/>
    <s v="Surgery"/>
    <n v="1090.27"/>
    <n v="355.68"/>
    <n v="2948.81"/>
    <n v="13602.12"/>
    <x v="2"/>
    <x v="7"/>
    <x v="4"/>
    <s v="SW82 4KG"/>
    <n v="2"/>
    <n v="13"/>
    <n v="17996.88"/>
    <n v="1384.3753846153847"/>
    <s v="April"/>
    <s v="2025"/>
    <s v="Apr 2025"/>
    <s v="Tuesday"/>
    <x v="1"/>
    <s v="Amelia Jones"/>
    <s v="Female"/>
    <x v="2"/>
  </r>
  <r>
    <x v="146"/>
    <x v="131"/>
    <d v="2025-07-27T00:00:00"/>
    <d v="1958-09-12T00:00:00"/>
    <n v="67"/>
    <x v="3"/>
    <x v="9"/>
    <x v="0"/>
    <x v="2"/>
    <s v="Neurology"/>
    <s v="Emergency"/>
    <n v="5017.95"/>
    <n v="1467.97"/>
    <n v="2425.48"/>
    <n v="4136.68"/>
    <x v="1"/>
    <x v="9"/>
    <x v="5"/>
    <s v="M87 1DM"/>
    <n v="2"/>
    <n v="11"/>
    <n v="13048.08"/>
    <n v="1186.189090909091"/>
    <s v="July"/>
    <s v="2025"/>
    <s v="Jul 2025"/>
    <s v="Wednesday"/>
    <x v="1"/>
    <s v="Oliver S Wilson"/>
    <s v="Male"/>
    <x v="2"/>
  </r>
  <r>
    <x v="147"/>
    <x v="132"/>
    <d v="2025-12-05T00:00:00"/>
    <d v="1966-04-23T00:00:00"/>
    <n v="60"/>
    <x v="2"/>
    <x v="11"/>
    <x v="8"/>
    <x v="3"/>
    <s v="General Medicine"/>
    <s v="Emergency"/>
    <n v="4004.29"/>
    <n v="1023.06"/>
    <n v="2388.1799999999998"/>
    <n v="8517.26"/>
    <x v="0"/>
    <x v="4"/>
    <x v="9"/>
    <s v="N19 5LM"/>
    <n v="8"/>
    <n v="18"/>
    <n v="15932.79"/>
    <n v="885.15500000000009"/>
    <s v="November"/>
    <s v="2025"/>
    <s v="Nov 2025"/>
    <s v="Monday"/>
    <x v="1"/>
    <s v="Olivia T Smith"/>
    <s v="Female"/>
    <x v="0"/>
  </r>
  <r>
    <x v="148"/>
    <x v="133"/>
    <d v="2025-08-16T00:00:00"/>
    <d v="1994-06-20T00:00:00"/>
    <n v="31"/>
    <x v="2"/>
    <x v="3"/>
    <x v="9"/>
    <x v="2"/>
    <s v="General Medicine"/>
    <s v="Emergency"/>
    <n v="4824.7299999999996"/>
    <n v="1169.71"/>
    <n v="1439.61"/>
    <n v="14330.21"/>
    <x v="2"/>
    <x v="0"/>
    <x v="4"/>
    <s v="N71 3PM"/>
    <n v="2"/>
    <n v="5"/>
    <n v="21764.26"/>
    <n v="4352.8519999999999"/>
    <s v="August"/>
    <s v="2025"/>
    <s v="Aug 2025"/>
    <s v="Monday"/>
    <x v="0"/>
    <s v="Michael Hall"/>
    <s v="Male"/>
    <x v="3"/>
  </r>
  <r>
    <x v="149"/>
    <x v="134"/>
    <d v="2025-05-17T00:00:00"/>
    <d v="1992-12-19T00:00:00"/>
    <n v="33"/>
    <x v="2"/>
    <x v="2"/>
    <x v="1"/>
    <x v="2"/>
    <s v="Oncology"/>
    <s v="Emergency"/>
    <n v="4878.72"/>
    <n v="475.08"/>
    <n v="1890.62"/>
    <n v="9495.5"/>
    <x v="2"/>
    <x v="8"/>
    <x v="7"/>
    <s v="E12 4ES"/>
    <n v="7"/>
    <n v="4"/>
    <n v="16739.919999999998"/>
    <n v="4184.9799999999996"/>
    <s v="May"/>
    <s v="2025"/>
    <s v="May 2025"/>
    <s v="Tuesday"/>
    <x v="0"/>
    <s v="Amelia I Thompson"/>
    <s v="Female"/>
    <x v="3"/>
  </r>
  <r>
    <x v="150"/>
    <x v="135"/>
    <d v="2025-04-02T00:00:00"/>
    <d v="1981-11-10T00:00:00"/>
    <n v="44"/>
    <x v="0"/>
    <x v="1"/>
    <x v="8"/>
    <x v="0"/>
    <s v="General Medicine"/>
    <s v="Emergency"/>
    <n v="1896.25"/>
    <n v="998.95"/>
    <n v="657.25"/>
    <n v="7186.19"/>
    <x v="0"/>
    <x v="9"/>
    <x v="6"/>
    <s v="E31 7WS"/>
    <n v="1"/>
    <n v="12"/>
    <n v="10738.64"/>
    <n v="894.88666666666666"/>
    <s v="March"/>
    <s v="2025"/>
    <s v="Mar 2025"/>
    <s v="Friday"/>
    <x v="2"/>
    <s v="James H Thompson"/>
    <s v="Male"/>
    <x v="2"/>
  </r>
  <r>
    <x v="151"/>
    <x v="136"/>
    <d v="2024-10-27T00:00:00"/>
    <d v="1998-07-05T00:00:00"/>
    <n v="27"/>
    <x v="1"/>
    <x v="0"/>
    <x v="5"/>
    <x v="0"/>
    <s v="Emergency"/>
    <s v="Emergency"/>
    <n v="1664.48"/>
    <n v="63.9"/>
    <n v="711.13"/>
    <n v="7158.31"/>
    <x v="2"/>
    <x v="3"/>
    <x v="0"/>
    <s v="M90 7TF"/>
    <n v="8"/>
    <n v="5"/>
    <n v="9597.82"/>
    <n v="1919.5639999999999"/>
    <s v="October"/>
    <s v="2024"/>
    <s v="Oct 2024"/>
    <s v="Tuesday"/>
    <x v="0"/>
    <s v="Ava Green"/>
    <s v="Female"/>
    <x v="3"/>
  </r>
  <r>
    <x v="152"/>
    <x v="137"/>
    <d v="2025-01-12T00:00:00"/>
    <d v="1971-09-19T00:00:00"/>
    <n v="54"/>
    <x v="0"/>
    <x v="11"/>
    <x v="4"/>
    <x v="2"/>
    <s v="Pediatrics"/>
    <s v="Inpatient"/>
    <n v="234.89"/>
    <n v="1114.3"/>
    <n v="2474.15"/>
    <n v="6663.03"/>
    <x v="2"/>
    <x v="2"/>
    <x v="2"/>
    <s v="E67 2HP"/>
    <n v="2"/>
    <n v="2"/>
    <n v="10486.369999999999"/>
    <n v="5243.1849999999995"/>
    <s v="January"/>
    <s v="2025"/>
    <s v="Jan 2025"/>
    <s v="Friday"/>
    <x v="2"/>
    <s v="David Robinson"/>
    <s v="Male"/>
    <x v="1"/>
  </r>
  <r>
    <x v="153"/>
    <x v="138"/>
    <d v="2024-06-22T00:00:00"/>
    <d v="1967-05-10T00:00:00"/>
    <n v="59"/>
    <x v="3"/>
    <x v="8"/>
    <x v="1"/>
    <x v="1"/>
    <s v="Pediatrics"/>
    <s v="Surgery"/>
    <n v="290.14"/>
    <n v="1264.73"/>
    <n v="363.93"/>
    <n v="5866.86"/>
    <x v="1"/>
    <x v="8"/>
    <x v="7"/>
    <s v="E17 9CZ"/>
    <n v="10"/>
    <n v="2"/>
    <n v="7785.66"/>
    <n v="3892.83"/>
    <s v="June"/>
    <s v="2024"/>
    <s v="Jun 2024"/>
    <s v="Thursday"/>
    <x v="2"/>
    <s v="Mia Thompson"/>
    <s v="Female"/>
    <x v="1"/>
  </r>
  <r>
    <x v="154"/>
    <x v="139"/>
    <d v="2025-12-26T00:00:00"/>
    <d v="1968-03-09T00:00:00"/>
    <n v="58"/>
    <x v="2"/>
    <x v="5"/>
    <x v="6"/>
    <x v="1"/>
    <s v="Cardiology"/>
    <s v="Inpatient"/>
    <n v="3413.62"/>
    <n v="1032.31"/>
    <n v="1552.41"/>
    <n v="1527.6"/>
    <x v="2"/>
    <x v="7"/>
    <x v="9"/>
    <s v="M93 3GS"/>
    <n v="3"/>
    <n v="8"/>
    <n v="7525.9400000000005"/>
    <n v="940.74250000000006"/>
    <s v="December"/>
    <s v="2025"/>
    <s v="Dec 2025"/>
    <s v="Thursday"/>
    <x v="2"/>
    <s v="Arthur Taylor"/>
    <s v="Male"/>
    <x v="2"/>
  </r>
  <r>
    <x v="155"/>
    <x v="140"/>
    <d v="2025-05-09T00:00:00"/>
    <d v="1988-12-13T00:00:00"/>
    <n v="37"/>
    <x v="0"/>
    <x v="5"/>
    <x v="5"/>
    <x v="2"/>
    <s v="Pediatrics"/>
    <s v="Emergency"/>
    <n v="2153.4299999999998"/>
    <n v="1263.52"/>
    <n v="1926.2"/>
    <n v="8827.15"/>
    <x v="1"/>
    <x v="2"/>
    <x v="4"/>
    <s v="SW43 5IZ"/>
    <n v="6"/>
    <n v="9"/>
    <n v="14170.3"/>
    <n v="1574.4777777777776"/>
    <s v="April"/>
    <s v="2025"/>
    <s v="Apr 2025"/>
    <s v="Wednesday"/>
    <x v="2"/>
    <s v="Sarah T Wood"/>
    <s v="Female"/>
    <x v="2"/>
  </r>
  <r>
    <x v="156"/>
    <x v="141"/>
    <d v="2025-11-20T00:00:00"/>
    <d v="1965-09-01T00:00:00"/>
    <n v="60"/>
    <x v="3"/>
    <x v="10"/>
    <x v="8"/>
    <x v="2"/>
    <s v="Neurology"/>
    <s v="Outpatient"/>
    <n v="4817.32"/>
    <n v="442.8"/>
    <n v="2211.39"/>
    <n v="7315.39"/>
    <x v="2"/>
    <x v="1"/>
    <x v="4"/>
    <s v="E8 4TU"/>
    <n v="8"/>
    <n v="1"/>
    <n v="14786.900000000001"/>
    <n v="14786.900000000001"/>
    <s v="November"/>
    <s v="2025"/>
    <s v="Nov 2025"/>
    <s v="Wednesday"/>
    <x v="1"/>
    <s v="Benjamin Wilson"/>
    <s v="Male"/>
    <x v="1"/>
  </r>
  <r>
    <x v="157"/>
    <x v="43"/>
    <d v="2024-04-02T00:00:00"/>
    <d v="1963-08-22T00:00:00"/>
    <n v="62"/>
    <x v="3"/>
    <x v="8"/>
    <x v="0"/>
    <x v="0"/>
    <s v="Oncology"/>
    <s v="Inpatient"/>
    <n v="3653.84"/>
    <n v="1342.31"/>
    <n v="1120.2"/>
    <n v="3397.63"/>
    <x v="1"/>
    <x v="5"/>
    <x v="6"/>
    <s v="N57 2PG"/>
    <n v="2"/>
    <n v="15"/>
    <n v="9513.98"/>
    <n v="634.26533333333327"/>
    <s v="March"/>
    <s v="2024"/>
    <s v="Mar 2024"/>
    <s v="Monday"/>
    <x v="1"/>
    <s v="Emma Q Martin"/>
    <s v="Female"/>
    <x v="0"/>
  </r>
  <r>
    <x v="158"/>
    <x v="142"/>
    <d v="2024-04-01T00:00:00"/>
    <d v="1951-01-03T00:00:00"/>
    <n v="75"/>
    <x v="0"/>
    <x v="5"/>
    <x v="0"/>
    <x v="0"/>
    <s v="Neurology"/>
    <s v="Outpatient"/>
    <n v="4061.12"/>
    <n v="1162.75"/>
    <n v="724.29"/>
    <n v="938.42"/>
    <x v="0"/>
    <x v="3"/>
    <x v="4"/>
    <s v="E66 8PN"/>
    <n v="1"/>
    <n v="19"/>
    <n v="6886.58"/>
    <n v="362.45157894736843"/>
    <s v="March"/>
    <s v="2024"/>
    <s v="Mar 2024"/>
    <s v="Wednesday"/>
    <x v="1"/>
    <s v="Daniel Thomas"/>
    <s v="Male"/>
    <x v="0"/>
  </r>
  <r>
    <x v="159"/>
    <x v="143"/>
    <d v="2024-02-29T00:00:00"/>
    <d v="1988-05-13T00:00:00"/>
    <n v="38"/>
    <x v="2"/>
    <x v="0"/>
    <x v="2"/>
    <x v="2"/>
    <s v="Respiratory"/>
    <s v="Emergency"/>
    <n v="411.31"/>
    <n v="1543.82"/>
    <n v="0"/>
    <n v="0"/>
    <x v="2"/>
    <x v="1"/>
    <x v="9"/>
    <s v="SW90 7DU"/>
    <n v="5"/>
    <n v="3"/>
    <n v="1955.1299999999999"/>
    <n v="651.70999999999992"/>
    <s v="February"/>
    <s v="2024"/>
    <s v="Feb 2024"/>
    <s v="Monday"/>
    <x v="2"/>
    <s v="Freya Evans"/>
    <s v="Female"/>
    <x v="1"/>
  </r>
  <r>
    <x v="160"/>
    <x v="144"/>
    <d v="2025-07-17T00:00:00"/>
    <d v="1969-02-26T00:00:00"/>
    <n v="57"/>
    <x v="1"/>
    <x v="0"/>
    <x v="6"/>
    <x v="3"/>
    <s v="Neurology"/>
    <s v="Outpatient"/>
    <n v="4050.72"/>
    <n v="1288.29"/>
    <n v="120.7"/>
    <n v="9163.83"/>
    <x v="0"/>
    <x v="6"/>
    <x v="2"/>
    <s v="M87 9EX"/>
    <n v="1"/>
    <n v="10"/>
    <n v="14623.54"/>
    <n v="1462.354"/>
    <s v="July"/>
    <s v="2025"/>
    <s v="Jul 2025"/>
    <s v="Monday"/>
    <x v="2"/>
    <s v="Arthur H Taylor"/>
    <s v="Male"/>
    <x v="2"/>
  </r>
  <r>
    <x v="161"/>
    <x v="145"/>
    <d v="2024-11-14T00:00:00"/>
    <d v="1956-11-02T00:00:00"/>
    <n v="69"/>
    <x v="2"/>
    <x v="2"/>
    <x v="6"/>
    <x v="3"/>
    <s v="Cardiology"/>
    <s v="Outpatient"/>
    <n v="2357.12"/>
    <n v="878.4"/>
    <n v="496.42"/>
    <n v="6059.22"/>
    <x v="2"/>
    <x v="2"/>
    <x v="0"/>
    <s v="SW16 9EK"/>
    <n v="10"/>
    <n v="4"/>
    <n v="9791.16"/>
    <n v="2447.79"/>
    <s v="November"/>
    <s v="2024"/>
    <s v="Nov 2024"/>
    <s v="Sunday"/>
    <x v="1"/>
    <s v="Grace Robinson"/>
    <s v="Female"/>
    <x v="3"/>
  </r>
  <r>
    <x v="162"/>
    <x v="146"/>
    <d v="2024-02-16T00:00:00"/>
    <d v="1973-04-19T00:00:00"/>
    <n v="53"/>
    <x v="0"/>
    <x v="5"/>
    <x v="8"/>
    <x v="0"/>
    <s v="Emergency"/>
    <s v="Outpatient"/>
    <n v="5002"/>
    <n v="1073.5999999999999"/>
    <n v="697.56"/>
    <n v="11194.67"/>
    <x v="0"/>
    <x v="0"/>
    <x v="7"/>
    <s v="N27 3UI"/>
    <n v="5"/>
    <n v="5"/>
    <n v="17967.830000000002"/>
    <n v="3593.5660000000003"/>
    <s v="February"/>
    <s v="2024"/>
    <s v="Feb 2024"/>
    <s v="Sunday"/>
    <x v="2"/>
    <s v="David R Wood"/>
    <s v="Male"/>
    <x v="3"/>
  </r>
  <r>
    <x v="163"/>
    <x v="29"/>
    <d v="2025-08-02T00:00:00"/>
    <d v="1967-07-01T00:00:00"/>
    <n v="58"/>
    <x v="1"/>
    <x v="8"/>
    <x v="7"/>
    <x v="0"/>
    <s v="Oncology"/>
    <s v="Inpatient"/>
    <n v="2455.96"/>
    <n v="550.71"/>
    <n v="2621.19"/>
    <n v="2029.86"/>
    <x v="2"/>
    <x v="8"/>
    <x v="5"/>
    <s v="N15 3VP"/>
    <n v="9"/>
    <n v="8"/>
    <n v="7657.72"/>
    <n v="957.21500000000003"/>
    <s v="July"/>
    <s v="2025"/>
    <s v="Jul 2025"/>
    <s v="Friday"/>
    <x v="2"/>
    <s v="Ella T Robinson"/>
    <s v="Female"/>
    <x v="2"/>
  </r>
  <r>
    <x v="164"/>
    <x v="147"/>
    <d v="2025-07-10T00:00:00"/>
    <d v="1951-12-02T00:00:00"/>
    <n v="74"/>
    <x v="0"/>
    <x v="3"/>
    <x v="5"/>
    <x v="0"/>
    <s v="Orthopedics"/>
    <s v="Outpatient"/>
    <n v="4073.43"/>
    <n v="919.25"/>
    <n v="429.51"/>
    <n v="2174.9899999999998"/>
    <x v="2"/>
    <x v="9"/>
    <x v="1"/>
    <s v="SW30 2HX"/>
    <n v="8"/>
    <n v="6"/>
    <n v="7597.18"/>
    <n v="1266.1966666666667"/>
    <s v="July"/>
    <s v="2025"/>
    <s v="Jul 2025"/>
    <s v="Friday"/>
    <x v="1"/>
    <s v="Henry Brown"/>
    <s v="Male"/>
    <x v="3"/>
  </r>
  <r>
    <x v="165"/>
    <x v="148"/>
    <d v="2025-04-20T00:00:00"/>
    <d v="1969-06-05T00:00:00"/>
    <n v="57"/>
    <x v="2"/>
    <x v="9"/>
    <x v="2"/>
    <x v="3"/>
    <s v="Orthopedics"/>
    <s v="Emergency"/>
    <n v="1932.16"/>
    <n v="1757.14"/>
    <n v="250.22"/>
    <n v="15061.77"/>
    <x v="3"/>
    <x v="1"/>
    <x v="8"/>
    <s v="N38 3ZZ"/>
    <n v="1"/>
    <n v="7"/>
    <n v="19001.29"/>
    <n v="2714.4700000000003"/>
    <s v="April"/>
    <s v="2025"/>
    <s v="Apr 2025"/>
    <s v="Sunday"/>
    <x v="2"/>
    <s v="Amelia Robinson"/>
    <s v="Female"/>
    <x v="3"/>
  </r>
  <r>
    <x v="166"/>
    <x v="20"/>
    <d v="2024-12-15T00:00:00"/>
    <d v="1992-04-08T00:00:00"/>
    <n v="34"/>
    <x v="3"/>
    <x v="5"/>
    <x v="1"/>
    <x v="3"/>
    <s v="Neurology"/>
    <s v="Inpatient"/>
    <n v="1898.27"/>
    <n v="636.95000000000005"/>
    <n v="2488.83"/>
    <n v="12587.79"/>
    <x v="3"/>
    <x v="3"/>
    <x v="2"/>
    <s v="M62 2OP"/>
    <n v="3"/>
    <n v="14"/>
    <n v="17611.84"/>
    <n v="1257.9885714285715"/>
    <s v="December"/>
    <s v="2024"/>
    <s v="Dec 2024"/>
    <s v="Sunday"/>
    <x v="0"/>
    <s v="Arthur Wilson"/>
    <s v="Male"/>
    <x v="2"/>
  </r>
  <r>
    <x v="167"/>
    <x v="149"/>
    <d v="2024-06-29T00:00:00"/>
    <d v="1975-11-10T00:00:00"/>
    <n v="50"/>
    <x v="3"/>
    <x v="0"/>
    <x v="1"/>
    <x v="1"/>
    <s v="Emergency"/>
    <s v="Outpatient"/>
    <n v="2923.58"/>
    <n v="157.74"/>
    <n v="2026.18"/>
    <n v="14089.67"/>
    <x v="0"/>
    <x v="7"/>
    <x v="1"/>
    <s v="M89 6QB"/>
    <n v="7"/>
    <n v="15"/>
    <n v="19197.169999999998"/>
    <n v="1279.8113333333333"/>
    <s v="June"/>
    <s v="2024"/>
    <s v="Jun 2024"/>
    <s v="Friday"/>
    <x v="2"/>
    <s v="Freya Thomas"/>
    <s v="Female"/>
    <x v="0"/>
  </r>
  <r>
    <x v="168"/>
    <x v="150"/>
    <d v="2025-05-11T00:00:00"/>
    <d v="1952-07-12T00:00:00"/>
    <n v="73"/>
    <x v="2"/>
    <x v="4"/>
    <x v="4"/>
    <x v="1"/>
    <s v="Emergency"/>
    <s v="Inpatient"/>
    <n v="3854.62"/>
    <n v="1139.48"/>
    <n v="2416.9299999999998"/>
    <n v="1910.81"/>
    <x v="2"/>
    <x v="7"/>
    <x v="4"/>
    <s v="N97 4KL"/>
    <n v="4"/>
    <n v="20"/>
    <n v="9321.84"/>
    <n v="466.09199999999998"/>
    <s v="April"/>
    <s v="2025"/>
    <s v="Apr 2025"/>
    <s v="Monday"/>
    <x v="1"/>
    <s v="Daniel Wilson"/>
    <s v="Male"/>
    <x v="0"/>
  </r>
  <r>
    <x v="169"/>
    <x v="103"/>
    <d v="2025-11-23T00:00:00"/>
    <d v="1973-10-12T00:00:00"/>
    <n v="52"/>
    <x v="3"/>
    <x v="4"/>
    <x v="7"/>
    <x v="2"/>
    <s v="Pediatrics"/>
    <s v="Outpatient"/>
    <n v="3809.77"/>
    <n v="77.58"/>
    <n v="1739.79"/>
    <n v="8610.7000000000007"/>
    <x v="2"/>
    <x v="9"/>
    <x v="3"/>
    <s v="M20 4QU"/>
    <n v="5"/>
    <n v="3"/>
    <n v="14237.84"/>
    <n v="4745.9466666666667"/>
    <s v="November"/>
    <s v="2025"/>
    <s v="Nov 2025"/>
    <s v="Thursday"/>
    <x v="2"/>
    <s v="Freya Wilson"/>
    <s v="Female"/>
    <x v="1"/>
  </r>
  <r>
    <x v="170"/>
    <x v="151"/>
    <d v="2025-06-27T00:00:00"/>
    <d v="2000-04-27T00:00:00"/>
    <n v="26"/>
    <x v="1"/>
    <x v="8"/>
    <x v="3"/>
    <x v="2"/>
    <s v="Oncology"/>
    <s v="Surgery"/>
    <n v="1488.18"/>
    <n v="613.11"/>
    <n v="2100.34"/>
    <n v="8925.2099999999991"/>
    <x v="1"/>
    <x v="4"/>
    <x v="3"/>
    <s v="SW30 8LJ"/>
    <n v="9"/>
    <n v="11"/>
    <n v="13126.84"/>
    <n v="1193.3490909090908"/>
    <s v="June"/>
    <s v="2025"/>
    <s v="Jun 2025"/>
    <s v="Monday"/>
    <x v="0"/>
    <s v="Lucas Thomas"/>
    <s v="Male"/>
    <x v="2"/>
  </r>
  <r>
    <x v="171"/>
    <x v="12"/>
    <d v="2024-02-23T00:00:00"/>
    <d v="1955-04-04T00:00:00"/>
    <n v="71"/>
    <x v="2"/>
    <x v="6"/>
    <x v="1"/>
    <x v="0"/>
    <s v="Oncology"/>
    <s v="Surgery"/>
    <n v="4671.5600000000004"/>
    <n v="730.36"/>
    <n v="946.25"/>
    <n v="3060.29"/>
    <x v="3"/>
    <x v="5"/>
    <x v="3"/>
    <s v="B39 2AM"/>
    <n v="1"/>
    <n v="11"/>
    <n v="9408.4599999999991"/>
    <n v="855.3145454545454"/>
    <s v="February"/>
    <s v="2024"/>
    <s v="Feb 2024"/>
    <s v="Monday"/>
    <x v="1"/>
    <s v="Ava Robinson"/>
    <s v="Female"/>
    <x v="2"/>
  </r>
  <r>
    <x v="172"/>
    <x v="80"/>
    <d v="2025-08-15T00:00:00"/>
    <d v="2002-05-25T00:00:00"/>
    <n v="24"/>
    <x v="0"/>
    <x v="10"/>
    <x v="1"/>
    <x v="1"/>
    <s v="Cardiology"/>
    <s v="Outpatient"/>
    <n v="2395.5700000000002"/>
    <n v="217.92"/>
    <n v="2883.23"/>
    <n v="10584.43"/>
    <x v="1"/>
    <x v="2"/>
    <x v="0"/>
    <s v="B29 8LC"/>
    <n v="8"/>
    <n v="5"/>
    <n v="16081.150000000001"/>
    <n v="3216.2300000000005"/>
    <s v="August"/>
    <s v="2025"/>
    <s v="Aug 2025"/>
    <s v="Sunday"/>
    <x v="0"/>
    <s v="Benjamin W Martin"/>
    <s v="Male"/>
    <x v="3"/>
  </r>
  <r>
    <x v="173"/>
    <x v="152"/>
    <d v="2025-05-28T00:00:00"/>
    <d v="1977-07-07T00:00:00"/>
    <n v="48"/>
    <x v="0"/>
    <x v="8"/>
    <x v="1"/>
    <x v="0"/>
    <s v="Respiratory"/>
    <s v="Outpatient"/>
    <n v="3644.86"/>
    <n v="874.98"/>
    <n v="1692.79"/>
    <n v="14428"/>
    <x v="1"/>
    <x v="7"/>
    <x v="7"/>
    <s v="B12 4XO"/>
    <n v="7"/>
    <n v="11"/>
    <n v="20640.63"/>
    <n v="1876.4209090909092"/>
    <s v="May"/>
    <s v="2025"/>
    <s v="May 2025"/>
    <s v="Saturday"/>
    <x v="2"/>
    <s v="Grace V Martin"/>
    <s v="Female"/>
    <x v="2"/>
  </r>
  <r>
    <x v="174"/>
    <x v="153"/>
    <d v="2025-07-02T00:00:00"/>
    <d v="1958-05-16T00:00:00"/>
    <n v="68"/>
    <x v="1"/>
    <x v="3"/>
    <x v="8"/>
    <x v="1"/>
    <s v="Pediatrics"/>
    <s v="Emergency"/>
    <n v="135.4"/>
    <n v="681.8"/>
    <n v="412.66"/>
    <n v="4204.84"/>
    <x v="0"/>
    <x v="5"/>
    <x v="3"/>
    <s v="M38 9PB"/>
    <n v="5"/>
    <n v="11"/>
    <n v="5434.7"/>
    <n v="494.06363636363636"/>
    <s v="June"/>
    <s v="2025"/>
    <s v="Jun 2025"/>
    <s v="Saturday"/>
    <x v="1"/>
    <s v="Ethan Q Walker"/>
    <s v="Male"/>
    <x v="2"/>
  </r>
  <r>
    <x v="175"/>
    <x v="154"/>
    <d v="2025-03-09T00:00:00"/>
    <d v="1986-11-10T00:00:00"/>
    <n v="39"/>
    <x v="2"/>
    <x v="7"/>
    <x v="6"/>
    <x v="1"/>
    <s v="Cardiology"/>
    <s v="Outpatient"/>
    <n v="2764.1"/>
    <n v="1445.77"/>
    <n v="614.47"/>
    <n v="10087.51"/>
    <x v="2"/>
    <x v="7"/>
    <x v="0"/>
    <s v="SW81 8WD"/>
    <n v="8"/>
    <n v="6"/>
    <n v="14911.85"/>
    <n v="2485.3083333333334"/>
    <s v="March"/>
    <s v="2025"/>
    <s v="Mar 2025"/>
    <s v="Monday"/>
    <x v="2"/>
    <s v="Mia Walker"/>
    <s v="Female"/>
    <x v="3"/>
  </r>
  <r>
    <x v="176"/>
    <x v="155"/>
    <d v="2025-10-25T00:00:00"/>
    <d v="1962-06-14T00:00:00"/>
    <n v="63"/>
    <x v="0"/>
    <x v="2"/>
    <x v="4"/>
    <x v="1"/>
    <s v="Oncology"/>
    <s v="Outpatient"/>
    <n v="4113.2"/>
    <n v="1951.54"/>
    <n v="2173.38"/>
    <n v="9270.42"/>
    <x v="2"/>
    <x v="6"/>
    <x v="6"/>
    <s v="SW88 6DR"/>
    <n v="3"/>
    <n v="12"/>
    <n v="17508.54"/>
    <n v="1459.0450000000001"/>
    <s v="October"/>
    <s v="2025"/>
    <s v="Oct 2025"/>
    <s v="Monday"/>
    <x v="1"/>
    <s v="Arthur Smith"/>
    <s v="Male"/>
    <x v="2"/>
  </r>
  <r>
    <x v="177"/>
    <x v="156"/>
    <d v="2024-07-29T00:00:00"/>
    <d v="1954-09-08T00:00:00"/>
    <n v="71"/>
    <x v="0"/>
    <x v="8"/>
    <x v="1"/>
    <x v="2"/>
    <s v="Pediatrics"/>
    <s v="Inpatient"/>
    <n v="1334.8"/>
    <n v="655.27"/>
    <n v="0"/>
    <n v="0"/>
    <x v="2"/>
    <x v="6"/>
    <x v="8"/>
    <s v="N57 9YK"/>
    <n v="2"/>
    <n v="18"/>
    <n v="1990.07"/>
    <n v="110.55944444444444"/>
    <s v="July"/>
    <s v="2024"/>
    <s v="Jul 2024"/>
    <s v="Thursday"/>
    <x v="1"/>
    <s v="Emma Hall"/>
    <s v="Female"/>
    <x v="0"/>
  </r>
  <r>
    <x v="178"/>
    <x v="157"/>
    <d v="2024-04-27T00:00:00"/>
    <d v="1972-12-25T00:00:00"/>
    <n v="53"/>
    <x v="3"/>
    <x v="1"/>
    <x v="4"/>
    <x v="3"/>
    <s v="Orthopedics"/>
    <s v="Surgery"/>
    <n v="2466.88"/>
    <n v="749.61"/>
    <n v="864.78"/>
    <n v="1069.78"/>
    <x v="2"/>
    <x v="8"/>
    <x v="6"/>
    <s v="E97 2ZD"/>
    <n v="9"/>
    <n v="3"/>
    <n v="5151.05"/>
    <n v="1717.0166666666667"/>
    <s v="April"/>
    <s v="2024"/>
    <s v="Apr 2024"/>
    <s v="Wednesday"/>
    <x v="2"/>
    <s v="Leo Walker"/>
    <s v="Male"/>
    <x v="1"/>
  </r>
  <r>
    <x v="179"/>
    <x v="158"/>
    <d v="2024-02-01T00:00:00"/>
    <d v="1951-10-25T00:00:00"/>
    <n v="74"/>
    <x v="2"/>
    <x v="2"/>
    <x v="7"/>
    <x v="0"/>
    <s v="Emergency"/>
    <s v="Outpatient"/>
    <n v="2686.36"/>
    <n v="270.99"/>
    <n v="2250.4299999999998"/>
    <n v="7289.85"/>
    <x v="3"/>
    <x v="0"/>
    <x v="4"/>
    <s v="N57 2FL"/>
    <n v="2"/>
    <n v="17"/>
    <n v="12497.630000000001"/>
    <n v="735.15470588235303"/>
    <s v="January"/>
    <s v="2024"/>
    <s v="Jan 2024"/>
    <s v="Monday"/>
    <x v="1"/>
    <s v="Sarah Brown"/>
    <s v="Female"/>
    <x v="0"/>
  </r>
  <r>
    <x v="180"/>
    <x v="146"/>
    <d v="2024-02-14T00:00:00"/>
    <d v="1990-05-18T00:00:00"/>
    <n v="36"/>
    <x v="2"/>
    <x v="3"/>
    <x v="2"/>
    <x v="0"/>
    <s v="Neurology"/>
    <s v="Emergency"/>
    <n v="807.92"/>
    <n v="848.03"/>
    <n v="2582.62"/>
    <n v="9721.5499999999993"/>
    <x v="0"/>
    <x v="9"/>
    <x v="1"/>
    <s v="M87 6FA"/>
    <n v="8"/>
    <n v="3"/>
    <n v="13960.119999999999"/>
    <n v="4653.373333333333"/>
    <s v="February"/>
    <s v="2024"/>
    <s v="Feb 2024"/>
    <s v="Sunday"/>
    <x v="2"/>
    <s v="Noah Thomas"/>
    <s v="Male"/>
    <x v="1"/>
  </r>
  <r>
    <x v="181"/>
    <x v="159"/>
    <d v="2024-12-19T00:00:00"/>
    <d v="1949-06-07T00:00:00"/>
    <n v="77"/>
    <x v="2"/>
    <x v="2"/>
    <x v="1"/>
    <x v="3"/>
    <s v="Respiratory"/>
    <s v="Inpatient"/>
    <n v="2052.84"/>
    <n v="296.49"/>
    <n v="1861.52"/>
    <n v="5096.34"/>
    <x v="3"/>
    <x v="1"/>
    <x v="7"/>
    <s v="B52 8QI"/>
    <n v="5"/>
    <n v="7"/>
    <n v="9307.19"/>
    <n v="1329.5985714285714"/>
    <s v="December"/>
    <s v="2024"/>
    <s v="Dec 2024"/>
    <s v="Thursday"/>
    <x v="1"/>
    <s v="Amelia Walker"/>
    <s v="Female"/>
    <x v="3"/>
  </r>
  <r>
    <x v="182"/>
    <x v="160"/>
    <d v="2024-07-15T00:00:00"/>
    <d v="1976-11-01T00:00:00"/>
    <n v="49"/>
    <x v="2"/>
    <x v="11"/>
    <x v="1"/>
    <x v="2"/>
    <s v="Cardiology"/>
    <s v="Inpatient"/>
    <n v="3226.26"/>
    <n v="94.64"/>
    <n v="429.11"/>
    <n v="7235.12"/>
    <x v="2"/>
    <x v="9"/>
    <x v="2"/>
    <s v="SW70 6ZR"/>
    <n v="9"/>
    <n v="13"/>
    <n v="10985.130000000001"/>
    <n v="845.0100000000001"/>
    <s v="July"/>
    <s v="2024"/>
    <s v="Jul 2024"/>
    <s v="Tuesday"/>
    <x v="2"/>
    <s v="Lucas R Hall"/>
    <s v="Male"/>
    <x v="2"/>
  </r>
  <r>
    <x v="183"/>
    <x v="161"/>
    <d v="2024-11-28T00:00:00"/>
    <d v="1976-07-05T00:00:00"/>
    <n v="49"/>
    <x v="3"/>
    <x v="5"/>
    <x v="6"/>
    <x v="1"/>
    <s v="Pediatrics"/>
    <s v="Inpatient"/>
    <n v="1233.69"/>
    <n v="774.48"/>
    <n v="2808.38"/>
    <n v="1551.46"/>
    <x v="0"/>
    <x v="4"/>
    <x v="6"/>
    <s v="M76 7TV"/>
    <n v="9"/>
    <n v="13"/>
    <n v="6368.01"/>
    <n v="489.84692307692308"/>
    <s v="November"/>
    <s v="2024"/>
    <s v="Nov 2024"/>
    <s v="Friday"/>
    <x v="2"/>
    <s v="Sarah C Wilson"/>
    <s v="Female"/>
    <x v="2"/>
  </r>
  <r>
    <x v="184"/>
    <x v="162"/>
    <d v="2024-12-31T00:00:00"/>
    <d v="1969-02-14T00:00:00"/>
    <n v="57"/>
    <x v="3"/>
    <x v="2"/>
    <x v="3"/>
    <x v="0"/>
    <s v="Emergency"/>
    <s v="Inpatient"/>
    <n v="380.58"/>
    <n v="821.52"/>
    <n v="1075.81"/>
    <n v="12371.7"/>
    <x v="3"/>
    <x v="7"/>
    <x v="3"/>
    <s v="E69 6BO"/>
    <n v="10"/>
    <n v="12"/>
    <n v="14649.61"/>
    <n v="1220.8008333333335"/>
    <s v="December"/>
    <s v="2024"/>
    <s v="Dec 2024"/>
    <s v="Thursday"/>
    <x v="2"/>
    <s v="Arthur Thomas"/>
    <s v="Male"/>
    <x v="2"/>
  </r>
  <r>
    <x v="185"/>
    <x v="163"/>
    <d v="2025-12-15T00:00:00"/>
    <d v="1996-08-04T00:00:00"/>
    <n v="29"/>
    <x v="3"/>
    <x v="6"/>
    <x v="2"/>
    <x v="0"/>
    <s v="Orthopedics"/>
    <s v="Inpatient"/>
    <n v="935.19"/>
    <n v="582.36"/>
    <n v="793.48"/>
    <n v="13102.19"/>
    <x v="1"/>
    <x v="2"/>
    <x v="9"/>
    <s v="SW34 1JS"/>
    <n v="6"/>
    <n v="7"/>
    <n v="15413.220000000001"/>
    <n v="2201.8885714285716"/>
    <s v="December"/>
    <s v="2025"/>
    <s v="Dec 2025"/>
    <s v="Monday"/>
    <x v="0"/>
    <s v="Emily Smith"/>
    <s v="Female"/>
    <x v="3"/>
  </r>
  <r>
    <x v="186"/>
    <x v="45"/>
    <d v="2024-03-29T00:00:00"/>
    <d v="1958-06-26T00:00:00"/>
    <n v="67"/>
    <x v="1"/>
    <x v="10"/>
    <x v="9"/>
    <x v="0"/>
    <s v="Pediatrics"/>
    <s v="Emergency"/>
    <n v="642.23"/>
    <n v="789.12"/>
    <n v="910.43"/>
    <n v="10501.62"/>
    <x v="1"/>
    <x v="3"/>
    <x v="2"/>
    <s v="N74 8GV"/>
    <n v="5"/>
    <n v="10"/>
    <n v="12843.400000000001"/>
    <n v="1284.3400000000001"/>
    <s v="March"/>
    <s v="2024"/>
    <s v="Mar 2024"/>
    <s v="Tuesday"/>
    <x v="1"/>
    <s v="Leo Evans"/>
    <s v="Male"/>
    <x v="2"/>
  </r>
  <r>
    <x v="187"/>
    <x v="164"/>
    <d v="2024-11-17T00:00:00"/>
    <d v="1992-11-25T00:00:00"/>
    <n v="33"/>
    <x v="1"/>
    <x v="5"/>
    <x v="3"/>
    <x v="1"/>
    <s v="Respiratory"/>
    <s v="Emergency"/>
    <n v="423.2"/>
    <n v="584.82000000000005"/>
    <n v="2666.36"/>
    <n v="8060.92"/>
    <x v="2"/>
    <x v="5"/>
    <x v="9"/>
    <s v="E20 4AH"/>
    <n v="7"/>
    <n v="14"/>
    <n v="11735.3"/>
    <n v="838.23571428571427"/>
    <s v="November"/>
    <s v="2024"/>
    <s v="Nov 2024"/>
    <s v="Sunday"/>
    <x v="0"/>
    <s v="Charlotte Thomas"/>
    <s v="Female"/>
    <x v="2"/>
  </r>
  <r>
    <x v="188"/>
    <x v="165"/>
    <d v="2025-10-23T00:00:00"/>
    <d v="1987-09-06T00:00:00"/>
    <n v="38"/>
    <x v="3"/>
    <x v="5"/>
    <x v="6"/>
    <x v="1"/>
    <s v="Respiratory"/>
    <s v="Outpatient"/>
    <n v="2699.93"/>
    <n v="1252.8599999999999"/>
    <n v="1395.16"/>
    <n v="10449.280000000001"/>
    <x v="2"/>
    <x v="1"/>
    <x v="3"/>
    <s v="N15 9DQ"/>
    <n v="2"/>
    <n v="2"/>
    <n v="15797.23"/>
    <n v="7898.6149999999998"/>
    <s v="October"/>
    <s v="2025"/>
    <s v="Oct 2025"/>
    <s v="Tuesday"/>
    <x v="2"/>
    <s v="Oliver Thomas"/>
    <s v="Male"/>
    <x v="1"/>
  </r>
  <r>
    <x v="189"/>
    <x v="166"/>
    <d v="2024-07-05T00:00:00"/>
    <d v="1958-03-04T00:00:00"/>
    <n v="68"/>
    <x v="0"/>
    <x v="9"/>
    <x v="0"/>
    <x v="2"/>
    <s v="Cardiology"/>
    <s v="Surgery"/>
    <n v="3162.32"/>
    <n v="1429.1"/>
    <n v="2111.35"/>
    <n v="9939.69"/>
    <x v="2"/>
    <x v="0"/>
    <x v="8"/>
    <s v="M92 6JA"/>
    <n v="2"/>
    <n v="7"/>
    <n v="16642.46"/>
    <n v="2377.4942857142855"/>
    <s v="June"/>
    <s v="2024"/>
    <s v="Jun 2024"/>
    <s v="Friday"/>
    <x v="1"/>
    <s v="Sarah Robinson"/>
    <s v="Female"/>
    <x v="3"/>
  </r>
  <r>
    <x v="190"/>
    <x v="167"/>
    <d v="2024-09-28T00:00:00"/>
    <d v="1969-01-13T00:00:00"/>
    <n v="57"/>
    <x v="2"/>
    <x v="10"/>
    <x v="8"/>
    <x v="1"/>
    <s v="Emergency"/>
    <s v="Outpatient"/>
    <n v="678.19"/>
    <n v="1289.46"/>
    <n v="996.94"/>
    <n v="12203.97"/>
    <x v="1"/>
    <x v="1"/>
    <x v="6"/>
    <s v="E63 8XN"/>
    <n v="3"/>
    <n v="10"/>
    <n v="15168.56"/>
    <n v="1516.856"/>
    <s v="September"/>
    <s v="2024"/>
    <s v="Sep 2024"/>
    <s v="Wednesday"/>
    <x v="2"/>
    <s v="Noah Smith"/>
    <s v="Male"/>
    <x v="2"/>
  </r>
  <r>
    <x v="191"/>
    <x v="168"/>
    <d v="2024-02-29T00:00:00"/>
    <d v="1989-01-25T00:00:00"/>
    <n v="37"/>
    <x v="1"/>
    <x v="7"/>
    <x v="6"/>
    <x v="1"/>
    <s v="Oncology"/>
    <s v="Surgery"/>
    <n v="832.45"/>
    <n v="411.67"/>
    <n v="931.83"/>
    <n v="13880.8"/>
    <x v="0"/>
    <x v="2"/>
    <x v="0"/>
    <s v="SW58 8XE"/>
    <n v="6"/>
    <n v="6"/>
    <n v="16056.75"/>
    <n v="2676.125"/>
    <s v="February"/>
    <s v="2024"/>
    <s v="Feb 2024"/>
    <s v="Friday"/>
    <x v="2"/>
    <s v="Freya G Evans"/>
    <s v="Female"/>
    <x v="3"/>
  </r>
  <r>
    <x v="192"/>
    <x v="169"/>
    <d v="2025-11-13T00:00:00"/>
    <d v="1946-01-18T00:00:00"/>
    <n v="80"/>
    <x v="1"/>
    <x v="1"/>
    <x v="7"/>
    <x v="0"/>
    <s v="Respiratory"/>
    <s v="Inpatient"/>
    <n v="1754.61"/>
    <n v="1724.11"/>
    <n v="1192.1300000000001"/>
    <n v="4890.5600000000004"/>
    <x v="4"/>
    <x v="5"/>
    <x v="8"/>
    <s v="N73 2AW"/>
    <n v="3"/>
    <n v="20"/>
    <n v="9561.41"/>
    <n v="478.07049999999998"/>
    <s v="October"/>
    <s v="2025"/>
    <s v="Oct 2025"/>
    <s v="Friday"/>
    <x v="1"/>
    <s v="Ethan Jones"/>
    <s v="Male"/>
    <x v="0"/>
  </r>
  <r>
    <x v="193"/>
    <x v="170"/>
    <d v="2024-08-19T00:00:00"/>
    <d v="1969-03-14T00:00:00"/>
    <n v="57"/>
    <x v="2"/>
    <x v="3"/>
    <x v="7"/>
    <x v="0"/>
    <s v="Oncology"/>
    <s v="Emergency"/>
    <n v="3311.85"/>
    <n v="1556.86"/>
    <n v="1781.04"/>
    <n v="11965.22"/>
    <x v="4"/>
    <x v="4"/>
    <x v="8"/>
    <s v="B88 8CA"/>
    <n v="3"/>
    <n v="20"/>
    <n v="18614.97"/>
    <n v="930.74850000000004"/>
    <s v="July"/>
    <s v="2024"/>
    <s v="Jul 2024"/>
    <s v="Tuesday"/>
    <x v="2"/>
    <s v="Amelia L Wilson"/>
    <s v="Female"/>
    <x v="0"/>
  </r>
  <r>
    <x v="194"/>
    <x v="171"/>
    <d v="2024-12-14T00:00:00"/>
    <d v="1980-01-02T00:00:00"/>
    <n v="46"/>
    <x v="1"/>
    <x v="6"/>
    <x v="6"/>
    <x v="0"/>
    <s v="General Medicine"/>
    <s v="Outpatient"/>
    <n v="4488.29"/>
    <n v="558.84"/>
    <n v="96.37"/>
    <n v="2285.3200000000002"/>
    <x v="2"/>
    <x v="5"/>
    <x v="5"/>
    <s v="B23 5FQ"/>
    <n v="10"/>
    <n v="8"/>
    <n v="7428.82"/>
    <n v="928.60249999999996"/>
    <s v="December"/>
    <s v="2024"/>
    <s v="Dec 2024"/>
    <s v="Friday"/>
    <x v="2"/>
    <s v="Henry Hall"/>
    <s v="Male"/>
    <x v="2"/>
  </r>
  <r>
    <x v="195"/>
    <x v="172"/>
    <d v="2025-01-18T00:00:00"/>
    <d v="1976-05-24T00:00:00"/>
    <n v="50"/>
    <x v="1"/>
    <x v="6"/>
    <x v="0"/>
    <x v="3"/>
    <s v="Cardiology"/>
    <s v="Surgery"/>
    <n v="3686.6"/>
    <n v="1899.36"/>
    <n v="2198.3000000000002"/>
    <n v="3884.96"/>
    <x v="1"/>
    <x v="5"/>
    <x v="7"/>
    <s v="E25 3BH"/>
    <n v="3"/>
    <n v="14"/>
    <n v="11669.220000000001"/>
    <n v="833.51571428571435"/>
    <s v="January"/>
    <s v="2025"/>
    <s v="Jan 2025"/>
    <s v="Saturday"/>
    <x v="2"/>
    <s v="Charlotte H Thomas"/>
    <s v="Female"/>
    <x v="2"/>
  </r>
  <r>
    <x v="196"/>
    <x v="173"/>
    <d v="2025-05-26T00:00:00"/>
    <d v="1967-12-18T00:00:00"/>
    <n v="58"/>
    <x v="0"/>
    <x v="7"/>
    <x v="6"/>
    <x v="3"/>
    <s v="Emergency"/>
    <s v="Outpatient"/>
    <n v="960.74"/>
    <n v="87.21"/>
    <n v="590.96"/>
    <n v="13585.11"/>
    <x v="3"/>
    <x v="1"/>
    <x v="4"/>
    <s v="N75 1QY"/>
    <n v="4"/>
    <n v="15"/>
    <n v="15224.02"/>
    <n v="1014.9346666666667"/>
    <s v="May"/>
    <s v="2025"/>
    <s v="May 2025"/>
    <s v="Sunday"/>
    <x v="2"/>
    <s v="Leo White"/>
    <s v="Male"/>
    <x v="0"/>
  </r>
  <r>
    <x v="197"/>
    <x v="174"/>
    <d v="2024-12-02T00:00:00"/>
    <d v="1968-10-04T00:00:00"/>
    <n v="57"/>
    <x v="2"/>
    <x v="2"/>
    <x v="4"/>
    <x v="1"/>
    <s v="General Medicine"/>
    <s v="Inpatient"/>
    <n v="3233.26"/>
    <n v="550.9"/>
    <n v="1971.84"/>
    <n v="10415.9"/>
    <x v="0"/>
    <x v="6"/>
    <x v="4"/>
    <s v="N28 1ZU"/>
    <n v="7"/>
    <n v="5"/>
    <n v="16171.9"/>
    <n v="3234.38"/>
    <s v="November"/>
    <s v="2024"/>
    <s v="Nov 2024"/>
    <s v="Wednesday"/>
    <x v="2"/>
    <s v="Lily White"/>
    <s v="Female"/>
    <x v="3"/>
  </r>
  <r>
    <x v="198"/>
    <x v="175"/>
    <d v="2025-02-14T00:00:00"/>
    <d v="1946-04-06T00:00:00"/>
    <n v="80"/>
    <x v="1"/>
    <x v="2"/>
    <x v="0"/>
    <x v="0"/>
    <s v="Respiratory"/>
    <s v="Emergency"/>
    <n v="3177.39"/>
    <n v="940.53"/>
    <n v="572.85"/>
    <n v="2734.49"/>
    <x v="3"/>
    <x v="7"/>
    <x v="1"/>
    <s v="SW66 4PO"/>
    <n v="7"/>
    <n v="13"/>
    <n v="7425.26"/>
    <n v="571.17384615384617"/>
    <s v="February"/>
    <s v="2025"/>
    <s v="Feb 2025"/>
    <s v="Saturday"/>
    <x v="1"/>
    <s v="Arthur Hall"/>
    <s v="Male"/>
    <x v="2"/>
  </r>
  <r>
    <x v="199"/>
    <x v="176"/>
    <d v="2025-12-01T00:00:00"/>
    <d v="1977-06-15T00:00:00"/>
    <n v="48"/>
    <x v="1"/>
    <x v="0"/>
    <x v="5"/>
    <x v="2"/>
    <s v="Neurology"/>
    <s v="Inpatient"/>
    <n v="920.47"/>
    <n v="1523.42"/>
    <n v="1286.82"/>
    <n v="9290.91"/>
    <x v="2"/>
    <x v="6"/>
    <x v="6"/>
    <s v="N67 7JS"/>
    <n v="2"/>
    <n v="8"/>
    <n v="13021.619999999999"/>
    <n v="1627.7024999999999"/>
    <s v="November"/>
    <s v="2025"/>
    <s v="Nov 2025"/>
    <s v="Sunday"/>
    <x v="2"/>
    <s v="Sarah White"/>
    <s v="Female"/>
    <x v="2"/>
  </r>
  <r>
    <x v="200"/>
    <x v="177"/>
    <d v="2025-05-31T00:00:00"/>
    <d v="1961-10-03T00:00:00"/>
    <n v="64"/>
    <x v="2"/>
    <x v="0"/>
    <x v="8"/>
    <x v="3"/>
    <s v="Oncology"/>
    <s v="Surgery"/>
    <n v="3706.44"/>
    <n v="50.75"/>
    <n v="1663.53"/>
    <n v="15453.41"/>
    <x v="3"/>
    <x v="1"/>
    <x v="7"/>
    <s v="B34 6ZF"/>
    <n v="7"/>
    <n v="1"/>
    <n v="20874.13"/>
    <n v="20874.13"/>
    <s v="May"/>
    <s v="2025"/>
    <s v="May 2025"/>
    <s v="Friday"/>
    <x v="1"/>
    <s v="Lucas Z Thompson"/>
    <s v="Male"/>
    <x v="1"/>
  </r>
  <r>
    <x v="201"/>
    <x v="42"/>
    <d v="2025-12-22T00:00:00"/>
    <d v="1986-08-15T00:00:00"/>
    <n v="39"/>
    <x v="1"/>
    <x v="1"/>
    <x v="1"/>
    <x v="3"/>
    <s v="Orthopedics"/>
    <s v="Outpatient"/>
    <n v="3910.82"/>
    <n v="885.09"/>
    <n v="2945.38"/>
    <n v="2210.92"/>
    <x v="1"/>
    <x v="9"/>
    <x v="5"/>
    <s v="N4 4PU"/>
    <n v="7"/>
    <n v="13"/>
    <n v="9952.2099999999991"/>
    <n v="765.55461538461532"/>
    <s v="December"/>
    <s v="2025"/>
    <s v="Dec 2025"/>
    <s v="Tuesday"/>
    <x v="2"/>
    <s v="Freya Hall"/>
    <s v="Female"/>
    <x v="2"/>
  </r>
  <r>
    <x v="202"/>
    <x v="173"/>
    <d v="2025-05-27T00:00:00"/>
    <d v="1992-12-15T00:00:00"/>
    <n v="33"/>
    <x v="2"/>
    <x v="5"/>
    <x v="4"/>
    <x v="0"/>
    <s v="Emergency"/>
    <s v="Emergency"/>
    <n v="4428.8999999999996"/>
    <n v="1215.79"/>
    <n v="1313.94"/>
    <n v="5013.29"/>
    <x v="4"/>
    <x v="5"/>
    <x v="7"/>
    <s v="B77 9JB"/>
    <n v="4"/>
    <n v="16"/>
    <n v="11971.919999999998"/>
    <n v="748.24499999999989"/>
    <s v="May"/>
    <s v="2025"/>
    <s v="May 2025"/>
    <s v="Sunday"/>
    <x v="0"/>
    <s v="Henry Jones"/>
    <s v="Male"/>
    <x v="0"/>
  </r>
  <r>
    <x v="203"/>
    <x v="178"/>
    <d v="2025-05-03T00:00:00"/>
    <d v="2002-11-14T00:00:00"/>
    <n v="23"/>
    <x v="1"/>
    <x v="6"/>
    <x v="6"/>
    <x v="0"/>
    <s v="Oncology"/>
    <s v="Emergency"/>
    <n v="3130.6"/>
    <n v="1705.55"/>
    <n v="2950.62"/>
    <n v="8162.08"/>
    <x v="0"/>
    <x v="7"/>
    <x v="9"/>
    <s v="B88 6TW"/>
    <n v="3"/>
    <n v="4"/>
    <n v="15948.849999999999"/>
    <n v="3987.2124999999996"/>
    <s v="April"/>
    <s v="2025"/>
    <s v="Apr 2025"/>
    <s v="Tuesday"/>
    <x v="0"/>
    <s v="Ava White"/>
    <s v="Female"/>
    <x v="3"/>
  </r>
  <r>
    <x v="204"/>
    <x v="179"/>
    <d v="2024-04-14T00:00:00"/>
    <d v="1963-12-24T00:00:00"/>
    <n v="62"/>
    <x v="3"/>
    <x v="2"/>
    <x v="5"/>
    <x v="2"/>
    <s v="Neurology"/>
    <s v="Emergency"/>
    <n v="1144.2"/>
    <n v="1028.8900000000001"/>
    <n v="542.35"/>
    <n v="2984.56"/>
    <x v="0"/>
    <x v="4"/>
    <x v="6"/>
    <s v="SW87 3FQ"/>
    <n v="8"/>
    <n v="16"/>
    <n v="5700"/>
    <n v="356.25"/>
    <s v="March"/>
    <s v="2024"/>
    <s v="Mar 2024"/>
    <s v="Friday"/>
    <x v="1"/>
    <s v="Henry M Wilson"/>
    <s v="Male"/>
    <x v="0"/>
  </r>
  <r>
    <x v="205"/>
    <x v="180"/>
    <d v="2025-08-02T00:00:00"/>
    <d v="1994-01-25T00:00:00"/>
    <n v="32"/>
    <x v="3"/>
    <x v="7"/>
    <x v="5"/>
    <x v="3"/>
    <s v="Neurology"/>
    <s v="Surgery"/>
    <n v="3792.2"/>
    <n v="1076.6300000000001"/>
    <n v="2948.04"/>
    <n v="3800.35"/>
    <x v="2"/>
    <x v="0"/>
    <x v="4"/>
    <s v="E72 1QD"/>
    <n v="8"/>
    <n v="9"/>
    <n v="11617.22"/>
    <n v="1290.8022222222221"/>
    <s v="July"/>
    <s v="2025"/>
    <s v="Jul 2025"/>
    <s v="Thursday"/>
    <x v="0"/>
    <s v="Chloe Smith"/>
    <s v="Female"/>
    <x v="2"/>
  </r>
  <r>
    <x v="206"/>
    <x v="181"/>
    <d v="2024-05-25T00:00:00"/>
    <d v="1986-06-11T00:00:00"/>
    <n v="40"/>
    <x v="0"/>
    <x v="4"/>
    <x v="7"/>
    <x v="0"/>
    <s v="Orthopedics"/>
    <s v="Emergency"/>
    <n v="3953.18"/>
    <n v="1116.73"/>
    <n v="1137.48"/>
    <n v="8191.02"/>
    <x v="2"/>
    <x v="8"/>
    <x v="0"/>
    <s v="SW81 4EY"/>
    <n v="8"/>
    <n v="4"/>
    <n v="14398.41"/>
    <n v="3599.6025"/>
    <s v="May"/>
    <s v="2024"/>
    <s v="May 2024"/>
    <s v="Tuesday"/>
    <x v="2"/>
    <s v="Leo Clarke"/>
    <s v="Male"/>
    <x v="3"/>
  </r>
  <r>
    <x v="207"/>
    <x v="182"/>
    <d v="2024-01-28T00:00:00"/>
    <d v="1973-03-25T00:00:00"/>
    <n v="53"/>
    <x v="1"/>
    <x v="7"/>
    <x v="8"/>
    <x v="2"/>
    <s v="General Medicine"/>
    <s v="Inpatient"/>
    <n v="4484.04"/>
    <n v="355.01"/>
    <n v="0"/>
    <n v="0"/>
    <x v="1"/>
    <x v="4"/>
    <x v="5"/>
    <s v="B38 7MV"/>
    <n v="3"/>
    <n v="17"/>
    <n v="4839.05"/>
    <n v="284.65000000000003"/>
    <s v="January"/>
    <s v="2024"/>
    <s v="Jan 2024"/>
    <s v="Thursday"/>
    <x v="2"/>
    <s v="Olivia O Martin"/>
    <s v="Female"/>
    <x v="0"/>
  </r>
  <r>
    <x v="208"/>
    <x v="183"/>
    <d v="2025-10-10T00:00:00"/>
    <d v="2001-09-20T00:00:00"/>
    <n v="24"/>
    <x v="1"/>
    <x v="6"/>
    <x v="2"/>
    <x v="1"/>
    <s v="General Medicine"/>
    <s v="Inpatient"/>
    <n v="4582.25"/>
    <n v="555.61"/>
    <n v="946.1"/>
    <n v="1846.32"/>
    <x v="4"/>
    <x v="8"/>
    <x v="2"/>
    <s v="SW28 2QR"/>
    <n v="2"/>
    <n v="15"/>
    <n v="7930.28"/>
    <n v="528.68533333333335"/>
    <s v="September"/>
    <s v="2025"/>
    <s v="Sep 2025"/>
    <s v="Thursday"/>
    <x v="0"/>
    <s v="Noah Robinson"/>
    <s v="Male"/>
    <x v="0"/>
  </r>
  <r>
    <x v="209"/>
    <x v="113"/>
    <d v="2024-03-14T00:00:00"/>
    <d v="1977-02-24T00:00:00"/>
    <n v="49"/>
    <x v="1"/>
    <x v="4"/>
    <x v="0"/>
    <x v="1"/>
    <s v="Pediatrics"/>
    <s v="Outpatient"/>
    <n v="2138.52"/>
    <n v="1106.1199999999999"/>
    <n v="2810.13"/>
    <n v="12580.67"/>
    <x v="2"/>
    <x v="7"/>
    <x v="4"/>
    <s v="B92 9TH"/>
    <n v="8"/>
    <n v="12"/>
    <n v="18635.440000000002"/>
    <n v="1552.9533333333336"/>
    <s v="March"/>
    <s v="2024"/>
    <s v="Mar 2024"/>
    <s v="Saturday"/>
    <x v="2"/>
    <s v="Chloe Jones"/>
    <s v="Female"/>
    <x v="2"/>
  </r>
  <r>
    <x v="210"/>
    <x v="184"/>
    <d v="2025-03-25T00:00:00"/>
    <d v="1951-03-23T00:00:00"/>
    <n v="75"/>
    <x v="2"/>
    <x v="8"/>
    <x v="8"/>
    <x v="0"/>
    <s v="Emergency"/>
    <s v="Outpatient"/>
    <n v="3861.94"/>
    <n v="1487.66"/>
    <n v="629.63"/>
    <n v="8913.1200000000008"/>
    <x v="0"/>
    <x v="8"/>
    <x v="4"/>
    <s v="M82 7OW"/>
    <n v="8"/>
    <n v="14"/>
    <n v="14892.350000000002"/>
    <n v="1063.7392857142859"/>
    <s v="March"/>
    <s v="2025"/>
    <s v="Mar 2025"/>
    <s v="Tuesday"/>
    <x v="1"/>
    <s v="James V Brown"/>
    <s v="Male"/>
    <x v="2"/>
  </r>
  <r>
    <x v="211"/>
    <x v="185"/>
    <d v="2024-06-27T00:00:00"/>
    <d v="1974-08-02T00:00:00"/>
    <n v="51"/>
    <x v="0"/>
    <x v="2"/>
    <x v="2"/>
    <x v="3"/>
    <s v="Emergency"/>
    <s v="Surgery"/>
    <n v="4104.21"/>
    <n v="1158.43"/>
    <n v="513.09"/>
    <n v="5359.58"/>
    <x v="0"/>
    <x v="6"/>
    <x v="6"/>
    <s v="SW63 1ZE"/>
    <n v="10"/>
    <n v="18"/>
    <n v="11135.310000000001"/>
    <n v="618.62833333333344"/>
    <s v="June"/>
    <s v="2024"/>
    <s v="Jun 2024"/>
    <s v="Sunday"/>
    <x v="2"/>
    <s v="Olivia Green"/>
    <s v="Female"/>
    <x v="0"/>
  </r>
  <r>
    <x v="212"/>
    <x v="95"/>
    <d v="2025-08-17T00:00:00"/>
    <d v="1975-10-10T00:00:00"/>
    <n v="50"/>
    <x v="0"/>
    <x v="1"/>
    <x v="2"/>
    <x v="1"/>
    <s v="Cardiology"/>
    <s v="Surgery"/>
    <n v="1526.72"/>
    <n v="1222.51"/>
    <n v="667.48"/>
    <n v="11170.53"/>
    <x v="3"/>
    <x v="5"/>
    <x v="4"/>
    <s v="B53 7HM"/>
    <n v="8"/>
    <n v="15"/>
    <n v="14587.240000000002"/>
    <n v="972.48266666666677"/>
    <s v="August"/>
    <s v="2025"/>
    <s v="Aug 2025"/>
    <s v="Saturday"/>
    <x v="2"/>
    <s v="Noah C Walker"/>
    <s v="Male"/>
    <x v="0"/>
  </r>
  <r>
    <x v="213"/>
    <x v="186"/>
    <d v="2024-08-05T00:00:00"/>
    <d v="1986-09-03T00:00:00"/>
    <n v="39"/>
    <x v="3"/>
    <x v="8"/>
    <x v="9"/>
    <x v="1"/>
    <s v="Emergency"/>
    <s v="Inpatient"/>
    <n v="324"/>
    <n v="409.75"/>
    <n v="2049.2600000000002"/>
    <n v="9413.9699999999993"/>
    <x v="3"/>
    <x v="2"/>
    <x v="9"/>
    <s v="N91 8CZ"/>
    <n v="1"/>
    <n v="20"/>
    <n v="12196.98"/>
    <n v="609.84899999999993"/>
    <s v="July"/>
    <s v="2024"/>
    <s v="Jul 2024"/>
    <s v="Tuesday"/>
    <x v="2"/>
    <s v="Lily Walker"/>
    <s v="Female"/>
    <x v="0"/>
  </r>
  <r>
    <x v="214"/>
    <x v="187"/>
    <d v="2024-04-29T00:00:00"/>
    <d v="1961-02-04T00:00:00"/>
    <n v="65"/>
    <x v="1"/>
    <x v="10"/>
    <x v="5"/>
    <x v="0"/>
    <s v="General Medicine"/>
    <s v="Emergency"/>
    <n v="544.26"/>
    <n v="1589.85"/>
    <n v="711.68"/>
    <n v="14960.5"/>
    <x v="2"/>
    <x v="7"/>
    <x v="5"/>
    <s v="SW50 2KE"/>
    <n v="7"/>
    <n v="18"/>
    <n v="17806.29"/>
    <n v="989.23833333333334"/>
    <s v="April"/>
    <s v="2024"/>
    <s v="Apr 2024"/>
    <s v="Thursday"/>
    <x v="1"/>
    <s v="Noah Green"/>
    <s v="Male"/>
    <x v="0"/>
  </r>
  <r>
    <x v="215"/>
    <x v="89"/>
    <d v="2024-05-06T00:00:00"/>
    <d v="1977-09-13T00:00:00"/>
    <n v="48"/>
    <x v="3"/>
    <x v="3"/>
    <x v="4"/>
    <x v="3"/>
    <s v="Oncology"/>
    <s v="Outpatient"/>
    <n v="3667.14"/>
    <n v="1178.5899999999999"/>
    <n v="2035.89"/>
    <n v="13557.16"/>
    <x v="2"/>
    <x v="4"/>
    <x v="2"/>
    <s v="N39 7OC"/>
    <n v="5"/>
    <n v="9"/>
    <n v="20438.78"/>
    <n v="2270.9755555555553"/>
    <s v="April"/>
    <s v="2024"/>
    <s v="Apr 2024"/>
    <s v="Saturday"/>
    <x v="2"/>
    <s v="Amelia A Thompson"/>
    <s v="Female"/>
    <x v="2"/>
  </r>
  <r>
    <x v="216"/>
    <x v="188"/>
    <d v="2025-11-05T00:00:00"/>
    <d v="2006-10-10T00:00:00"/>
    <n v="19"/>
    <x v="0"/>
    <x v="10"/>
    <x v="4"/>
    <x v="0"/>
    <s v="Neurology"/>
    <s v="Surgery"/>
    <n v="4330.74"/>
    <n v="715.2"/>
    <n v="1228.79"/>
    <n v="15320.96"/>
    <x v="0"/>
    <x v="8"/>
    <x v="3"/>
    <s v="B73 2JC"/>
    <n v="7"/>
    <n v="6"/>
    <n v="21595.69"/>
    <n v="3599.2816666666663"/>
    <s v="October"/>
    <s v="2025"/>
    <s v="Oct 2025"/>
    <s v="Thursday"/>
    <x v="0"/>
    <s v="Michael Walker"/>
    <s v="Male"/>
    <x v="3"/>
  </r>
  <r>
    <x v="217"/>
    <x v="189"/>
    <d v="2024-10-14T00:00:00"/>
    <d v="1993-12-15T00:00:00"/>
    <n v="32"/>
    <x v="3"/>
    <x v="0"/>
    <x v="2"/>
    <x v="2"/>
    <s v="Neurology"/>
    <s v="Inpatient"/>
    <n v="3813.22"/>
    <n v="790.6"/>
    <n v="206.4"/>
    <n v="14948.06"/>
    <x v="1"/>
    <x v="3"/>
    <x v="3"/>
    <s v="M72 8YM"/>
    <n v="0"/>
    <n v="8"/>
    <n v="19758.28"/>
    <n v="2469.7849999999999"/>
    <s v="October"/>
    <s v="2024"/>
    <s v="Oct 2024"/>
    <s v="Sunday"/>
    <x v="0"/>
    <s v="Sophia B Walker"/>
    <s v="Female"/>
    <x v="2"/>
  </r>
  <r>
    <x v="218"/>
    <x v="190"/>
    <d v="2025-12-15T00:00:00"/>
    <d v="1969-03-27T00:00:00"/>
    <n v="57"/>
    <x v="1"/>
    <x v="1"/>
    <x v="8"/>
    <x v="1"/>
    <s v="Cardiology"/>
    <s v="Emergency"/>
    <n v="1812.71"/>
    <n v="1732.92"/>
    <n v="110.15"/>
    <n v="12741.97"/>
    <x v="0"/>
    <x v="7"/>
    <x v="4"/>
    <s v="SW92 4HP"/>
    <n v="1"/>
    <n v="1"/>
    <n v="16397.75"/>
    <n v="16397.75"/>
    <s v="December"/>
    <s v="2025"/>
    <s v="Dec 2025"/>
    <s v="Sunday"/>
    <x v="2"/>
    <s v="Michael L Hall"/>
    <s v="Male"/>
    <x v="1"/>
  </r>
  <r>
    <x v="219"/>
    <x v="108"/>
    <d v="2024-07-11T00:00:00"/>
    <d v="1981-09-16T00:00:00"/>
    <n v="44"/>
    <x v="0"/>
    <x v="3"/>
    <x v="7"/>
    <x v="0"/>
    <s v="Cardiology"/>
    <s v="Inpatient"/>
    <n v="3727.43"/>
    <n v="866.7"/>
    <n v="375.82"/>
    <n v="15427.76"/>
    <x v="3"/>
    <x v="9"/>
    <x v="5"/>
    <s v="B79 5VR"/>
    <n v="2"/>
    <n v="18"/>
    <n v="20397.71"/>
    <n v="1133.2061111111111"/>
    <s v="June"/>
    <s v="2024"/>
    <s v="Jun 2024"/>
    <s v="Sunday"/>
    <x v="2"/>
    <s v="Ella N Thompson"/>
    <s v="Female"/>
    <x v="0"/>
  </r>
  <r>
    <x v="220"/>
    <x v="191"/>
    <d v="2024-02-22T00:00:00"/>
    <d v="1968-09-25T00:00:00"/>
    <n v="57"/>
    <x v="1"/>
    <x v="4"/>
    <x v="4"/>
    <x v="1"/>
    <s v="Neurology"/>
    <s v="Inpatient"/>
    <n v="355.25"/>
    <n v="1348.75"/>
    <n v="1345.52"/>
    <n v="8794.9500000000007"/>
    <x v="0"/>
    <x v="1"/>
    <x v="0"/>
    <s v="E32 4FK"/>
    <n v="4"/>
    <n v="8"/>
    <n v="11844.470000000001"/>
    <n v="1480.5587500000001"/>
    <s v="February"/>
    <s v="2024"/>
    <s v="Feb 2024"/>
    <s v="Wednesday"/>
    <x v="2"/>
    <s v="Benjamin M Wilson"/>
    <s v="Male"/>
    <x v="2"/>
  </r>
  <r>
    <x v="221"/>
    <x v="192"/>
    <d v="2024-12-16T00:00:00"/>
    <d v="1951-08-08T00:00:00"/>
    <n v="74"/>
    <x v="3"/>
    <x v="10"/>
    <x v="2"/>
    <x v="2"/>
    <s v="Respiratory"/>
    <s v="Surgery"/>
    <n v="648.17999999999995"/>
    <n v="161.96"/>
    <n v="2568.96"/>
    <n v="11132.19"/>
    <x v="2"/>
    <x v="6"/>
    <x v="0"/>
    <s v="SW89 2ZE"/>
    <n v="2"/>
    <n v="2"/>
    <n v="14511.29"/>
    <n v="7255.6450000000004"/>
    <s v="December"/>
    <s v="2024"/>
    <s v="Dec 2024"/>
    <s v="Saturday"/>
    <x v="1"/>
    <s v="Freya Martin"/>
    <s v="Female"/>
    <x v="1"/>
  </r>
  <r>
    <x v="222"/>
    <x v="193"/>
    <d v="2025-03-04T00:00:00"/>
    <d v="1970-02-20T00:00:00"/>
    <n v="56"/>
    <x v="3"/>
    <x v="11"/>
    <x v="1"/>
    <x v="2"/>
    <s v="Neurology"/>
    <s v="Outpatient"/>
    <n v="4293.63"/>
    <n v="906.07"/>
    <n v="1668.42"/>
    <n v="10016.98"/>
    <x v="0"/>
    <x v="2"/>
    <x v="2"/>
    <s v="SW76 4DD"/>
    <n v="7"/>
    <n v="8"/>
    <n v="16885.099999999999"/>
    <n v="2110.6374999999998"/>
    <s v="February"/>
    <s v="2025"/>
    <s v="Feb 2025"/>
    <s v="Monday"/>
    <x v="2"/>
    <s v="Daniel Smith"/>
    <s v="Male"/>
    <x v="2"/>
  </r>
  <r>
    <x v="223"/>
    <x v="194"/>
    <d v="2024-02-17T00:00:00"/>
    <d v="1960-03-26T00:00:00"/>
    <n v="66"/>
    <x v="0"/>
    <x v="8"/>
    <x v="5"/>
    <x v="2"/>
    <s v="Emergency"/>
    <s v="Outpatient"/>
    <n v="1826.53"/>
    <n v="728.47"/>
    <n v="1382.37"/>
    <n v="4422.55"/>
    <x v="1"/>
    <x v="4"/>
    <x v="8"/>
    <s v="E67 3BH"/>
    <n v="9"/>
    <n v="2"/>
    <n v="8359.92"/>
    <n v="4179.96"/>
    <s v="February"/>
    <s v="2024"/>
    <s v="Feb 2024"/>
    <s v="Thursday"/>
    <x v="1"/>
    <s v="Ella A Hall"/>
    <s v="Female"/>
    <x v="1"/>
  </r>
  <r>
    <x v="224"/>
    <x v="195"/>
    <d v="2025-09-03T00:00:00"/>
    <d v="1983-12-11T00:00:00"/>
    <n v="42"/>
    <x v="1"/>
    <x v="11"/>
    <x v="2"/>
    <x v="1"/>
    <s v="Emergency"/>
    <s v="Emergency"/>
    <n v="191.28"/>
    <n v="188.89"/>
    <n v="524.42999999999995"/>
    <n v="4344.08"/>
    <x v="3"/>
    <x v="0"/>
    <x v="4"/>
    <s v="N31 8XY"/>
    <n v="1"/>
    <n v="19"/>
    <n v="5248.68"/>
    <n v="276.24631578947373"/>
    <s v="August"/>
    <s v="2025"/>
    <s v="Aug 2025"/>
    <s v="Friday"/>
    <x v="2"/>
    <s v="Samuel Martin"/>
    <s v="Male"/>
    <x v="0"/>
  </r>
  <r>
    <x v="225"/>
    <x v="196"/>
    <d v="2025-10-27T00:00:00"/>
    <d v="1963-08-07T00:00:00"/>
    <n v="62"/>
    <x v="1"/>
    <x v="9"/>
    <x v="2"/>
    <x v="3"/>
    <s v="Emergency"/>
    <s v="Surgery"/>
    <n v="2103.96"/>
    <n v="815.05"/>
    <n v="884.78"/>
    <n v="4249.07"/>
    <x v="2"/>
    <x v="1"/>
    <x v="9"/>
    <s v="E23 5DA"/>
    <n v="3"/>
    <n v="19"/>
    <n v="8052.86"/>
    <n v="423.83473684210526"/>
    <s v="October"/>
    <s v="2025"/>
    <s v="Oct 2025"/>
    <s v="Wednesday"/>
    <x v="1"/>
    <s v="Grace C Hall"/>
    <s v="Female"/>
    <x v="0"/>
  </r>
  <r>
    <x v="226"/>
    <x v="197"/>
    <d v="2024-07-20T00:00:00"/>
    <d v="1952-03-05T00:00:00"/>
    <n v="74"/>
    <x v="0"/>
    <x v="9"/>
    <x v="9"/>
    <x v="0"/>
    <s v="Orthopedics"/>
    <s v="Emergency"/>
    <n v="647.74"/>
    <n v="851.57"/>
    <n v="2679.45"/>
    <n v="14122.5"/>
    <x v="0"/>
    <x v="1"/>
    <x v="8"/>
    <s v="N7 5EQ"/>
    <n v="1"/>
    <n v="7"/>
    <n v="18301.260000000002"/>
    <n v="2614.4657142857145"/>
    <s v="July"/>
    <s v="2024"/>
    <s v="Jul 2024"/>
    <s v="Saturday"/>
    <x v="1"/>
    <s v="Ethan Thompson"/>
    <s v="Male"/>
    <x v="3"/>
  </r>
  <r>
    <x v="227"/>
    <x v="198"/>
    <d v="2024-12-07T00:00:00"/>
    <d v="1978-08-06T00:00:00"/>
    <n v="47"/>
    <x v="1"/>
    <x v="3"/>
    <x v="9"/>
    <x v="0"/>
    <s v="Emergency"/>
    <s v="Outpatient"/>
    <n v="4618.4799999999996"/>
    <n v="1563.2"/>
    <n v="2016.83"/>
    <n v="14676.11"/>
    <x v="0"/>
    <x v="2"/>
    <x v="9"/>
    <s v="M31 7GJ"/>
    <n v="7"/>
    <n v="12"/>
    <n v="22874.62"/>
    <n v="1906.2183333333332"/>
    <s v="November"/>
    <s v="2024"/>
    <s v="Nov 2024"/>
    <s v="Monday"/>
    <x v="2"/>
    <s v="Charlotte Thompson"/>
    <s v="Female"/>
    <x v="2"/>
  </r>
  <r>
    <x v="228"/>
    <x v="150"/>
    <d v="2025-05-08T00:00:00"/>
    <d v="1959-10-02T00:00:00"/>
    <n v="66"/>
    <x v="1"/>
    <x v="8"/>
    <x v="1"/>
    <x v="2"/>
    <s v="Pediatrics"/>
    <s v="Inpatient"/>
    <n v="467.6"/>
    <n v="712.83"/>
    <n v="1761.75"/>
    <n v="2513.35"/>
    <x v="0"/>
    <x v="0"/>
    <x v="1"/>
    <s v="SW11 5QQ"/>
    <n v="8"/>
    <n v="17"/>
    <n v="5455.5300000000007"/>
    <n v="320.91352941176473"/>
    <s v="April"/>
    <s v="2025"/>
    <s v="Apr 2025"/>
    <s v="Monday"/>
    <x v="1"/>
    <s v="Ethan X Wilson"/>
    <s v="Male"/>
    <x v="0"/>
  </r>
  <r>
    <x v="229"/>
    <x v="199"/>
    <d v="2025-12-09T00:00:00"/>
    <d v="1964-12-27T00:00:00"/>
    <n v="61"/>
    <x v="2"/>
    <x v="7"/>
    <x v="7"/>
    <x v="0"/>
    <s v="Orthopedics"/>
    <s v="Outpatient"/>
    <n v="4986.6000000000004"/>
    <n v="1594.44"/>
    <n v="161.01"/>
    <n v="8506.7199999999993"/>
    <x v="1"/>
    <x v="0"/>
    <x v="5"/>
    <s v="M84 9YE"/>
    <n v="5"/>
    <n v="9"/>
    <n v="15248.77"/>
    <n v="1694.3077777777778"/>
    <s v="November"/>
    <s v="2025"/>
    <s v="Nov 2025"/>
    <s v="Sunday"/>
    <x v="1"/>
    <s v="Freya Q Robinson"/>
    <s v="Female"/>
    <x v="2"/>
  </r>
  <r>
    <x v="230"/>
    <x v="156"/>
    <d v="2024-07-25T00:00:00"/>
    <d v="1995-02-11T00:00:00"/>
    <n v="31"/>
    <x v="0"/>
    <x v="2"/>
    <x v="3"/>
    <x v="1"/>
    <s v="General Medicine"/>
    <s v="Inpatient"/>
    <n v="1254.3699999999999"/>
    <n v="2020.71"/>
    <n v="1597.9"/>
    <n v="10584.36"/>
    <x v="2"/>
    <x v="2"/>
    <x v="9"/>
    <s v="M55 7YY"/>
    <n v="3"/>
    <n v="14"/>
    <n v="15457.34"/>
    <n v="1104.0957142857144"/>
    <s v="July"/>
    <s v="2024"/>
    <s v="Jul 2024"/>
    <s v="Thursday"/>
    <x v="0"/>
    <s v="Daniel K Hall"/>
    <s v="Male"/>
    <x v="2"/>
  </r>
  <r>
    <x v="231"/>
    <x v="200"/>
    <d v="2025-07-14T00:00:00"/>
    <d v="1958-07-03T00:00:00"/>
    <n v="67"/>
    <x v="2"/>
    <x v="10"/>
    <x v="7"/>
    <x v="3"/>
    <s v="Pediatrics"/>
    <s v="Inpatient"/>
    <n v="4348.1000000000004"/>
    <n v="731.99"/>
    <n v="2756.47"/>
    <n v="8006.45"/>
    <x v="0"/>
    <x v="3"/>
    <x v="3"/>
    <s v="N9 7JG"/>
    <n v="2"/>
    <n v="13"/>
    <n v="15843.009999999998"/>
    <n v="1218.6930769230769"/>
    <s v="July"/>
    <s v="2025"/>
    <s v="Jul 2025"/>
    <s v="Tuesday"/>
    <x v="1"/>
    <s v="Isabella Robinson"/>
    <s v="Female"/>
    <x v="2"/>
  </r>
  <r>
    <x v="232"/>
    <x v="201"/>
    <d v="2025-07-17T00:00:00"/>
    <d v="1955-02-05T00:00:00"/>
    <n v="71"/>
    <x v="0"/>
    <x v="7"/>
    <x v="6"/>
    <x v="2"/>
    <s v="Oncology"/>
    <s v="Inpatient"/>
    <n v="2174.59"/>
    <n v="1912.46"/>
    <n v="669.04"/>
    <n v="14408.24"/>
    <x v="3"/>
    <x v="5"/>
    <x v="9"/>
    <s v="B92 8IG"/>
    <n v="5"/>
    <n v="14"/>
    <n v="19164.330000000002"/>
    <n v="1368.8807142857145"/>
    <s v="July"/>
    <s v="2025"/>
    <s v="Jul 2025"/>
    <s v="Thursday"/>
    <x v="1"/>
    <s v="Samuel Thomas"/>
    <s v="Male"/>
    <x v="2"/>
  </r>
  <r>
    <x v="233"/>
    <x v="202"/>
    <d v="2024-04-13T00:00:00"/>
    <d v="1974-10-02T00:00:00"/>
    <n v="51"/>
    <x v="2"/>
    <x v="11"/>
    <x v="6"/>
    <x v="2"/>
    <s v="Orthopedics"/>
    <s v="Surgery"/>
    <n v="2557.67"/>
    <n v="190.9"/>
    <n v="1712.3"/>
    <n v="15587.08"/>
    <x v="1"/>
    <x v="8"/>
    <x v="0"/>
    <s v="N90 2MW"/>
    <n v="3"/>
    <n v="10"/>
    <n v="20047.95"/>
    <n v="2004.7950000000001"/>
    <s v="April"/>
    <s v="2024"/>
    <s v="Apr 2024"/>
    <s v="Wednesday"/>
    <x v="2"/>
    <s v="Olivia Hall"/>
    <s v="Female"/>
    <x v="2"/>
  </r>
  <r>
    <x v="234"/>
    <x v="203"/>
    <d v="2025-01-15T00:00:00"/>
    <d v="1971-09-04T00:00:00"/>
    <n v="54"/>
    <x v="2"/>
    <x v="5"/>
    <x v="8"/>
    <x v="1"/>
    <s v="Neurology"/>
    <s v="Surgery"/>
    <n v="4117.1400000000003"/>
    <n v="216.42"/>
    <n v="1913.48"/>
    <n v="12230.68"/>
    <x v="0"/>
    <x v="8"/>
    <x v="8"/>
    <s v="M25 7BA"/>
    <n v="4"/>
    <n v="3"/>
    <n v="18477.72"/>
    <n v="6159.2400000000007"/>
    <s v="January"/>
    <s v="2025"/>
    <s v="Jan 2025"/>
    <s v="Sunday"/>
    <x v="2"/>
    <s v="Ethan Green"/>
    <s v="Male"/>
    <x v="1"/>
  </r>
  <r>
    <x v="235"/>
    <x v="204"/>
    <d v="2024-10-18T00:00:00"/>
    <d v="1953-08-27T00:00:00"/>
    <n v="72"/>
    <x v="0"/>
    <x v="9"/>
    <x v="5"/>
    <x v="2"/>
    <s v="Respiratory"/>
    <s v="Inpatient"/>
    <n v="3742.24"/>
    <n v="31.43"/>
    <n v="0"/>
    <n v="0"/>
    <x v="3"/>
    <x v="6"/>
    <x v="7"/>
    <s v="SW23 4WB"/>
    <n v="7"/>
    <n v="6"/>
    <n v="3773.6699999999996"/>
    <n v="628.94499999999994"/>
    <s v="October"/>
    <s v="2024"/>
    <s v="Oct 2024"/>
    <s v="Saturday"/>
    <x v="1"/>
    <s v="Amelia White"/>
    <s v="Female"/>
    <x v="3"/>
  </r>
  <r>
    <x v="236"/>
    <x v="57"/>
    <d v="2024-09-08T00:00:00"/>
    <d v="2004-04-12T00:00:00"/>
    <n v="22"/>
    <x v="3"/>
    <x v="0"/>
    <x v="8"/>
    <x v="1"/>
    <s v="General Medicine"/>
    <s v="Outpatient"/>
    <n v="4576.51"/>
    <n v="902.04"/>
    <n v="142.71"/>
    <n v="10941.12"/>
    <x v="2"/>
    <x v="3"/>
    <x v="3"/>
    <s v="N6 7QD"/>
    <n v="4"/>
    <n v="7"/>
    <n v="16562.38"/>
    <n v="2366.0542857142859"/>
    <s v="September"/>
    <s v="2024"/>
    <s v="Sep 2024"/>
    <s v="Sunday"/>
    <x v="0"/>
    <s v="Benjamin Robinson"/>
    <s v="Male"/>
    <x v="3"/>
  </r>
  <r>
    <x v="237"/>
    <x v="205"/>
    <d v="2024-01-29T00:00:00"/>
    <d v="1967-06-06T00:00:00"/>
    <n v="59"/>
    <x v="1"/>
    <x v="5"/>
    <x v="2"/>
    <x v="3"/>
    <s v="Pediatrics"/>
    <s v="Surgery"/>
    <n v="1221.2"/>
    <n v="1359.09"/>
    <n v="1951.01"/>
    <n v="11532.32"/>
    <x v="3"/>
    <x v="1"/>
    <x v="6"/>
    <s v="B64 2WR"/>
    <n v="5"/>
    <n v="13"/>
    <n v="16063.619999999999"/>
    <n v="1235.6630769230769"/>
    <s v="January"/>
    <s v="2024"/>
    <s v="Jan 2024"/>
    <s v="Tuesday"/>
    <x v="2"/>
    <s v="Isabella Brown"/>
    <s v="Female"/>
    <x v="2"/>
  </r>
  <r>
    <x v="238"/>
    <x v="206"/>
    <d v="2025-10-04T00:00:00"/>
    <d v="1949-06-01T00:00:00"/>
    <n v="77"/>
    <x v="0"/>
    <x v="3"/>
    <x v="6"/>
    <x v="1"/>
    <s v="Respiratory"/>
    <s v="Outpatient"/>
    <n v="433.81"/>
    <n v="1534.9"/>
    <n v="2170.75"/>
    <n v="3359.75"/>
    <x v="3"/>
    <x v="7"/>
    <x v="0"/>
    <s v="N80 2BE"/>
    <n v="1"/>
    <n v="19"/>
    <n v="7499.21"/>
    <n v="394.69526315789471"/>
    <s v="September"/>
    <s v="2025"/>
    <s v="Sep 2025"/>
    <s v="Monday"/>
    <x v="1"/>
    <s v="Daniel Robinson"/>
    <s v="Male"/>
    <x v="0"/>
  </r>
  <r>
    <x v="239"/>
    <x v="165"/>
    <d v="2025-10-23T00:00:00"/>
    <d v="1953-05-11T00:00:00"/>
    <n v="73"/>
    <x v="1"/>
    <x v="0"/>
    <x v="9"/>
    <x v="0"/>
    <s v="Cardiology"/>
    <s v="Emergency"/>
    <n v="589.44000000000005"/>
    <n v="355.91"/>
    <n v="169.9"/>
    <n v="2599.66"/>
    <x v="1"/>
    <x v="1"/>
    <x v="9"/>
    <s v="B49 9KF"/>
    <n v="6"/>
    <n v="2"/>
    <n v="3714.91"/>
    <n v="1857.4549999999999"/>
    <s v="October"/>
    <s v="2025"/>
    <s v="Oct 2025"/>
    <s v="Tuesday"/>
    <x v="1"/>
    <s v="Olivia Z Hall"/>
    <s v="Female"/>
    <x v="1"/>
  </r>
  <r>
    <x v="240"/>
    <x v="9"/>
    <d v="2024-08-05T00:00:00"/>
    <d v="1956-10-18T00:00:00"/>
    <n v="69"/>
    <x v="0"/>
    <x v="7"/>
    <x v="9"/>
    <x v="0"/>
    <s v="Emergency"/>
    <s v="Emergency"/>
    <n v="3726.03"/>
    <n v="1745.69"/>
    <n v="1341.42"/>
    <n v="8153.7"/>
    <x v="0"/>
    <x v="8"/>
    <x v="7"/>
    <s v="N35 8CL"/>
    <n v="4"/>
    <n v="8"/>
    <n v="14966.84"/>
    <n v="1870.855"/>
    <s v="July"/>
    <s v="2024"/>
    <s v="Jul 2024"/>
    <s v="Sunday"/>
    <x v="1"/>
    <s v="Benjamin O Thompson"/>
    <s v="Male"/>
    <x v="2"/>
  </r>
  <r>
    <x v="241"/>
    <x v="207"/>
    <d v="2024-04-05T00:00:00"/>
    <d v="1993-07-14T00:00:00"/>
    <n v="32"/>
    <x v="3"/>
    <x v="2"/>
    <x v="1"/>
    <x v="2"/>
    <s v="General Medicine"/>
    <s v="Emergency"/>
    <n v="3194.4"/>
    <n v="682.05"/>
    <n v="1141.05"/>
    <n v="8252.2800000000007"/>
    <x v="3"/>
    <x v="5"/>
    <x v="3"/>
    <s v="M26 3GA"/>
    <n v="5"/>
    <n v="10"/>
    <n v="13269.78"/>
    <n v="1326.9780000000001"/>
    <s v="March"/>
    <s v="2024"/>
    <s v="Mar 2024"/>
    <s v="Tuesday"/>
    <x v="0"/>
    <s v="Mia V Wood"/>
    <s v="Female"/>
    <x v="2"/>
  </r>
  <r>
    <x v="242"/>
    <x v="208"/>
    <d v="2025-02-17T00:00:00"/>
    <d v="2001-01-04T00:00:00"/>
    <n v="25"/>
    <x v="2"/>
    <x v="5"/>
    <x v="5"/>
    <x v="2"/>
    <s v="Oncology"/>
    <s v="Emergency"/>
    <n v="2186.21"/>
    <n v="2002.13"/>
    <n v="1527.96"/>
    <n v="11805.37"/>
    <x v="1"/>
    <x v="7"/>
    <x v="9"/>
    <s v="N62 1LU"/>
    <n v="8"/>
    <n v="19"/>
    <n v="17521.670000000002"/>
    <n v="922.19315789473694"/>
    <s v="January"/>
    <s v="2025"/>
    <s v="Jan 2025"/>
    <s v="Wednesday"/>
    <x v="0"/>
    <s v="James Clarke"/>
    <s v="Male"/>
    <x v="0"/>
  </r>
  <r>
    <x v="243"/>
    <x v="209"/>
    <d v="2026-01-11T00:00:00"/>
    <d v="1952-02-21T00:00:00"/>
    <n v="74"/>
    <x v="2"/>
    <x v="7"/>
    <x v="3"/>
    <x v="1"/>
    <s v="Oncology"/>
    <s v="Outpatient"/>
    <n v="2623.64"/>
    <n v="404.82"/>
    <n v="2263.9899999999998"/>
    <n v="13156.97"/>
    <x v="2"/>
    <x v="7"/>
    <x v="6"/>
    <s v="M97 2DU"/>
    <n v="7"/>
    <n v="13"/>
    <n v="18449.419999999998"/>
    <n v="1419.1861538461537"/>
    <s v="December"/>
    <s v="2025"/>
    <s v="Dec 2025"/>
    <s v="Monday"/>
    <x v="1"/>
    <s v="Lily V White"/>
    <s v="Female"/>
    <x v="2"/>
  </r>
  <r>
    <x v="244"/>
    <x v="153"/>
    <d v="2025-07-05T00:00:00"/>
    <d v="1949-12-14T00:00:00"/>
    <n v="76"/>
    <x v="1"/>
    <x v="9"/>
    <x v="0"/>
    <x v="3"/>
    <s v="Pediatrics"/>
    <s v="Emergency"/>
    <n v="1080.8399999999999"/>
    <n v="363.99"/>
    <n v="883.4"/>
    <n v="11682.97"/>
    <x v="1"/>
    <x v="9"/>
    <x v="9"/>
    <s v="E96 3ZY"/>
    <n v="4"/>
    <n v="14"/>
    <n v="14011.199999999999"/>
    <n v="1000.8"/>
    <s v="June"/>
    <s v="2025"/>
    <s v="Jun 2025"/>
    <s v="Saturday"/>
    <x v="1"/>
    <s v="Michael Q Robinson"/>
    <s v="Male"/>
    <x v="2"/>
  </r>
  <r>
    <x v="245"/>
    <x v="210"/>
    <d v="2024-12-17T00:00:00"/>
    <d v="1952-05-03T00:00:00"/>
    <n v="74"/>
    <x v="1"/>
    <x v="6"/>
    <x v="1"/>
    <x v="0"/>
    <s v="Respiratory"/>
    <s v="Emergency"/>
    <n v="3009.94"/>
    <n v="1703.98"/>
    <n v="94.11"/>
    <n v="6384.79"/>
    <x v="2"/>
    <x v="4"/>
    <x v="5"/>
    <s v="M78 9YI"/>
    <n v="1"/>
    <n v="1"/>
    <n v="11192.82"/>
    <n v="11192.82"/>
    <s v="December"/>
    <s v="2024"/>
    <s v="Dec 2024"/>
    <s v="Monday"/>
    <x v="1"/>
    <s v="Amelia C Thompson"/>
    <s v="Female"/>
    <x v="1"/>
  </r>
  <r>
    <x v="246"/>
    <x v="211"/>
    <d v="2025-01-10T00:00:00"/>
    <d v="1969-10-02T00:00:00"/>
    <n v="56"/>
    <x v="1"/>
    <x v="2"/>
    <x v="8"/>
    <x v="3"/>
    <s v="Cardiology"/>
    <s v="Inpatient"/>
    <n v="570.96"/>
    <n v="1542.28"/>
    <n v="620.57000000000005"/>
    <n v="11243.21"/>
    <x v="0"/>
    <x v="4"/>
    <x v="7"/>
    <s v="B88 8QN"/>
    <n v="2"/>
    <n v="11"/>
    <n v="13977.019999999999"/>
    <n v="1270.6381818181817"/>
    <s v="December"/>
    <s v="2024"/>
    <s v="Dec 2024"/>
    <s v="Monday"/>
    <x v="2"/>
    <s v="Leo Jones"/>
    <s v="Male"/>
    <x v="2"/>
  </r>
  <r>
    <x v="247"/>
    <x v="212"/>
    <d v="2025-09-22T00:00:00"/>
    <d v="1983-08-13T00:00:00"/>
    <n v="42"/>
    <x v="1"/>
    <x v="6"/>
    <x v="2"/>
    <x v="2"/>
    <s v="Pediatrics"/>
    <s v="Emergency"/>
    <n v="1095.22"/>
    <n v="1139.05"/>
    <n v="2831.71"/>
    <n v="4149.41"/>
    <x v="0"/>
    <x v="3"/>
    <x v="4"/>
    <s v="B5 3PZ"/>
    <n v="2"/>
    <n v="3"/>
    <n v="9215.39"/>
    <n v="3071.7966666666666"/>
    <s v="September"/>
    <s v="2025"/>
    <s v="Sep 2025"/>
    <s v="Friday"/>
    <x v="2"/>
    <s v="Amelia H Robinson"/>
    <s v="Female"/>
    <x v="1"/>
  </r>
  <r>
    <x v="248"/>
    <x v="213"/>
    <d v="2024-04-05T00:00:00"/>
    <d v="1993-11-23T00:00:00"/>
    <n v="32"/>
    <x v="3"/>
    <x v="0"/>
    <x v="3"/>
    <x v="1"/>
    <s v="Orthopedics"/>
    <s v="Inpatient"/>
    <n v="3291.39"/>
    <n v="1655.09"/>
    <n v="1696.63"/>
    <n v="11394.23"/>
    <x v="1"/>
    <x v="2"/>
    <x v="3"/>
    <s v="B82 8CZ"/>
    <n v="4"/>
    <n v="4"/>
    <n v="18037.34"/>
    <n v="4509.335"/>
    <s v="April"/>
    <s v="2024"/>
    <s v="Apr 2024"/>
    <s v="Monday"/>
    <x v="0"/>
    <s v="Henry Martin"/>
    <s v="Male"/>
    <x v="3"/>
  </r>
  <r>
    <x v="249"/>
    <x v="214"/>
    <d v="2024-10-27T00:00:00"/>
    <d v="1959-05-04T00:00:00"/>
    <n v="67"/>
    <x v="3"/>
    <x v="8"/>
    <x v="8"/>
    <x v="1"/>
    <s v="General Medicine"/>
    <s v="Outpatient"/>
    <n v="4594.24"/>
    <n v="674.24"/>
    <n v="582.28"/>
    <n v="2641.31"/>
    <x v="3"/>
    <x v="8"/>
    <x v="5"/>
    <s v="B69 4MN"/>
    <n v="3"/>
    <n v="3"/>
    <n v="8492.07"/>
    <n v="2830.69"/>
    <s v="October"/>
    <s v="2024"/>
    <s v="Oct 2024"/>
    <s v="Thursday"/>
    <x v="1"/>
    <s v="Sophia B Brown"/>
    <s v="Female"/>
    <x v="1"/>
  </r>
  <r>
    <x v="250"/>
    <x v="215"/>
    <d v="2024-06-19T00:00:00"/>
    <d v="1976-11-15T00:00:00"/>
    <n v="49"/>
    <x v="2"/>
    <x v="0"/>
    <x v="0"/>
    <x v="1"/>
    <s v="Oncology"/>
    <s v="Outpatient"/>
    <n v="1651.68"/>
    <n v="1528.59"/>
    <n v="2535.0100000000002"/>
    <n v="12710.73"/>
    <x v="2"/>
    <x v="0"/>
    <x v="9"/>
    <s v="M38 7BZ"/>
    <n v="9"/>
    <n v="20"/>
    <n v="18426.010000000002"/>
    <n v="921.30050000000006"/>
    <s v="May"/>
    <s v="2024"/>
    <s v="May 2024"/>
    <s v="Thursday"/>
    <x v="2"/>
    <s v="James T Clarke"/>
    <s v="Male"/>
    <x v="0"/>
  </r>
  <r>
    <x v="251"/>
    <x v="216"/>
    <d v="2025-03-24T00:00:00"/>
    <d v="1980-07-11T00:00:00"/>
    <n v="45"/>
    <x v="0"/>
    <x v="7"/>
    <x v="2"/>
    <x v="0"/>
    <s v="Respiratory"/>
    <s v="Outpatient"/>
    <n v="1775.53"/>
    <n v="56.11"/>
    <n v="1275.6400000000001"/>
    <n v="4154.1400000000003"/>
    <x v="1"/>
    <x v="7"/>
    <x v="5"/>
    <s v="SW59 3SE"/>
    <n v="4"/>
    <n v="16"/>
    <n v="7261.42"/>
    <n v="453.83875"/>
    <s v="March"/>
    <s v="2025"/>
    <s v="Mar 2025"/>
    <s v="Saturday"/>
    <x v="2"/>
    <s v="Chloe O Taylor"/>
    <s v="Female"/>
    <x v="0"/>
  </r>
  <r>
    <x v="252"/>
    <x v="217"/>
    <d v="2024-06-23T00:00:00"/>
    <d v="1969-07-22T00:00:00"/>
    <n v="56"/>
    <x v="2"/>
    <x v="3"/>
    <x v="8"/>
    <x v="3"/>
    <s v="Emergency"/>
    <s v="Emergency"/>
    <n v="3257.52"/>
    <n v="1379.26"/>
    <n v="628.03"/>
    <n v="15488.2"/>
    <x v="2"/>
    <x v="1"/>
    <x v="5"/>
    <s v="E31 7PJ"/>
    <n v="6"/>
    <n v="2"/>
    <n v="20753.010000000002"/>
    <n v="10376.505000000001"/>
    <s v="June"/>
    <s v="2024"/>
    <s v="Jun 2024"/>
    <s v="Friday"/>
    <x v="2"/>
    <s v="Oliver W Martin"/>
    <s v="Male"/>
    <x v="1"/>
  </r>
  <r>
    <x v="253"/>
    <x v="218"/>
    <d v="2025-06-01T00:00:00"/>
    <d v="1952-02-04T00:00:00"/>
    <n v="74"/>
    <x v="2"/>
    <x v="8"/>
    <x v="7"/>
    <x v="3"/>
    <s v="Emergency"/>
    <s v="Emergency"/>
    <n v="4490.8599999999997"/>
    <n v="1123.8599999999999"/>
    <n v="1240.3699999999999"/>
    <n v="10427.459999999999"/>
    <x v="0"/>
    <x v="6"/>
    <x v="4"/>
    <s v="N13 6CW"/>
    <n v="2"/>
    <n v="17"/>
    <n v="17282.55"/>
    <n v="1016.6205882352941"/>
    <s v="May"/>
    <s v="2025"/>
    <s v="May 2025"/>
    <s v="Thursday"/>
    <x v="1"/>
    <s v="Ella Green"/>
    <s v="Female"/>
    <x v="0"/>
  </r>
  <r>
    <x v="254"/>
    <x v="75"/>
    <d v="2024-07-24T00:00:00"/>
    <d v="2006-11-04T00:00:00"/>
    <n v="19"/>
    <x v="0"/>
    <x v="10"/>
    <x v="5"/>
    <x v="3"/>
    <s v="Emergency"/>
    <s v="Outpatient"/>
    <n v="4445.46"/>
    <n v="652.96"/>
    <n v="1349.3"/>
    <n v="5471.17"/>
    <x v="0"/>
    <x v="6"/>
    <x v="1"/>
    <s v="E65 5LR"/>
    <n v="3"/>
    <n v="20"/>
    <n v="11918.89"/>
    <n v="595.94449999999995"/>
    <s v="July"/>
    <s v="2024"/>
    <s v="Jul 2024"/>
    <s v="Thursday"/>
    <x v="0"/>
    <s v="George Green"/>
    <s v="Male"/>
    <x v="0"/>
  </r>
  <r>
    <x v="255"/>
    <x v="26"/>
    <d v="2024-12-03T00:00:00"/>
    <d v="1981-08-23T00:00:00"/>
    <n v="44"/>
    <x v="1"/>
    <x v="9"/>
    <x v="2"/>
    <x v="0"/>
    <s v="Neurology"/>
    <s v="Surgery"/>
    <n v="1477.01"/>
    <n v="237.24"/>
    <n v="2845.98"/>
    <n v="5151.78"/>
    <x v="4"/>
    <x v="3"/>
    <x v="4"/>
    <s v="B28 6IE"/>
    <n v="4"/>
    <n v="17"/>
    <n v="9712.0099999999984"/>
    <n v="571.2947058823529"/>
    <s v="November"/>
    <s v="2024"/>
    <s v="Nov 2024"/>
    <s v="Saturday"/>
    <x v="2"/>
    <s v="Olivia U Thomas"/>
    <s v="Female"/>
    <x v="0"/>
  </r>
  <r>
    <x v="256"/>
    <x v="219"/>
    <d v="2025-10-15T00:00:00"/>
    <d v="1979-04-03T00:00:00"/>
    <n v="47"/>
    <x v="1"/>
    <x v="1"/>
    <x v="7"/>
    <x v="2"/>
    <s v="Neurology"/>
    <s v="Inpatient"/>
    <n v="2352.63"/>
    <n v="1665.29"/>
    <n v="0"/>
    <n v="0"/>
    <x v="3"/>
    <x v="4"/>
    <x v="6"/>
    <s v="E69 2VR"/>
    <n v="6"/>
    <n v="9"/>
    <n v="4017.92"/>
    <n v="446.43555555555554"/>
    <s v="October"/>
    <s v="2025"/>
    <s v="Oct 2025"/>
    <s v="Monday"/>
    <x v="2"/>
    <s v="Lucas Brown"/>
    <s v="Male"/>
    <x v="2"/>
  </r>
  <r>
    <x v="257"/>
    <x v="220"/>
    <d v="2024-04-21T00:00:00"/>
    <d v="1969-04-13T00:00:00"/>
    <n v="57"/>
    <x v="3"/>
    <x v="9"/>
    <x v="5"/>
    <x v="0"/>
    <s v="Respiratory"/>
    <s v="Outpatient"/>
    <n v="4378.32"/>
    <n v="1372.32"/>
    <n v="493.9"/>
    <n v="4753.5"/>
    <x v="0"/>
    <x v="2"/>
    <x v="8"/>
    <s v="M24 6ZX"/>
    <n v="10"/>
    <n v="4"/>
    <n v="10998.039999999999"/>
    <n v="2749.5099999999998"/>
    <s v="April"/>
    <s v="2024"/>
    <s v="Apr 2024"/>
    <s v="Wednesday"/>
    <x v="2"/>
    <s v="Freya Y Wilson"/>
    <s v="Female"/>
    <x v="3"/>
  </r>
  <r>
    <x v="258"/>
    <x v="221"/>
    <d v="2025-01-22T00:00:00"/>
    <d v="1948-12-21T00:00:00"/>
    <n v="77"/>
    <x v="1"/>
    <x v="8"/>
    <x v="1"/>
    <x v="2"/>
    <s v="Neurology"/>
    <s v="Inpatient"/>
    <n v="866.34"/>
    <n v="1200.48"/>
    <n v="1578.85"/>
    <n v="3780.32"/>
    <x v="0"/>
    <x v="0"/>
    <x v="1"/>
    <s v="SW53 6CU"/>
    <n v="9"/>
    <n v="8"/>
    <n v="7425.99"/>
    <n v="928.24874999999997"/>
    <s v="January"/>
    <s v="2025"/>
    <s v="Jan 2025"/>
    <s v="Tuesday"/>
    <x v="1"/>
    <s v="Oliver Jones"/>
    <s v="Male"/>
    <x v="2"/>
  </r>
  <r>
    <x v="259"/>
    <x v="222"/>
    <d v="2024-06-04T00:00:00"/>
    <d v="1988-09-24T00:00:00"/>
    <n v="37"/>
    <x v="0"/>
    <x v="3"/>
    <x v="6"/>
    <x v="3"/>
    <s v="Oncology"/>
    <s v="Surgery"/>
    <n v="3089.25"/>
    <n v="909.78"/>
    <n v="1711.39"/>
    <n v="14385.32"/>
    <x v="2"/>
    <x v="1"/>
    <x v="2"/>
    <s v="B6 8FV"/>
    <n v="4"/>
    <n v="16"/>
    <n v="20095.739999999998"/>
    <n v="1255.9837499999999"/>
    <s v="May"/>
    <s v="2024"/>
    <s v="May 2024"/>
    <s v="Sunday"/>
    <x v="2"/>
    <s v="Sophia B Wood"/>
    <s v="Female"/>
    <x v="0"/>
  </r>
  <r>
    <x v="260"/>
    <x v="223"/>
    <d v="2024-09-30T00:00:00"/>
    <d v="1952-06-22T00:00:00"/>
    <n v="73"/>
    <x v="3"/>
    <x v="11"/>
    <x v="8"/>
    <x v="0"/>
    <s v="General Medicine"/>
    <s v="Surgery"/>
    <n v="1665.21"/>
    <n v="43.07"/>
    <n v="922.22"/>
    <n v="2260.15"/>
    <x v="1"/>
    <x v="7"/>
    <x v="4"/>
    <s v="M8 6AT"/>
    <n v="10"/>
    <n v="18"/>
    <n v="4890.6499999999996"/>
    <n v="271.70277777777778"/>
    <s v="September"/>
    <s v="2024"/>
    <s v="Sep 2024"/>
    <s v="Thursday"/>
    <x v="1"/>
    <s v="Samuel Jones"/>
    <s v="Male"/>
    <x v="0"/>
  </r>
  <r>
    <x v="261"/>
    <x v="224"/>
    <d v="2024-06-20T00:00:00"/>
    <d v="1950-09-17T00:00:00"/>
    <n v="75"/>
    <x v="0"/>
    <x v="1"/>
    <x v="8"/>
    <x v="0"/>
    <s v="Cardiology"/>
    <s v="Outpatient"/>
    <n v="442.37"/>
    <n v="919.2"/>
    <n v="1023.07"/>
    <n v="2502.5700000000002"/>
    <x v="1"/>
    <x v="4"/>
    <x v="7"/>
    <s v="M21 3LX"/>
    <n v="6"/>
    <n v="14"/>
    <n v="4887.2100000000009"/>
    <n v="349.08642857142866"/>
    <s v="June"/>
    <s v="2024"/>
    <s v="Jun 2024"/>
    <s v="Thursday"/>
    <x v="1"/>
    <s v="Freya O Wilson"/>
    <s v="Female"/>
    <x v="2"/>
  </r>
  <r>
    <x v="262"/>
    <x v="6"/>
    <d v="2025-11-21T00:00:00"/>
    <d v="1987-04-16T00:00:00"/>
    <n v="39"/>
    <x v="2"/>
    <x v="9"/>
    <x v="8"/>
    <x v="2"/>
    <s v="Orthopedics"/>
    <s v="Surgery"/>
    <n v="208.43"/>
    <n v="626.11"/>
    <n v="1455.11"/>
    <n v="8515.44"/>
    <x v="3"/>
    <x v="6"/>
    <x v="1"/>
    <s v="E3 3EL"/>
    <n v="7"/>
    <n v="9"/>
    <n v="10805.09"/>
    <n v="1200.5655555555556"/>
    <s v="November"/>
    <s v="2025"/>
    <s v="Nov 2025"/>
    <s v="Wednesday"/>
    <x v="2"/>
    <s v="David V Wood"/>
    <s v="Male"/>
    <x v="2"/>
  </r>
  <r>
    <x v="263"/>
    <x v="225"/>
    <d v="2025-06-13T00:00:00"/>
    <d v="1960-10-05T00:00:00"/>
    <n v="65"/>
    <x v="1"/>
    <x v="3"/>
    <x v="7"/>
    <x v="2"/>
    <s v="Pediatrics"/>
    <s v="Outpatient"/>
    <n v="1744.09"/>
    <n v="143.02000000000001"/>
    <n v="2945.74"/>
    <n v="7501.66"/>
    <x v="1"/>
    <x v="0"/>
    <x v="4"/>
    <s v="N30 2EM"/>
    <n v="7"/>
    <n v="6"/>
    <n v="12334.509999999998"/>
    <n v="2055.7516666666666"/>
    <s v="June"/>
    <s v="2025"/>
    <s v="Jun 2025"/>
    <s v="Saturday"/>
    <x v="1"/>
    <s v="Emily Thompson"/>
    <s v="Female"/>
    <x v="3"/>
  </r>
  <r>
    <x v="264"/>
    <x v="128"/>
    <d v="2025-05-07T00:00:00"/>
    <d v="1959-06-14T00:00:00"/>
    <n v="66"/>
    <x v="1"/>
    <x v="10"/>
    <x v="9"/>
    <x v="0"/>
    <s v="Pediatrics"/>
    <s v="Inpatient"/>
    <n v="4160.3599999999997"/>
    <n v="648.58000000000004"/>
    <n v="1188.3599999999999"/>
    <n v="7743.84"/>
    <x v="2"/>
    <x v="2"/>
    <x v="5"/>
    <s v="E85 6GJ"/>
    <n v="6"/>
    <n v="2"/>
    <n v="13741.14"/>
    <n v="6870.57"/>
    <s v="May"/>
    <s v="2025"/>
    <s v="May 2025"/>
    <s v="Monday"/>
    <x v="1"/>
    <s v="Henry Wood"/>
    <s v="Male"/>
    <x v="1"/>
  </r>
  <r>
    <x v="265"/>
    <x v="226"/>
    <d v="2025-01-24T00:00:00"/>
    <d v="1966-06-24T00:00:00"/>
    <n v="59"/>
    <x v="3"/>
    <x v="10"/>
    <x v="9"/>
    <x v="1"/>
    <s v="Pediatrics"/>
    <s v="Outpatient"/>
    <n v="470.78"/>
    <n v="903.52"/>
    <n v="968.43"/>
    <n v="9961.77"/>
    <x v="1"/>
    <x v="5"/>
    <x v="4"/>
    <s v="N25 8DC"/>
    <n v="2"/>
    <n v="19"/>
    <n v="12304.5"/>
    <n v="647.60526315789468"/>
    <s v="January"/>
    <s v="2025"/>
    <s v="Jan 2025"/>
    <s v="Sunday"/>
    <x v="2"/>
    <s v="Charlotte R Hall"/>
    <s v="Female"/>
    <x v="0"/>
  </r>
  <r>
    <x v="266"/>
    <x v="219"/>
    <d v="2025-10-10T00:00:00"/>
    <d v="2002-06-15T00:00:00"/>
    <n v="23"/>
    <x v="1"/>
    <x v="8"/>
    <x v="3"/>
    <x v="0"/>
    <s v="Neurology"/>
    <s v="Emergency"/>
    <n v="4784.9399999999996"/>
    <n v="870.36"/>
    <n v="2288.13"/>
    <n v="13308.28"/>
    <x v="0"/>
    <x v="8"/>
    <x v="5"/>
    <s v="B8 4XM"/>
    <n v="9"/>
    <n v="4"/>
    <n v="21251.71"/>
    <n v="5312.9274999999998"/>
    <s v="October"/>
    <s v="2025"/>
    <s v="Oct 2025"/>
    <s v="Monday"/>
    <x v="0"/>
    <s v="George White"/>
    <s v="Male"/>
    <x v="3"/>
  </r>
  <r>
    <x v="267"/>
    <x v="227"/>
    <d v="2024-08-30T00:00:00"/>
    <d v="1945-03-19T00:00:00"/>
    <n v="81"/>
    <x v="0"/>
    <x v="6"/>
    <x v="4"/>
    <x v="1"/>
    <s v="Cardiology"/>
    <s v="Surgery"/>
    <n v="586.24"/>
    <n v="578.48"/>
    <n v="2183.7800000000002"/>
    <n v="2948.43"/>
    <x v="0"/>
    <x v="8"/>
    <x v="1"/>
    <s v="N29 1RH"/>
    <n v="9"/>
    <n v="19"/>
    <n v="6296.93"/>
    <n v="331.41736842105263"/>
    <s v="August"/>
    <s v="2024"/>
    <s v="Aug 2024"/>
    <s v="Sunday"/>
    <x v="1"/>
    <s v="Ella Clarke"/>
    <s v="Female"/>
    <x v="0"/>
  </r>
  <r>
    <x v="268"/>
    <x v="228"/>
    <d v="2025-10-29T00:00:00"/>
    <d v="1945-11-12T00:00:00"/>
    <n v="80"/>
    <x v="3"/>
    <x v="2"/>
    <x v="2"/>
    <x v="2"/>
    <s v="Emergency"/>
    <s v="Outpatient"/>
    <n v="2782.88"/>
    <n v="1242.49"/>
    <n v="637.83000000000004"/>
    <n v="14325.18"/>
    <x v="1"/>
    <x v="7"/>
    <x v="9"/>
    <s v="SW23 5AR"/>
    <n v="10"/>
    <n v="20"/>
    <n v="18988.38"/>
    <n v="949.4190000000001"/>
    <s v="October"/>
    <s v="2025"/>
    <s v="Oct 2025"/>
    <s v="Thursday"/>
    <x v="1"/>
    <s v="George Walker"/>
    <s v="Male"/>
    <x v="0"/>
  </r>
  <r>
    <x v="269"/>
    <x v="229"/>
    <d v="2025-04-01T00:00:00"/>
    <d v="1973-04-24T00:00:00"/>
    <n v="53"/>
    <x v="0"/>
    <x v="10"/>
    <x v="5"/>
    <x v="3"/>
    <s v="Neurology"/>
    <s v="Inpatient"/>
    <n v="3407.02"/>
    <n v="1104.8599999999999"/>
    <n v="1949.5"/>
    <n v="7731.25"/>
    <x v="3"/>
    <x v="8"/>
    <x v="6"/>
    <s v="N23 7VT"/>
    <n v="3"/>
    <n v="12"/>
    <n v="14192.630000000001"/>
    <n v="1182.7191666666668"/>
    <s v="March"/>
    <s v="2025"/>
    <s v="Mar 2025"/>
    <s v="Thursday"/>
    <x v="2"/>
    <s v="Lily Jones"/>
    <s v="Female"/>
    <x v="2"/>
  </r>
  <r>
    <x v="270"/>
    <x v="230"/>
    <d v="2024-04-23T00:00:00"/>
    <d v="1969-07-01T00:00:00"/>
    <n v="56"/>
    <x v="3"/>
    <x v="6"/>
    <x v="4"/>
    <x v="0"/>
    <s v="Oncology"/>
    <s v="Surgery"/>
    <n v="611.35"/>
    <n v="598.37"/>
    <n v="727.86"/>
    <n v="8500.51"/>
    <x v="4"/>
    <x v="7"/>
    <x v="8"/>
    <s v="E26 3PY"/>
    <n v="10"/>
    <n v="1"/>
    <n v="10438.09"/>
    <n v="10438.09"/>
    <s v="April"/>
    <s v="2024"/>
    <s v="Apr 2024"/>
    <s v="Monday"/>
    <x v="2"/>
    <s v="Leo Y Walker"/>
    <s v="Male"/>
    <x v="1"/>
  </r>
  <r>
    <x v="271"/>
    <x v="231"/>
    <d v="2025-07-21T00:00:00"/>
    <d v="1997-01-04T00:00:00"/>
    <n v="29"/>
    <x v="0"/>
    <x v="3"/>
    <x v="8"/>
    <x v="2"/>
    <s v="Pediatrics"/>
    <s v="Inpatient"/>
    <n v="3145.33"/>
    <n v="1907.24"/>
    <n v="145.22"/>
    <n v="10920.72"/>
    <x v="3"/>
    <x v="4"/>
    <x v="0"/>
    <s v="E63 3DH"/>
    <n v="1"/>
    <n v="10"/>
    <n v="16118.509999999998"/>
    <n v="1611.8509999999999"/>
    <s v="July"/>
    <s v="2025"/>
    <s v="Jul 2025"/>
    <s v="Friday"/>
    <x v="0"/>
    <s v="Lily Clarke"/>
    <s v="Female"/>
    <x v="2"/>
  </r>
  <r>
    <x v="272"/>
    <x v="232"/>
    <d v="2024-12-28T00:00:00"/>
    <d v="1956-07-17T00:00:00"/>
    <n v="69"/>
    <x v="0"/>
    <x v="8"/>
    <x v="5"/>
    <x v="0"/>
    <s v="Respiratory"/>
    <s v="Inpatient"/>
    <n v="2395.4699999999998"/>
    <n v="730.74"/>
    <n v="2690.76"/>
    <n v="2931.84"/>
    <x v="1"/>
    <x v="5"/>
    <x v="1"/>
    <s v="E20 3KE"/>
    <n v="6"/>
    <n v="20"/>
    <n v="8748.8100000000013"/>
    <n v="437.44050000000004"/>
    <s v="December"/>
    <s v="2024"/>
    <s v="Dec 2024"/>
    <s v="Sunday"/>
    <x v="1"/>
    <s v="Ethan I Jones"/>
    <s v="Male"/>
    <x v="0"/>
  </r>
  <r>
    <x v="273"/>
    <x v="233"/>
    <d v="2025-03-26T00:00:00"/>
    <d v="1967-06-16T00:00:00"/>
    <n v="58"/>
    <x v="1"/>
    <x v="5"/>
    <x v="3"/>
    <x v="3"/>
    <s v="Neurology"/>
    <s v="Surgery"/>
    <n v="276.24"/>
    <n v="1037.8800000000001"/>
    <n v="2820.16"/>
    <n v="749.28"/>
    <x v="3"/>
    <x v="0"/>
    <x v="1"/>
    <s v="B92 7QS"/>
    <n v="7"/>
    <n v="16"/>
    <n v="4883.5599999999995"/>
    <n v="305.22249999999997"/>
    <s v="March"/>
    <s v="2025"/>
    <s v="Mar 2025"/>
    <s v="Monday"/>
    <x v="2"/>
    <s v="Mia Taylor"/>
    <s v="Female"/>
    <x v="0"/>
  </r>
  <r>
    <x v="274"/>
    <x v="234"/>
    <d v="2024-06-01T00:00:00"/>
    <d v="2003-06-12T00:00:00"/>
    <n v="23"/>
    <x v="1"/>
    <x v="5"/>
    <x v="6"/>
    <x v="2"/>
    <s v="Respiratory"/>
    <s v="Outpatient"/>
    <n v="1264.9000000000001"/>
    <n v="177.62"/>
    <n v="1064.07"/>
    <n v="1140.8900000000001"/>
    <x v="4"/>
    <x v="2"/>
    <x v="5"/>
    <s v="M48 1WD"/>
    <n v="4"/>
    <n v="10"/>
    <n v="3647.4800000000005"/>
    <n v="364.74800000000005"/>
    <s v="May"/>
    <s v="2024"/>
    <s v="May 2024"/>
    <s v="Wednesday"/>
    <x v="0"/>
    <s v="Lucas Robinson"/>
    <s v="Male"/>
    <x v="2"/>
  </r>
  <r>
    <x v="275"/>
    <x v="235"/>
    <d v="2024-06-09T00:00:00"/>
    <d v="1993-03-16T00:00:00"/>
    <n v="33"/>
    <x v="1"/>
    <x v="6"/>
    <x v="0"/>
    <x v="1"/>
    <s v="Pediatrics"/>
    <s v="Emergency"/>
    <n v="905.15"/>
    <n v="1973.26"/>
    <n v="2760.52"/>
    <n v="3340.83"/>
    <x v="0"/>
    <x v="0"/>
    <x v="3"/>
    <s v="E51 7VO"/>
    <n v="5"/>
    <n v="17"/>
    <n v="8979.76"/>
    <n v="528.22117647058826"/>
    <s v="May"/>
    <s v="2024"/>
    <s v="May 2024"/>
    <s v="Thursday"/>
    <x v="0"/>
    <s v="Olivia Walker"/>
    <s v="Female"/>
    <x v="0"/>
  </r>
  <r>
    <x v="276"/>
    <x v="236"/>
    <d v="2025-02-11T00:00:00"/>
    <d v="1984-01-08T00:00:00"/>
    <n v="42"/>
    <x v="2"/>
    <x v="3"/>
    <x v="9"/>
    <x v="1"/>
    <s v="Cardiology"/>
    <s v="Surgery"/>
    <n v="656.19"/>
    <n v="79.83"/>
    <n v="2036.32"/>
    <n v="3707.57"/>
    <x v="0"/>
    <x v="0"/>
    <x v="6"/>
    <s v="E14 2LT"/>
    <n v="7"/>
    <n v="6"/>
    <n v="6479.91"/>
    <n v="1079.9849999999999"/>
    <s v="February"/>
    <s v="2025"/>
    <s v="Feb 2025"/>
    <s v="Wednesday"/>
    <x v="2"/>
    <s v="Noah Thompson"/>
    <s v="Male"/>
    <x v="3"/>
  </r>
  <r>
    <x v="277"/>
    <x v="237"/>
    <d v="2024-02-11T00:00:00"/>
    <d v="1980-04-21T00:00:00"/>
    <n v="46"/>
    <x v="3"/>
    <x v="2"/>
    <x v="0"/>
    <x v="0"/>
    <s v="General Medicine"/>
    <s v="Inpatient"/>
    <n v="4235.1000000000004"/>
    <n v="1711.75"/>
    <n v="2457.65"/>
    <n v="6335.29"/>
    <x v="4"/>
    <x v="8"/>
    <x v="6"/>
    <s v="M65 4KY"/>
    <n v="8"/>
    <n v="8"/>
    <n v="14739.79"/>
    <n v="1842.4737500000001"/>
    <s v="February"/>
    <s v="2024"/>
    <s v="Feb 2024"/>
    <s v="Saturday"/>
    <x v="2"/>
    <s v="Freya Taylor"/>
    <s v="Female"/>
    <x v="2"/>
  </r>
  <r>
    <x v="278"/>
    <x v="31"/>
    <d v="2024-02-18T00:00:00"/>
    <d v="1975-10-28T00:00:00"/>
    <n v="50"/>
    <x v="1"/>
    <x v="6"/>
    <x v="5"/>
    <x v="0"/>
    <s v="Oncology"/>
    <s v="Surgery"/>
    <n v="3633"/>
    <n v="1517.71"/>
    <n v="3015.16"/>
    <n v="7026.47"/>
    <x v="2"/>
    <x v="4"/>
    <x v="2"/>
    <s v="B84 9YK"/>
    <n v="4"/>
    <n v="10"/>
    <n v="15192.34"/>
    <n v="1519.2339999999999"/>
    <s v="February"/>
    <s v="2024"/>
    <s v="Feb 2024"/>
    <s v="Thursday"/>
    <x v="2"/>
    <s v="David Thomas"/>
    <s v="Male"/>
    <x v="2"/>
  </r>
  <r>
    <x v="279"/>
    <x v="40"/>
    <d v="2024-03-22T00:00:00"/>
    <d v="1958-10-20T00:00:00"/>
    <n v="67"/>
    <x v="3"/>
    <x v="11"/>
    <x v="1"/>
    <x v="2"/>
    <s v="Pediatrics"/>
    <s v="Surgery"/>
    <n v="1638.07"/>
    <n v="975.9"/>
    <n v="710.63"/>
    <n v="6378.23"/>
    <x v="2"/>
    <x v="2"/>
    <x v="1"/>
    <s v="M41 3JF"/>
    <n v="5"/>
    <n v="5"/>
    <n v="9702.83"/>
    <n v="1940.566"/>
    <s v="March"/>
    <s v="2024"/>
    <s v="Mar 2024"/>
    <s v="Sunday"/>
    <x v="1"/>
    <s v="Olivia W Green"/>
    <s v="Female"/>
    <x v="3"/>
  </r>
  <r>
    <x v="280"/>
    <x v="235"/>
    <d v="2024-05-27T00:00:00"/>
    <d v="1993-08-21T00:00:00"/>
    <n v="32"/>
    <x v="0"/>
    <x v="2"/>
    <x v="1"/>
    <x v="2"/>
    <s v="Cardiology"/>
    <s v="Inpatient"/>
    <n v="2518.58"/>
    <n v="1206.96"/>
    <n v="1732.9"/>
    <n v="3885.06"/>
    <x v="1"/>
    <x v="0"/>
    <x v="1"/>
    <s v="M65 8IV"/>
    <n v="10"/>
    <n v="4"/>
    <n v="9343.5"/>
    <n v="2335.875"/>
    <s v="May"/>
    <s v="2024"/>
    <s v="May 2024"/>
    <s v="Thursday"/>
    <x v="0"/>
    <s v="David Martin"/>
    <s v="Male"/>
    <x v="3"/>
  </r>
  <r>
    <x v="281"/>
    <x v="53"/>
    <d v="2024-04-17T00:00:00"/>
    <d v="1969-08-22T00:00:00"/>
    <n v="56"/>
    <x v="1"/>
    <x v="5"/>
    <x v="6"/>
    <x v="3"/>
    <s v="Respiratory"/>
    <s v="Surgery"/>
    <n v="1469.85"/>
    <n v="350.01"/>
    <n v="504.58"/>
    <n v="7985.28"/>
    <x v="0"/>
    <x v="1"/>
    <x v="8"/>
    <s v="E41 6TP"/>
    <n v="2"/>
    <n v="12"/>
    <n v="10309.719999999999"/>
    <n v="859.14333333333332"/>
    <s v="April"/>
    <s v="2024"/>
    <s v="Apr 2024"/>
    <s v="Friday"/>
    <x v="2"/>
    <s v="Emma N Hall"/>
    <s v="Female"/>
    <x v="2"/>
  </r>
  <r>
    <x v="282"/>
    <x v="226"/>
    <d v="2025-01-19T00:00:00"/>
    <d v="1983-07-02T00:00:00"/>
    <n v="42"/>
    <x v="2"/>
    <x v="1"/>
    <x v="6"/>
    <x v="1"/>
    <s v="Oncology"/>
    <s v="Inpatient"/>
    <n v="2548.4499999999998"/>
    <n v="782.1"/>
    <n v="2892.29"/>
    <n v="7863.02"/>
    <x v="2"/>
    <x v="6"/>
    <x v="6"/>
    <s v="M54 9GV"/>
    <n v="5"/>
    <n v="14"/>
    <n v="14085.86"/>
    <n v="1006.1328571428572"/>
    <s v="January"/>
    <s v="2025"/>
    <s v="Jan 2025"/>
    <s v="Sunday"/>
    <x v="2"/>
    <s v="Noah Wood"/>
    <s v="Male"/>
    <x v="2"/>
  </r>
  <r>
    <x v="283"/>
    <x v="238"/>
    <d v="2024-06-27T00:00:00"/>
    <d v="1979-12-26T00:00:00"/>
    <n v="46"/>
    <x v="1"/>
    <x v="2"/>
    <x v="2"/>
    <x v="1"/>
    <s v="Neurology"/>
    <s v="Surgery"/>
    <n v="3884.33"/>
    <n v="1781.29"/>
    <n v="2425.31"/>
    <n v="9753.2900000000009"/>
    <x v="2"/>
    <x v="9"/>
    <x v="8"/>
    <s v="E20 8EP"/>
    <n v="10"/>
    <n v="14"/>
    <n v="17844.22"/>
    <n v="1274.5871428571429"/>
    <s v="June"/>
    <s v="2024"/>
    <s v="Jun 2024"/>
    <s v="Thursday"/>
    <x v="2"/>
    <s v="Isabella Smith"/>
    <s v="Female"/>
    <x v="2"/>
  </r>
  <r>
    <x v="284"/>
    <x v="156"/>
    <d v="2024-07-25T00:00:00"/>
    <d v="1947-04-24T00:00:00"/>
    <n v="79"/>
    <x v="0"/>
    <x v="10"/>
    <x v="9"/>
    <x v="2"/>
    <s v="Emergency"/>
    <s v="Surgery"/>
    <n v="3640.32"/>
    <n v="1602.79"/>
    <n v="0"/>
    <n v="0"/>
    <x v="3"/>
    <x v="9"/>
    <x v="6"/>
    <s v="SW65 2WP"/>
    <n v="4"/>
    <n v="14"/>
    <n v="5243.1100000000006"/>
    <n v="374.50785714285718"/>
    <s v="July"/>
    <s v="2024"/>
    <s v="Jul 2024"/>
    <s v="Thursday"/>
    <x v="1"/>
    <s v="James Hall"/>
    <s v="Male"/>
    <x v="2"/>
  </r>
  <r>
    <x v="285"/>
    <x v="239"/>
    <d v="2025-08-09T00:00:00"/>
    <d v="1972-06-06T00:00:00"/>
    <n v="54"/>
    <x v="3"/>
    <x v="1"/>
    <x v="5"/>
    <x v="2"/>
    <s v="Respiratory"/>
    <s v="Inpatient"/>
    <n v="3566.19"/>
    <n v="1633.73"/>
    <n v="2675.32"/>
    <n v="11728.9"/>
    <x v="0"/>
    <x v="3"/>
    <x v="1"/>
    <s v="E79 7DP"/>
    <n v="10"/>
    <n v="20"/>
    <n v="19604.14"/>
    <n v="980.20699999999999"/>
    <s v="July"/>
    <s v="2025"/>
    <s v="Jul 2025"/>
    <s v="Sunday"/>
    <x v="2"/>
    <s v="Isabella Y Brown"/>
    <s v="Female"/>
    <x v="0"/>
  </r>
  <r>
    <x v="286"/>
    <x v="240"/>
    <d v="2025-01-09T00:00:00"/>
    <d v="1957-08-04T00:00:00"/>
    <n v="68"/>
    <x v="0"/>
    <x v="5"/>
    <x v="3"/>
    <x v="3"/>
    <s v="General Medicine"/>
    <s v="Surgery"/>
    <n v="4886.28"/>
    <n v="542.79"/>
    <n v="174.96"/>
    <n v="6160.41"/>
    <x v="0"/>
    <x v="3"/>
    <x v="9"/>
    <s v="E54 1AA"/>
    <n v="4"/>
    <n v="15"/>
    <n v="11764.439999999999"/>
    <n v="784.29599999999994"/>
    <s v="December"/>
    <s v="2024"/>
    <s v="Dec 2024"/>
    <s v="Wednesday"/>
    <x v="1"/>
    <s v="Benjamin Green"/>
    <s v="Male"/>
    <x v="0"/>
  </r>
  <r>
    <x v="287"/>
    <x v="241"/>
    <d v="2024-03-12T00:00:00"/>
    <d v="1984-11-13T00:00:00"/>
    <n v="41"/>
    <x v="1"/>
    <x v="6"/>
    <x v="3"/>
    <x v="1"/>
    <s v="Orthopedics"/>
    <s v="Inpatient"/>
    <n v="4975.3"/>
    <n v="1320.38"/>
    <n v="1791.42"/>
    <n v="1357.42"/>
    <x v="3"/>
    <x v="1"/>
    <x v="1"/>
    <s v="B51 5RF"/>
    <n v="9"/>
    <n v="19"/>
    <n v="9444.52"/>
    <n v="497.08000000000004"/>
    <s v="February"/>
    <s v="2024"/>
    <s v="Feb 2024"/>
    <s v="Thursday"/>
    <x v="2"/>
    <s v="Mia L Brown"/>
    <s v="Female"/>
    <x v="0"/>
  </r>
  <r>
    <x v="288"/>
    <x v="242"/>
    <d v="2024-05-28T00:00:00"/>
    <d v="1946-12-24T00:00:00"/>
    <n v="79"/>
    <x v="0"/>
    <x v="0"/>
    <x v="2"/>
    <x v="2"/>
    <s v="Neurology"/>
    <s v="Inpatient"/>
    <n v="2335.46"/>
    <n v="213.87"/>
    <n v="1285.3800000000001"/>
    <n v="2395.84"/>
    <x v="3"/>
    <x v="5"/>
    <x v="5"/>
    <s v="SW11 3UA"/>
    <n v="4"/>
    <n v="15"/>
    <n v="6230.55"/>
    <n v="415.37"/>
    <s v="May"/>
    <s v="2024"/>
    <s v="May 2024"/>
    <s v="Monday"/>
    <x v="1"/>
    <s v="Daniel Green"/>
    <s v="Male"/>
    <x v="0"/>
  </r>
  <r>
    <x v="289"/>
    <x v="243"/>
    <d v="2024-02-06T00:00:00"/>
    <d v="1970-02-16T00:00:00"/>
    <n v="56"/>
    <x v="0"/>
    <x v="10"/>
    <x v="8"/>
    <x v="1"/>
    <s v="Respiratory"/>
    <s v="Inpatient"/>
    <n v="2276.66"/>
    <n v="444.31"/>
    <n v="2906.99"/>
    <n v="3616.75"/>
    <x v="3"/>
    <x v="2"/>
    <x v="3"/>
    <s v="B81 1DK"/>
    <n v="6"/>
    <n v="14"/>
    <n v="9244.7099999999991"/>
    <n v="660.33642857142854"/>
    <s v="January"/>
    <s v="2024"/>
    <s v="Jan 2024"/>
    <s v="Tuesday"/>
    <x v="2"/>
    <s v="Chloe Hall"/>
    <s v="Female"/>
    <x v="2"/>
  </r>
  <r>
    <x v="290"/>
    <x v="244"/>
    <d v="2024-08-11T00:00:00"/>
    <d v="1958-06-04T00:00:00"/>
    <n v="68"/>
    <x v="0"/>
    <x v="11"/>
    <x v="2"/>
    <x v="3"/>
    <s v="Orthopedics"/>
    <s v="Emergency"/>
    <n v="4944.16"/>
    <n v="1656.29"/>
    <n v="1173.3699999999999"/>
    <n v="2768.65"/>
    <x v="3"/>
    <x v="7"/>
    <x v="7"/>
    <s v="M66 7GI"/>
    <n v="4"/>
    <n v="1"/>
    <n v="10542.47"/>
    <n v="10542.47"/>
    <s v="August"/>
    <s v="2024"/>
    <s v="Aug 2024"/>
    <s v="Saturday"/>
    <x v="1"/>
    <s v="Samuel P Jones"/>
    <s v="Male"/>
    <x v="1"/>
  </r>
  <r>
    <x v="291"/>
    <x v="92"/>
    <d v="2025-09-11T00:00:00"/>
    <d v="2001-08-14T00:00:00"/>
    <n v="24"/>
    <x v="3"/>
    <x v="6"/>
    <x v="2"/>
    <x v="1"/>
    <s v="Emergency"/>
    <s v="Inpatient"/>
    <n v="3696.09"/>
    <n v="764.27"/>
    <n v="924.71"/>
    <n v="4256.04"/>
    <x v="0"/>
    <x v="6"/>
    <x v="6"/>
    <s v="B53 5TU"/>
    <n v="6"/>
    <n v="9"/>
    <n v="9641.11"/>
    <n v="1071.2344444444445"/>
    <s v="September"/>
    <s v="2025"/>
    <s v="Sep 2025"/>
    <s v="Tuesday"/>
    <x v="0"/>
    <s v="Olivia N Walker"/>
    <s v="Female"/>
    <x v="2"/>
  </r>
  <r>
    <x v="292"/>
    <x v="245"/>
    <d v="2024-11-21T00:00:00"/>
    <d v="1968-03-25T00:00:00"/>
    <n v="58"/>
    <x v="1"/>
    <x v="6"/>
    <x v="4"/>
    <x v="2"/>
    <s v="Emergency"/>
    <s v="Surgery"/>
    <n v="1718.97"/>
    <n v="1055.93"/>
    <n v="971.54"/>
    <n v="14146.12"/>
    <x v="1"/>
    <x v="9"/>
    <x v="9"/>
    <s v="E72 5WT"/>
    <n v="6"/>
    <n v="4"/>
    <n v="17892.560000000001"/>
    <n v="4473.1400000000003"/>
    <s v="November"/>
    <s v="2024"/>
    <s v="Nov 2024"/>
    <s v="Sunday"/>
    <x v="2"/>
    <s v="George Brown"/>
    <s v="Male"/>
    <x v="3"/>
  </r>
  <r>
    <x v="293"/>
    <x v="10"/>
    <d v="2024-07-14T00:00:00"/>
    <d v="1952-02-15T00:00:00"/>
    <n v="74"/>
    <x v="2"/>
    <x v="10"/>
    <x v="2"/>
    <x v="2"/>
    <s v="Respiratory"/>
    <s v="Emergency"/>
    <n v="2773.37"/>
    <n v="842.99"/>
    <n v="1218.78"/>
    <n v="12650"/>
    <x v="2"/>
    <x v="1"/>
    <x v="2"/>
    <s v="B6 6UA"/>
    <n v="10"/>
    <n v="20"/>
    <n v="17485.14"/>
    <n v="874.25699999999995"/>
    <s v="June"/>
    <s v="2024"/>
    <s v="Jun 2024"/>
    <s v="Monday"/>
    <x v="1"/>
    <s v="Isabella Thompson"/>
    <s v="Female"/>
    <x v="0"/>
  </r>
  <r>
    <x v="294"/>
    <x v="246"/>
    <d v="2024-11-16T00:00:00"/>
    <d v="1984-01-13T00:00:00"/>
    <n v="42"/>
    <x v="3"/>
    <x v="2"/>
    <x v="6"/>
    <x v="2"/>
    <s v="Cardiology"/>
    <s v="Surgery"/>
    <n v="1011.8"/>
    <n v="646.75"/>
    <n v="0"/>
    <n v="0"/>
    <x v="4"/>
    <x v="6"/>
    <x v="0"/>
    <s v="N22 2GX"/>
    <n v="8"/>
    <n v="15"/>
    <n v="1658.55"/>
    <n v="110.57"/>
    <s v="November"/>
    <s v="2024"/>
    <s v="Nov 2024"/>
    <s v="Friday"/>
    <x v="2"/>
    <s v="Ethan X Green"/>
    <s v="Male"/>
    <x v="0"/>
  </r>
  <r>
    <x v="295"/>
    <x v="181"/>
    <d v="2024-06-09T00:00:00"/>
    <d v="1962-12-06T00:00:00"/>
    <n v="63"/>
    <x v="1"/>
    <x v="7"/>
    <x v="6"/>
    <x v="0"/>
    <s v="Orthopedics"/>
    <s v="Surgery"/>
    <n v="813.3"/>
    <n v="1774.64"/>
    <n v="2530.7800000000002"/>
    <n v="13349.23"/>
    <x v="3"/>
    <x v="1"/>
    <x v="7"/>
    <s v="M36 6YX"/>
    <n v="7"/>
    <n v="19"/>
    <n v="18467.95"/>
    <n v="971.99736842105267"/>
    <s v="May"/>
    <s v="2024"/>
    <s v="May 2024"/>
    <s v="Tuesday"/>
    <x v="1"/>
    <s v="Sophia E Wood"/>
    <s v="Female"/>
    <x v="0"/>
  </r>
  <r>
    <x v="296"/>
    <x v="247"/>
    <d v="2024-08-06T00:00:00"/>
    <d v="1949-08-02T00:00:00"/>
    <n v="76"/>
    <x v="0"/>
    <x v="4"/>
    <x v="7"/>
    <x v="1"/>
    <s v="Emergency"/>
    <s v="Outpatient"/>
    <n v="689.78"/>
    <n v="390.31"/>
    <n v="512.04999999999995"/>
    <n v="13679.2"/>
    <x v="0"/>
    <x v="5"/>
    <x v="7"/>
    <s v="N65 2EH"/>
    <n v="10"/>
    <n v="1"/>
    <n v="15271.34"/>
    <n v="15271.34"/>
    <s v="August"/>
    <s v="2024"/>
    <s v="Aug 2024"/>
    <s v="Monday"/>
    <x v="1"/>
    <s v="Benjamin Brown"/>
    <s v="Male"/>
    <x v="1"/>
  </r>
  <r>
    <x v="297"/>
    <x v="230"/>
    <d v="2024-04-30T00:00:00"/>
    <d v="1974-02-24T00:00:00"/>
    <n v="52"/>
    <x v="0"/>
    <x v="5"/>
    <x v="4"/>
    <x v="1"/>
    <s v="Cardiology"/>
    <s v="Surgery"/>
    <n v="3306.2"/>
    <n v="894.7"/>
    <n v="2066.19"/>
    <n v="6655.81"/>
    <x v="2"/>
    <x v="5"/>
    <x v="9"/>
    <s v="N51 9NQ"/>
    <n v="8"/>
    <n v="8"/>
    <n v="12922.900000000001"/>
    <n v="1615.3625000000002"/>
    <s v="April"/>
    <s v="2024"/>
    <s v="Apr 2024"/>
    <s v="Monday"/>
    <x v="2"/>
    <s v="Freya S Green"/>
    <s v="Female"/>
    <x v="2"/>
  </r>
  <r>
    <x v="298"/>
    <x v="99"/>
    <d v="2025-07-16T00:00:00"/>
    <d v="1956-10-09T00:00:00"/>
    <n v="69"/>
    <x v="0"/>
    <x v="3"/>
    <x v="6"/>
    <x v="2"/>
    <s v="Emergency"/>
    <s v="Inpatient"/>
    <n v="2346.52"/>
    <n v="409.29"/>
    <n v="0"/>
    <n v="0"/>
    <x v="2"/>
    <x v="9"/>
    <x v="1"/>
    <s v="B13 5HT"/>
    <n v="2"/>
    <n v="20"/>
    <n v="2755.81"/>
    <n v="137.79050000000001"/>
    <s v="June"/>
    <s v="2025"/>
    <s v="Jun 2025"/>
    <s v="Thursday"/>
    <x v="1"/>
    <s v="Benjamin C Brown"/>
    <s v="Male"/>
    <x v="0"/>
  </r>
  <r>
    <x v="299"/>
    <x v="248"/>
    <d v="2024-01-08T00:00:00"/>
    <d v="1990-10-10T00:00:00"/>
    <n v="35"/>
    <x v="0"/>
    <x v="11"/>
    <x v="5"/>
    <x v="2"/>
    <s v="Oncology"/>
    <s v="Inpatient"/>
    <n v="238.4"/>
    <n v="1019.16"/>
    <n v="1385.26"/>
    <n v="3976.2"/>
    <x v="0"/>
    <x v="7"/>
    <x v="3"/>
    <s v="E86 8NK"/>
    <n v="4"/>
    <n v="4"/>
    <n v="6619.0199999999995"/>
    <n v="1654.7549999999999"/>
    <s v="January"/>
    <s v="2024"/>
    <s v="Jan 2024"/>
    <s v="Thursday"/>
    <x v="2"/>
    <s v="Amelia E Hall"/>
    <s v="Female"/>
    <x v="3"/>
  </r>
  <r>
    <x v="300"/>
    <x v="249"/>
    <d v="2024-02-06T00:00:00"/>
    <d v="1975-02-02T00:00:00"/>
    <n v="51"/>
    <x v="0"/>
    <x v="6"/>
    <x v="0"/>
    <x v="1"/>
    <s v="Pediatrics"/>
    <s v="Emergency"/>
    <n v="4426.82"/>
    <n v="69.400000000000006"/>
    <n v="727.53"/>
    <n v="2616.94"/>
    <x v="3"/>
    <x v="4"/>
    <x v="6"/>
    <s v="M33 6OA"/>
    <n v="2"/>
    <n v="19"/>
    <n v="7840.6899999999987"/>
    <n v="412.66789473684202"/>
    <s v="January"/>
    <s v="2024"/>
    <s v="Jan 2024"/>
    <s v="Thursday"/>
    <x v="2"/>
    <s v="Leo Wood"/>
    <s v="Male"/>
    <x v="0"/>
  </r>
  <r>
    <x v="301"/>
    <x v="250"/>
    <d v="2025-05-25T00:00:00"/>
    <d v="1987-03-12T00:00:00"/>
    <n v="39"/>
    <x v="0"/>
    <x v="0"/>
    <x v="7"/>
    <x v="1"/>
    <s v="General Medicine"/>
    <s v="Emergency"/>
    <n v="493.95"/>
    <n v="1474.16"/>
    <n v="1542.63"/>
    <n v="5335.32"/>
    <x v="0"/>
    <x v="9"/>
    <x v="2"/>
    <s v="M68 3IV"/>
    <n v="2"/>
    <n v="1"/>
    <n v="8846.06"/>
    <n v="8846.06"/>
    <s v="May"/>
    <s v="2025"/>
    <s v="May 2025"/>
    <s v="Saturday"/>
    <x v="2"/>
    <s v="Sophia Smith"/>
    <s v="Female"/>
    <x v="1"/>
  </r>
  <r>
    <x v="302"/>
    <x v="251"/>
    <d v="2024-12-31T00:00:00"/>
    <d v="1995-08-19T00:00:00"/>
    <n v="30"/>
    <x v="0"/>
    <x v="11"/>
    <x v="8"/>
    <x v="3"/>
    <s v="Pediatrics"/>
    <s v="Inpatient"/>
    <n v="184.03"/>
    <n v="1413.71"/>
    <n v="2028.09"/>
    <n v="1859.37"/>
    <x v="3"/>
    <x v="2"/>
    <x v="6"/>
    <s v="E38 1OB"/>
    <n v="9"/>
    <n v="10"/>
    <n v="5485.2"/>
    <n v="548.52"/>
    <s v="December"/>
    <s v="2024"/>
    <s v="Dec 2024"/>
    <s v="Saturday"/>
    <x v="0"/>
    <s v="Daniel K Green"/>
    <s v="Male"/>
    <x v="2"/>
  </r>
  <r>
    <x v="303"/>
    <x v="252"/>
    <d v="2025-06-16T00:00:00"/>
    <d v="1953-06-10T00:00:00"/>
    <n v="73"/>
    <x v="1"/>
    <x v="0"/>
    <x v="5"/>
    <x v="1"/>
    <s v="Oncology"/>
    <s v="Emergency"/>
    <n v="4849.92"/>
    <n v="1601.98"/>
    <n v="898.21"/>
    <n v="12498.93"/>
    <x v="3"/>
    <x v="2"/>
    <x v="0"/>
    <s v="M52 2IJ"/>
    <n v="1"/>
    <n v="18"/>
    <n v="19849.04"/>
    <n v="1102.7244444444445"/>
    <s v="May"/>
    <s v="2025"/>
    <s v="May 2025"/>
    <s v="Thursday"/>
    <x v="1"/>
    <s v="Olivia K Wood"/>
    <s v="Female"/>
    <x v="0"/>
  </r>
  <r>
    <x v="304"/>
    <x v="253"/>
    <d v="2024-11-11T00:00:00"/>
    <d v="1980-04-10T00:00:00"/>
    <n v="46"/>
    <x v="0"/>
    <x v="11"/>
    <x v="0"/>
    <x v="2"/>
    <s v="Cardiology"/>
    <s v="Inpatient"/>
    <n v="2655.66"/>
    <n v="1233.6099999999999"/>
    <n v="1667.24"/>
    <n v="13023.59"/>
    <x v="3"/>
    <x v="9"/>
    <x v="8"/>
    <s v="M60 7NO"/>
    <n v="7"/>
    <n v="3"/>
    <n v="18580.099999999999"/>
    <n v="6193.3666666666659"/>
    <s v="November"/>
    <s v="2024"/>
    <s v="Nov 2024"/>
    <s v="Friday"/>
    <x v="2"/>
    <s v="Noah I Green"/>
    <s v="Male"/>
    <x v="1"/>
  </r>
  <r>
    <x v="305"/>
    <x v="254"/>
    <d v="2025-02-17T00:00:00"/>
    <d v="1948-07-05T00:00:00"/>
    <n v="77"/>
    <x v="3"/>
    <x v="8"/>
    <x v="6"/>
    <x v="2"/>
    <s v="Orthopedics"/>
    <s v="Outpatient"/>
    <n v="4170.6400000000003"/>
    <n v="1886.78"/>
    <n v="280.47000000000003"/>
    <n v="10448.42"/>
    <x v="0"/>
    <x v="3"/>
    <x v="4"/>
    <s v="M89 6BD"/>
    <n v="5"/>
    <n v="1"/>
    <n v="16786.310000000001"/>
    <n v="16786.310000000001"/>
    <s v="February"/>
    <s v="2025"/>
    <s v="Feb 2025"/>
    <s v="Sunday"/>
    <x v="1"/>
    <s v="Lily Hall"/>
    <s v="Female"/>
    <x v="1"/>
  </r>
  <r>
    <x v="306"/>
    <x v="255"/>
    <d v="2024-01-23T00:00:00"/>
    <d v="1985-05-24T00:00:00"/>
    <n v="41"/>
    <x v="3"/>
    <x v="6"/>
    <x v="1"/>
    <x v="0"/>
    <s v="Oncology"/>
    <s v="Surgery"/>
    <n v="3782.93"/>
    <n v="1289.1600000000001"/>
    <n v="736.38"/>
    <n v="14574.76"/>
    <x v="2"/>
    <x v="0"/>
    <x v="7"/>
    <s v="M8 2JM"/>
    <n v="2"/>
    <n v="16"/>
    <n v="20383.23"/>
    <n v="1273.951875"/>
    <s v="January"/>
    <s v="2024"/>
    <s v="Jan 2024"/>
    <s v="Sunday"/>
    <x v="2"/>
    <s v="Daniel Taylor"/>
    <s v="Male"/>
    <x v="0"/>
  </r>
  <r>
    <x v="307"/>
    <x v="256"/>
    <d v="2025-11-12T00:00:00"/>
    <d v="1956-03-27T00:00:00"/>
    <n v="70"/>
    <x v="0"/>
    <x v="5"/>
    <x v="5"/>
    <x v="2"/>
    <s v="Pediatrics"/>
    <s v="Inpatient"/>
    <n v="4885.28"/>
    <n v="1373.52"/>
    <n v="2048.0500000000002"/>
    <n v="10133.43"/>
    <x v="3"/>
    <x v="5"/>
    <x v="0"/>
    <s v="E60 7NE"/>
    <n v="5"/>
    <n v="8"/>
    <n v="18440.28"/>
    <n v="2305.0349999999999"/>
    <s v="November"/>
    <s v="2025"/>
    <s v="Nov 2025"/>
    <s v="Tuesday"/>
    <x v="1"/>
    <s v="Mia X Brown"/>
    <s v="Female"/>
    <x v="2"/>
  </r>
  <r>
    <x v="308"/>
    <x v="257"/>
    <d v="2025-05-09T00:00:00"/>
    <d v="2003-06-05T00:00:00"/>
    <n v="23"/>
    <x v="3"/>
    <x v="9"/>
    <x v="0"/>
    <x v="3"/>
    <s v="Pediatrics"/>
    <s v="Emergency"/>
    <n v="4099.6499999999996"/>
    <n v="1016.29"/>
    <n v="1565.06"/>
    <n v="2533.16"/>
    <x v="3"/>
    <x v="7"/>
    <x v="3"/>
    <s v="SW84 6OW"/>
    <n v="9"/>
    <n v="15"/>
    <n v="9214.16"/>
    <n v="614.27733333333333"/>
    <s v="April"/>
    <s v="2025"/>
    <s v="Apr 2025"/>
    <s v="Thursday"/>
    <x v="0"/>
    <s v="Samuel Smith"/>
    <s v="Male"/>
    <x v="0"/>
  </r>
  <r>
    <x v="309"/>
    <x v="258"/>
    <d v="2025-09-13T00:00:00"/>
    <d v="1953-12-11T00:00:00"/>
    <n v="72"/>
    <x v="2"/>
    <x v="2"/>
    <x v="2"/>
    <x v="0"/>
    <s v="Neurology"/>
    <s v="Surgery"/>
    <n v="741.15"/>
    <n v="816.33"/>
    <n v="236.95"/>
    <n v="2412.42"/>
    <x v="2"/>
    <x v="6"/>
    <x v="9"/>
    <s v="N14 3XM"/>
    <n v="3"/>
    <n v="19"/>
    <n v="4206.8500000000004"/>
    <n v="221.41315789473686"/>
    <s v="August"/>
    <s v="2025"/>
    <s v="Aug 2025"/>
    <s v="Monday"/>
    <x v="1"/>
    <s v="Grace Jones"/>
    <s v="Female"/>
    <x v="0"/>
  </r>
  <r>
    <x v="310"/>
    <x v="259"/>
    <d v="2025-04-18T00:00:00"/>
    <d v="1965-02-23T00:00:00"/>
    <n v="61"/>
    <x v="2"/>
    <x v="6"/>
    <x v="5"/>
    <x v="2"/>
    <s v="Orthopedics"/>
    <s v="Outpatient"/>
    <n v="3498.83"/>
    <n v="1793.6"/>
    <n v="876.25"/>
    <n v="944.56"/>
    <x v="3"/>
    <x v="6"/>
    <x v="9"/>
    <s v="E75 1UV"/>
    <n v="8"/>
    <n v="13"/>
    <n v="7113.24"/>
    <n v="547.17230769230764"/>
    <s v="April"/>
    <s v="2025"/>
    <s v="Apr 2025"/>
    <s v="Saturday"/>
    <x v="1"/>
    <s v="Ethan Y Taylor"/>
    <s v="Male"/>
    <x v="2"/>
  </r>
  <r>
    <x v="311"/>
    <x v="140"/>
    <d v="2025-05-17T00:00:00"/>
    <d v="1957-04-19T00:00:00"/>
    <n v="69"/>
    <x v="0"/>
    <x v="1"/>
    <x v="2"/>
    <x v="1"/>
    <s v="Cardiology"/>
    <s v="Surgery"/>
    <n v="3037.8"/>
    <n v="1811.89"/>
    <n v="368.89"/>
    <n v="14319.38"/>
    <x v="3"/>
    <x v="0"/>
    <x v="1"/>
    <s v="M30 1TR"/>
    <n v="7"/>
    <n v="17"/>
    <n v="19537.96"/>
    <n v="1149.2917647058823"/>
    <s v="April"/>
    <s v="2025"/>
    <s v="Apr 2025"/>
    <s v="Wednesday"/>
    <x v="1"/>
    <s v="Amelia Smith"/>
    <s v="Female"/>
    <x v="0"/>
  </r>
  <r>
    <x v="312"/>
    <x v="260"/>
    <d v="2025-07-04T00:00:00"/>
    <d v="1979-10-08T00:00:00"/>
    <n v="46"/>
    <x v="1"/>
    <x v="2"/>
    <x v="9"/>
    <x v="2"/>
    <s v="Orthopedics"/>
    <s v="Inpatient"/>
    <n v="423.58"/>
    <n v="211.5"/>
    <n v="2484.1"/>
    <n v="14647"/>
    <x v="2"/>
    <x v="5"/>
    <x v="5"/>
    <s v="N27 9XK"/>
    <n v="0"/>
    <n v="20"/>
    <n v="17766.18"/>
    <n v="888.30899999999997"/>
    <s v="June"/>
    <s v="2025"/>
    <s v="Jun 2025"/>
    <s v="Saturday"/>
    <x v="2"/>
    <s v="Henry H Brown"/>
    <s v="Male"/>
    <x v="0"/>
  </r>
  <r>
    <x v="313"/>
    <x v="12"/>
    <d v="2024-02-16T00:00:00"/>
    <d v="2005-03-09T00:00:00"/>
    <n v="21"/>
    <x v="1"/>
    <x v="6"/>
    <x v="4"/>
    <x v="2"/>
    <s v="Emergency"/>
    <s v="Outpatient"/>
    <n v="4614.78"/>
    <n v="921.9"/>
    <n v="1864.76"/>
    <n v="8241.34"/>
    <x v="4"/>
    <x v="9"/>
    <x v="4"/>
    <s v="M88 1RP"/>
    <n v="4"/>
    <n v="4"/>
    <n v="15642.779999999999"/>
    <n v="3910.6949999999997"/>
    <s v="February"/>
    <s v="2024"/>
    <s v="Feb 2024"/>
    <s v="Monday"/>
    <x v="0"/>
    <s v="Olivia T Brown"/>
    <s v="Female"/>
    <x v="3"/>
  </r>
  <r>
    <x v="314"/>
    <x v="261"/>
    <d v="2024-03-08T00:00:00"/>
    <d v="1957-06-14T00:00:00"/>
    <n v="68"/>
    <x v="1"/>
    <x v="10"/>
    <x v="7"/>
    <x v="2"/>
    <s v="General Medicine"/>
    <s v="Outpatient"/>
    <n v="3405.87"/>
    <n v="302.83"/>
    <n v="0"/>
    <n v="0"/>
    <x v="2"/>
    <x v="4"/>
    <x v="1"/>
    <s v="E17 8FJ"/>
    <n v="9"/>
    <n v="8"/>
    <n v="3708.7"/>
    <n v="463.58749999999998"/>
    <s v="February"/>
    <s v="2024"/>
    <s v="Feb 2024"/>
    <s v="Thursday"/>
    <x v="1"/>
    <s v="David E Jones"/>
    <s v="Male"/>
    <x v="2"/>
  </r>
  <r>
    <x v="315"/>
    <x v="262"/>
    <d v="2025-06-02T00:00:00"/>
    <d v="2005-09-07T00:00:00"/>
    <n v="20"/>
    <x v="3"/>
    <x v="10"/>
    <x v="7"/>
    <x v="3"/>
    <s v="Oncology"/>
    <s v="Outpatient"/>
    <n v="1838.27"/>
    <n v="1544.82"/>
    <n v="2337.27"/>
    <n v="6237.91"/>
    <x v="1"/>
    <x v="3"/>
    <x v="8"/>
    <s v="M91 8IC"/>
    <n v="4"/>
    <n v="12"/>
    <n v="11958.27"/>
    <n v="996.52250000000004"/>
    <s v="May"/>
    <s v="2025"/>
    <s v="May 2025"/>
    <s v="Wednesday"/>
    <x v="0"/>
    <s v="Mia S Wilson"/>
    <s v="Female"/>
    <x v="2"/>
  </r>
  <r>
    <x v="316"/>
    <x v="263"/>
    <d v="2025-11-11T00:00:00"/>
    <d v="1960-12-15T00:00:00"/>
    <n v="65"/>
    <x v="2"/>
    <x v="11"/>
    <x v="8"/>
    <x v="3"/>
    <s v="Emergency"/>
    <s v="Emergency"/>
    <n v="2602.13"/>
    <n v="1599.39"/>
    <n v="1184.8"/>
    <n v="9276.26"/>
    <x v="2"/>
    <x v="8"/>
    <x v="5"/>
    <s v="M50 8BH"/>
    <n v="7"/>
    <n v="15"/>
    <n v="14662.580000000002"/>
    <n v="977.5053333333334"/>
    <s v="October"/>
    <s v="2025"/>
    <s v="Oct 2025"/>
    <s v="Monday"/>
    <x v="1"/>
    <s v="James W Wood"/>
    <s v="Male"/>
    <x v="0"/>
  </r>
  <r>
    <x v="317"/>
    <x v="264"/>
    <d v="2025-09-04T00:00:00"/>
    <d v="2004-05-26T00:00:00"/>
    <n v="22"/>
    <x v="0"/>
    <x v="6"/>
    <x v="4"/>
    <x v="0"/>
    <s v="Respiratory"/>
    <s v="Outpatient"/>
    <n v="2355.5500000000002"/>
    <n v="569.57000000000005"/>
    <n v="1879.26"/>
    <n v="1028.7"/>
    <x v="0"/>
    <x v="0"/>
    <x v="7"/>
    <s v="M74 9IF"/>
    <n v="1"/>
    <n v="7"/>
    <n v="5833.08"/>
    <n v="833.29714285714283"/>
    <s v="August"/>
    <s v="2025"/>
    <s v="Aug 2025"/>
    <s v="Thursday"/>
    <x v="0"/>
    <s v="Ava Evans"/>
    <s v="Female"/>
    <x v="3"/>
  </r>
  <r>
    <x v="318"/>
    <x v="265"/>
    <d v="2025-10-01T00:00:00"/>
    <d v="1981-07-02T00:00:00"/>
    <n v="44"/>
    <x v="3"/>
    <x v="11"/>
    <x v="2"/>
    <x v="3"/>
    <s v="Emergency"/>
    <s v="Inpatient"/>
    <n v="4648.3999999999996"/>
    <n v="173.02"/>
    <n v="589.69000000000005"/>
    <n v="5926.04"/>
    <x v="2"/>
    <x v="6"/>
    <x v="5"/>
    <s v="M5 6PU"/>
    <n v="6"/>
    <n v="9"/>
    <n v="11337.150000000001"/>
    <n v="1259.6833333333334"/>
    <s v="September"/>
    <s v="2025"/>
    <s v="Sep 2025"/>
    <s v="Monday"/>
    <x v="2"/>
    <s v="David Wilson"/>
    <s v="Male"/>
    <x v="2"/>
  </r>
  <r>
    <x v="319"/>
    <x v="266"/>
    <d v="2024-08-26T00:00:00"/>
    <d v="1961-08-05T00:00:00"/>
    <n v="64"/>
    <x v="3"/>
    <x v="6"/>
    <x v="5"/>
    <x v="1"/>
    <s v="Cardiology"/>
    <s v="Outpatient"/>
    <n v="4296.38"/>
    <n v="1069.8699999999999"/>
    <n v="583.46"/>
    <n v="6338.16"/>
    <x v="3"/>
    <x v="2"/>
    <x v="9"/>
    <s v="E92 5IA"/>
    <n v="3"/>
    <n v="6"/>
    <n v="12287.869999999999"/>
    <n v="2047.9783333333332"/>
    <s v="August"/>
    <s v="2024"/>
    <s v="Aug 2024"/>
    <s v="Tuesday"/>
    <x v="1"/>
    <s v="Lily J White"/>
    <s v="Female"/>
    <x v="3"/>
  </r>
  <r>
    <x v="320"/>
    <x v="267"/>
    <d v="2025-12-12T00:00:00"/>
    <d v="1981-06-27T00:00:00"/>
    <n v="44"/>
    <x v="2"/>
    <x v="8"/>
    <x v="8"/>
    <x v="3"/>
    <s v="Cardiology"/>
    <s v="Outpatient"/>
    <n v="4341.3500000000004"/>
    <n v="1496.2"/>
    <n v="183.65"/>
    <n v="14051.11"/>
    <x v="3"/>
    <x v="1"/>
    <x v="4"/>
    <s v="E21 6BJ"/>
    <n v="6"/>
    <n v="14"/>
    <n v="20072.310000000001"/>
    <n v="1433.7364285714286"/>
    <s v="November"/>
    <s v="2025"/>
    <s v="Nov 2025"/>
    <s v="Friday"/>
    <x v="2"/>
    <s v="Michael Brown"/>
    <s v="Male"/>
    <x v="2"/>
  </r>
  <r>
    <x v="321"/>
    <x v="268"/>
    <d v="2025-11-08T00:00:00"/>
    <d v="1998-10-02T00:00:00"/>
    <n v="27"/>
    <x v="3"/>
    <x v="6"/>
    <x v="3"/>
    <x v="1"/>
    <s v="Pediatrics"/>
    <s v="Surgery"/>
    <n v="3088.09"/>
    <n v="701.41"/>
    <n v="1025.54"/>
    <n v="4826.68"/>
    <x v="2"/>
    <x v="0"/>
    <x v="5"/>
    <s v="B61 9QO"/>
    <n v="10"/>
    <n v="5"/>
    <n v="9641.7200000000012"/>
    <n v="1928.3440000000003"/>
    <s v="November"/>
    <s v="2025"/>
    <s v="Nov 2025"/>
    <s v="Monday"/>
    <x v="0"/>
    <s v="Freya S Robinson"/>
    <s v="Female"/>
    <x v="3"/>
  </r>
  <r>
    <x v="322"/>
    <x v="226"/>
    <d v="2025-01-08T00:00:00"/>
    <d v="1973-12-14T00:00:00"/>
    <n v="52"/>
    <x v="1"/>
    <x v="6"/>
    <x v="2"/>
    <x v="1"/>
    <s v="General Medicine"/>
    <s v="Inpatient"/>
    <n v="4335.32"/>
    <n v="1223.71"/>
    <n v="2774.42"/>
    <n v="2243.5"/>
    <x v="1"/>
    <x v="4"/>
    <x v="9"/>
    <s v="M87 3TI"/>
    <n v="4"/>
    <n v="3"/>
    <n v="10576.95"/>
    <n v="3525.65"/>
    <s v="January"/>
    <s v="2025"/>
    <s v="Jan 2025"/>
    <s v="Sunday"/>
    <x v="2"/>
    <s v="Ethan M Green"/>
    <s v="Male"/>
    <x v="1"/>
  </r>
  <r>
    <x v="323"/>
    <x v="269"/>
    <d v="2024-06-23T00:00:00"/>
    <d v="2001-08-01T00:00:00"/>
    <n v="24"/>
    <x v="3"/>
    <x v="9"/>
    <x v="3"/>
    <x v="0"/>
    <s v="Orthopedics"/>
    <s v="Inpatient"/>
    <n v="2916.15"/>
    <n v="1287.3900000000001"/>
    <n v="475.64"/>
    <n v="6915.43"/>
    <x v="0"/>
    <x v="7"/>
    <x v="2"/>
    <s v="B50 7LE"/>
    <n v="0"/>
    <n v="4"/>
    <n v="11594.61"/>
    <n v="2898.6525000000001"/>
    <s v="June"/>
    <s v="2024"/>
    <s v="Jun 2024"/>
    <s v="Wednesday"/>
    <x v="0"/>
    <s v="Ella Martin"/>
    <s v="Female"/>
    <x v="3"/>
  </r>
  <r>
    <x v="324"/>
    <x v="270"/>
    <d v="2025-03-09T00:00:00"/>
    <d v="1992-06-15T00:00:00"/>
    <n v="33"/>
    <x v="3"/>
    <x v="7"/>
    <x v="3"/>
    <x v="0"/>
    <s v="Oncology"/>
    <s v="Surgery"/>
    <n v="2584.33"/>
    <n v="146.21"/>
    <n v="873.37"/>
    <n v="13260.9"/>
    <x v="3"/>
    <x v="3"/>
    <x v="4"/>
    <s v="SW87 8MK"/>
    <n v="10"/>
    <n v="15"/>
    <n v="16864.809999999998"/>
    <n v="1124.3206666666665"/>
    <s v="February"/>
    <s v="2025"/>
    <s v="Feb 2025"/>
    <s v="Saturday"/>
    <x v="0"/>
    <s v="Michael D Jones"/>
    <s v="Male"/>
    <x v="0"/>
  </r>
  <r>
    <x v="325"/>
    <x v="271"/>
    <d v="2024-07-06T00:00:00"/>
    <d v="1965-07-11T00:00:00"/>
    <n v="60"/>
    <x v="1"/>
    <x v="1"/>
    <x v="4"/>
    <x v="1"/>
    <s v="Pediatrics"/>
    <s v="Inpatient"/>
    <n v="1264.5999999999999"/>
    <n v="1191.94"/>
    <n v="1864.91"/>
    <n v="4961.43"/>
    <x v="3"/>
    <x v="2"/>
    <x v="6"/>
    <s v="SW63 8HF"/>
    <n v="10"/>
    <n v="5"/>
    <n v="9282.880000000001"/>
    <n v="1856.5760000000002"/>
    <s v="July"/>
    <s v="2024"/>
    <s v="Jul 2024"/>
    <s v="Monday"/>
    <x v="1"/>
    <s v="Ella V Robinson"/>
    <s v="Female"/>
    <x v="3"/>
  </r>
  <r>
    <x v="326"/>
    <x v="147"/>
    <d v="2025-07-11T00:00:00"/>
    <d v="1983-01-18T00:00:00"/>
    <n v="43"/>
    <x v="2"/>
    <x v="8"/>
    <x v="4"/>
    <x v="2"/>
    <s v="Oncology"/>
    <s v="Inpatient"/>
    <n v="1994.74"/>
    <n v="696.84"/>
    <n v="910.18"/>
    <n v="7098.64"/>
    <x v="1"/>
    <x v="7"/>
    <x v="1"/>
    <s v="E57 7PI"/>
    <n v="10"/>
    <n v="7"/>
    <n v="10700.4"/>
    <n v="1528.6285714285714"/>
    <s v="July"/>
    <s v="2025"/>
    <s v="Jul 2025"/>
    <s v="Friday"/>
    <x v="2"/>
    <s v="Benjamin Z Wilson"/>
    <s v="Male"/>
    <x v="3"/>
  </r>
  <r>
    <x v="327"/>
    <x v="272"/>
    <d v="2025-06-12T00:00:00"/>
    <d v="1974-11-24T00:00:00"/>
    <n v="51"/>
    <x v="3"/>
    <x v="0"/>
    <x v="2"/>
    <x v="3"/>
    <s v="Pediatrics"/>
    <s v="Outpatient"/>
    <n v="4197.26"/>
    <n v="457.74"/>
    <n v="3017.42"/>
    <n v="9251.8700000000008"/>
    <x v="2"/>
    <x v="5"/>
    <x v="5"/>
    <s v="N18 7HV"/>
    <n v="6"/>
    <n v="3"/>
    <n v="16924.29"/>
    <n v="5641.43"/>
    <s v="June"/>
    <s v="2025"/>
    <s v="Jun 2025"/>
    <s v="Monday"/>
    <x v="2"/>
    <s v="Charlotte Smith"/>
    <s v="Female"/>
    <x v="1"/>
  </r>
  <r>
    <x v="328"/>
    <x v="152"/>
    <d v="2025-06-04T00:00:00"/>
    <d v="1945-07-03T00:00:00"/>
    <n v="80"/>
    <x v="1"/>
    <x v="8"/>
    <x v="1"/>
    <x v="0"/>
    <s v="General Medicine"/>
    <s v="Emergency"/>
    <n v="1116.29"/>
    <n v="1893.75"/>
    <n v="2893.31"/>
    <n v="5436.53"/>
    <x v="0"/>
    <x v="3"/>
    <x v="9"/>
    <s v="SW86 8PZ"/>
    <n v="7"/>
    <n v="18"/>
    <n v="11339.880000000001"/>
    <n v="629.99333333333334"/>
    <s v="May"/>
    <s v="2025"/>
    <s v="May 2025"/>
    <s v="Saturday"/>
    <x v="1"/>
    <s v="Noah Hall"/>
    <s v="Male"/>
    <x v="0"/>
  </r>
  <r>
    <x v="329"/>
    <x v="79"/>
    <d v="2025-11-23T00:00:00"/>
    <d v="1973-06-08T00:00:00"/>
    <n v="53"/>
    <x v="2"/>
    <x v="7"/>
    <x v="8"/>
    <x v="3"/>
    <s v="Emergency"/>
    <s v="Surgery"/>
    <n v="3507.14"/>
    <n v="946.26"/>
    <n v="1542.7"/>
    <n v="5460.99"/>
    <x v="2"/>
    <x v="6"/>
    <x v="0"/>
    <s v="N4 5IQ"/>
    <n v="3"/>
    <n v="14"/>
    <n v="11457.09"/>
    <n v="818.36357142857139"/>
    <s v="November"/>
    <s v="2025"/>
    <s v="Nov 2025"/>
    <s v="Sunday"/>
    <x v="2"/>
    <s v="Amelia Evans"/>
    <s v="Female"/>
    <x v="2"/>
  </r>
  <r>
    <x v="330"/>
    <x v="273"/>
    <d v="2024-08-23T00:00:00"/>
    <d v="1962-08-24T00:00:00"/>
    <n v="63"/>
    <x v="3"/>
    <x v="4"/>
    <x v="4"/>
    <x v="2"/>
    <s v="Cardiology"/>
    <s v="Outpatient"/>
    <n v="1469.81"/>
    <n v="872.99"/>
    <n v="2265.62"/>
    <n v="6967.47"/>
    <x v="3"/>
    <x v="3"/>
    <x v="5"/>
    <s v="M12 6LY"/>
    <n v="2"/>
    <n v="11"/>
    <n v="11575.89"/>
    <n v="1052.3536363636363"/>
    <s v="August"/>
    <s v="2024"/>
    <s v="Aug 2024"/>
    <s v="Monday"/>
    <x v="1"/>
    <s v="Michael Thompson"/>
    <s v="Male"/>
    <x v="2"/>
  </r>
  <r>
    <x v="331"/>
    <x v="274"/>
    <d v="2024-12-19T00:00:00"/>
    <d v="1996-03-12T00:00:00"/>
    <n v="30"/>
    <x v="1"/>
    <x v="8"/>
    <x v="7"/>
    <x v="2"/>
    <s v="Emergency"/>
    <s v="Outpatient"/>
    <n v="2397.1999999999998"/>
    <n v="179.69"/>
    <n v="281.55"/>
    <n v="14646.53"/>
    <x v="2"/>
    <x v="9"/>
    <x v="6"/>
    <s v="E30 4BI"/>
    <n v="9"/>
    <n v="14"/>
    <n v="17504.97"/>
    <n v="1250.355"/>
    <s v="December"/>
    <s v="2024"/>
    <s v="Dec 2024"/>
    <s v="Thursday"/>
    <x v="0"/>
    <s v="Sarah Hall"/>
    <s v="Female"/>
    <x v="2"/>
  </r>
  <r>
    <x v="332"/>
    <x v="275"/>
    <d v="2025-07-28T00:00:00"/>
    <d v="1945-12-27T00:00:00"/>
    <n v="80"/>
    <x v="0"/>
    <x v="8"/>
    <x v="5"/>
    <x v="0"/>
    <s v="Emergency"/>
    <s v="Emergency"/>
    <n v="3484.1"/>
    <n v="1023.22"/>
    <n v="928.15"/>
    <n v="2246.25"/>
    <x v="0"/>
    <x v="7"/>
    <x v="7"/>
    <s v="N13 5US"/>
    <n v="5"/>
    <n v="20"/>
    <n v="7681.7199999999993"/>
    <n v="384.08599999999996"/>
    <s v="July"/>
    <s v="2025"/>
    <s v="Jul 2025"/>
    <s v="Tuesday"/>
    <x v="1"/>
    <s v="Leo D Clarke"/>
    <s v="Male"/>
    <x v="0"/>
  </r>
  <r>
    <x v="333"/>
    <x v="61"/>
    <d v="2025-02-19T00:00:00"/>
    <d v="1946-08-24T00:00:00"/>
    <n v="79"/>
    <x v="0"/>
    <x v="9"/>
    <x v="9"/>
    <x v="3"/>
    <s v="Neurology"/>
    <s v="Emergency"/>
    <n v="4459.3"/>
    <n v="1218.03"/>
    <n v="1754.12"/>
    <n v="11438.07"/>
    <x v="2"/>
    <x v="8"/>
    <x v="1"/>
    <s v="E72 3GP"/>
    <n v="8"/>
    <n v="12"/>
    <n v="18869.52"/>
    <n v="1572.46"/>
    <s v="February"/>
    <s v="2025"/>
    <s v="Feb 2025"/>
    <s v="Friday"/>
    <x v="1"/>
    <s v="Isabella U Evans"/>
    <s v="Female"/>
    <x v="2"/>
  </r>
  <r>
    <x v="334"/>
    <x v="276"/>
    <d v="2024-12-16T00:00:00"/>
    <d v="1961-07-10T00:00:00"/>
    <n v="64"/>
    <x v="0"/>
    <x v="0"/>
    <x v="4"/>
    <x v="2"/>
    <s v="Neurology"/>
    <s v="Inpatient"/>
    <n v="227.21"/>
    <n v="1558.07"/>
    <n v="98.81"/>
    <n v="6782.28"/>
    <x v="0"/>
    <x v="9"/>
    <x v="9"/>
    <s v="SW60 8QR"/>
    <n v="4"/>
    <n v="5"/>
    <n v="8666.369999999999"/>
    <n v="1733.2739999999999"/>
    <s v="December"/>
    <s v="2024"/>
    <s v="Dec 2024"/>
    <s v="Wednesday"/>
    <x v="1"/>
    <s v="Arthur Wood"/>
    <s v="Male"/>
    <x v="3"/>
  </r>
  <r>
    <x v="335"/>
    <x v="233"/>
    <d v="2025-03-26T00:00:00"/>
    <d v="2000-02-02T00:00:00"/>
    <n v="26"/>
    <x v="0"/>
    <x v="6"/>
    <x v="5"/>
    <x v="3"/>
    <s v="General Medicine"/>
    <s v="Surgery"/>
    <n v="2896.71"/>
    <n v="1543.81"/>
    <n v="2331.81"/>
    <n v="8697.8799999999992"/>
    <x v="3"/>
    <x v="3"/>
    <x v="8"/>
    <s v="B48 3EJ"/>
    <n v="1"/>
    <n v="16"/>
    <n v="15470.21"/>
    <n v="966.88812499999995"/>
    <s v="March"/>
    <s v="2025"/>
    <s v="Mar 2025"/>
    <s v="Monday"/>
    <x v="0"/>
    <s v="Ella Thomas"/>
    <s v="Female"/>
    <x v="0"/>
  </r>
  <r>
    <x v="336"/>
    <x v="140"/>
    <d v="2025-05-01T00:00:00"/>
    <d v="1978-12-27T00:00:00"/>
    <n v="47"/>
    <x v="3"/>
    <x v="10"/>
    <x v="2"/>
    <x v="3"/>
    <s v="General Medicine"/>
    <s v="Outpatient"/>
    <n v="3649.45"/>
    <n v="664.36"/>
    <n v="103.18"/>
    <n v="5282.19"/>
    <x v="2"/>
    <x v="6"/>
    <x v="4"/>
    <s v="M77 3CL"/>
    <n v="4"/>
    <n v="1"/>
    <n v="9699.18"/>
    <n v="9699.18"/>
    <s v="April"/>
    <s v="2025"/>
    <s v="Apr 2025"/>
    <s v="Wednesday"/>
    <x v="2"/>
    <s v="Oliver White"/>
    <s v="Male"/>
    <x v="1"/>
  </r>
  <r>
    <x v="337"/>
    <x v="277"/>
    <d v="2025-11-13T00:00:00"/>
    <d v="1980-09-21T00:00:00"/>
    <n v="45"/>
    <x v="2"/>
    <x v="2"/>
    <x v="8"/>
    <x v="0"/>
    <s v="Orthopedics"/>
    <s v="Inpatient"/>
    <n v="1882.13"/>
    <n v="1695.75"/>
    <n v="1213.83"/>
    <n v="13565.83"/>
    <x v="3"/>
    <x v="8"/>
    <x v="4"/>
    <s v="B78 5ZX"/>
    <n v="10"/>
    <n v="7"/>
    <n v="18357.54"/>
    <n v="2622.5057142857145"/>
    <s v="November"/>
    <s v="2025"/>
    <s v="Nov 2025"/>
    <s v="Thursday"/>
    <x v="2"/>
    <s v="Ella T Walker"/>
    <s v="Female"/>
    <x v="3"/>
  </r>
  <r>
    <x v="338"/>
    <x v="96"/>
    <d v="2024-03-22T00:00:00"/>
    <d v="1975-01-11T00:00:00"/>
    <n v="51"/>
    <x v="2"/>
    <x v="2"/>
    <x v="5"/>
    <x v="3"/>
    <s v="Oncology"/>
    <s v="Outpatient"/>
    <n v="3766.01"/>
    <n v="1647.53"/>
    <n v="1419.26"/>
    <n v="14697.24"/>
    <x v="0"/>
    <x v="7"/>
    <x v="6"/>
    <s v="B41 9CT"/>
    <n v="2"/>
    <n v="2"/>
    <n v="21530.04"/>
    <n v="10765.02"/>
    <s v="March"/>
    <s v="2024"/>
    <s v="Mar 2024"/>
    <s v="Wednesday"/>
    <x v="2"/>
    <s v="Henry Clarke"/>
    <s v="Male"/>
    <x v="1"/>
  </r>
  <r>
    <x v="339"/>
    <x v="278"/>
    <d v="2024-02-07T00:00:00"/>
    <d v="1986-06-06T00:00:00"/>
    <n v="40"/>
    <x v="3"/>
    <x v="3"/>
    <x v="6"/>
    <x v="1"/>
    <s v="General Medicine"/>
    <s v="Surgery"/>
    <n v="266.68"/>
    <n v="120.36"/>
    <n v="986.7"/>
    <n v="5159.79"/>
    <x v="0"/>
    <x v="1"/>
    <x v="7"/>
    <s v="SW68 4AS"/>
    <n v="4"/>
    <n v="12"/>
    <n v="6533.53"/>
    <n v="544.46083333333331"/>
    <s v="January"/>
    <s v="2024"/>
    <s v="Jan 2024"/>
    <s v="Friday"/>
    <x v="2"/>
    <s v="Mia Hall"/>
    <s v="Female"/>
    <x v="2"/>
  </r>
  <r>
    <x v="340"/>
    <x v="100"/>
    <d v="2024-09-25T00:00:00"/>
    <d v="1947-12-23T00:00:00"/>
    <n v="78"/>
    <x v="3"/>
    <x v="10"/>
    <x v="4"/>
    <x v="3"/>
    <s v="Oncology"/>
    <s v="Emergency"/>
    <n v="603.34"/>
    <n v="1478.12"/>
    <n v="2601.2199999999998"/>
    <n v="15010.8"/>
    <x v="0"/>
    <x v="1"/>
    <x v="8"/>
    <s v="E79 3WX"/>
    <n v="8"/>
    <n v="9"/>
    <n v="19693.48"/>
    <n v="2188.1644444444446"/>
    <s v="September"/>
    <s v="2024"/>
    <s v="Sep 2024"/>
    <s v="Monday"/>
    <x v="1"/>
    <s v="Leo K Walker"/>
    <s v="Male"/>
    <x v="2"/>
  </r>
  <r>
    <x v="341"/>
    <x v="279"/>
    <d v="2025-09-21T00:00:00"/>
    <d v="1999-04-21T00:00:00"/>
    <n v="27"/>
    <x v="2"/>
    <x v="5"/>
    <x v="2"/>
    <x v="2"/>
    <s v="Neurology"/>
    <s v="Emergency"/>
    <n v="1795.87"/>
    <n v="866.65"/>
    <n v="0"/>
    <n v="0"/>
    <x v="1"/>
    <x v="8"/>
    <x v="5"/>
    <s v="E25 9EX"/>
    <n v="10"/>
    <n v="1"/>
    <n v="2662.52"/>
    <n v="2662.52"/>
    <s v="September"/>
    <s v="2025"/>
    <s v="Sep 2025"/>
    <s v="Saturday"/>
    <x v="0"/>
    <s v="Chloe C Jones"/>
    <s v="Female"/>
    <x v="1"/>
  </r>
  <r>
    <x v="342"/>
    <x v="280"/>
    <d v="2024-05-11T00:00:00"/>
    <d v="1962-09-12T00:00:00"/>
    <n v="63"/>
    <x v="3"/>
    <x v="9"/>
    <x v="6"/>
    <x v="3"/>
    <s v="Pediatrics"/>
    <s v="Outpatient"/>
    <n v="2468.8000000000002"/>
    <n v="335.25"/>
    <n v="422.63"/>
    <n v="5640.34"/>
    <x v="0"/>
    <x v="0"/>
    <x v="5"/>
    <s v="N82 6OC"/>
    <n v="2"/>
    <n v="11"/>
    <n v="8867.02"/>
    <n v="806.0927272727273"/>
    <s v="April"/>
    <s v="2024"/>
    <s v="Apr 2024"/>
    <s v="Tuesday"/>
    <x v="1"/>
    <s v="Daniel H Wood"/>
    <s v="Male"/>
    <x v="2"/>
  </r>
  <r>
    <x v="343"/>
    <x v="281"/>
    <d v="2024-07-29T00:00:00"/>
    <d v="1998-04-09T00:00:00"/>
    <n v="28"/>
    <x v="1"/>
    <x v="10"/>
    <x v="0"/>
    <x v="0"/>
    <s v="General Medicine"/>
    <s v="Outpatient"/>
    <n v="4281.16"/>
    <n v="1580.71"/>
    <n v="2091.52"/>
    <n v="6805.65"/>
    <x v="2"/>
    <x v="7"/>
    <x v="4"/>
    <s v="M20 9SG"/>
    <n v="6"/>
    <n v="6"/>
    <n v="14759.039999999999"/>
    <n v="2459.8399999999997"/>
    <s v="July"/>
    <s v="2024"/>
    <s v="Jul 2024"/>
    <s v="Tuesday"/>
    <x v="0"/>
    <s v="Lily Wood"/>
    <s v="Female"/>
    <x v="3"/>
  </r>
  <r>
    <x v="344"/>
    <x v="282"/>
    <d v="2024-09-26T00:00:00"/>
    <d v="1961-04-15T00:00:00"/>
    <n v="65"/>
    <x v="3"/>
    <x v="2"/>
    <x v="8"/>
    <x v="1"/>
    <s v="General Medicine"/>
    <s v="Outpatient"/>
    <n v="3978.68"/>
    <n v="1561.09"/>
    <n v="668.72"/>
    <n v="6671.28"/>
    <x v="0"/>
    <x v="1"/>
    <x v="1"/>
    <s v="SW2 3NP"/>
    <n v="6"/>
    <n v="2"/>
    <n v="12879.77"/>
    <n v="6439.8850000000002"/>
    <s v="September"/>
    <s v="2024"/>
    <s v="Sep 2024"/>
    <s v="Tuesday"/>
    <x v="1"/>
    <s v="Benjamin K Green"/>
    <s v="Male"/>
    <x v="1"/>
  </r>
  <r>
    <x v="345"/>
    <x v="283"/>
    <d v="2024-09-15T00:00:00"/>
    <d v="1991-07-16T00:00:00"/>
    <n v="34"/>
    <x v="2"/>
    <x v="5"/>
    <x v="2"/>
    <x v="3"/>
    <s v="Pediatrics"/>
    <s v="Outpatient"/>
    <n v="1230.3399999999999"/>
    <n v="1682"/>
    <n v="1283.01"/>
    <n v="10556.85"/>
    <x v="0"/>
    <x v="2"/>
    <x v="6"/>
    <s v="B52 1FQ"/>
    <n v="4"/>
    <n v="9"/>
    <n v="14752.2"/>
    <n v="1639.1333333333334"/>
    <s v="September"/>
    <s v="2024"/>
    <s v="Sep 2024"/>
    <s v="Friday"/>
    <x v="0"/>
    <s v="Sarah Clarke"/>
    <s v="Female"/>
    <x v="2"/>
  </r>
  <r>
    <x v="346"/>
    <x v="284"/>
    <d v="2025-01-04T00:00:00"/>
    <d v="1995-03-26T00:00:00"/>
    <n v="31"/>
    <x v="2"/>
    <x v="1"/>
    <x v="3"/>
    <x v="2"/>
    <s v="Respiratory"/>
    <s v="Surgery"/>
    <n v="3397.88"/>
    <n v="1912.62"/>
    <n v="958.3"/>
    <n v="2606.8000000000002"/>
    <x v="3"/>
    <x v="8"/>
    <x v="9"/>
    <s v="N88 9YL"/>
    <n v="5"/>
    <n v="15"/>
    <n v="8875.6"/>
    <n v="591.70666666666671"/>
    <s v="December"/>
    <s v="2024"/>
    <s v="Dec 2024"/>
    <s v="Friday"/>
    <x v="0"/>
    <s v="Leo F Thompson"/>
    <s v="Male"/>
    <x v="0"/>
  </r>
  <r>
    <x v="347"/>
    <x v="115"/>
    <d v="2024-04-21T00:00:00"/>
    <d v="1990-04-25T00:00:00"/>
    <n v="36"/>
    <x v="3"/>
    <x v="3"/>
    <x v="5"/>
    <x v="1"/>
    <s v="Cardiology"/>
    <s v="Emergency"/>
    <n v="1280.99"/>
    <n v="120.56"/>
    <n v="1478.8"/>
    <n v="2410.58"/>
    <x v="0"/>
    <x v="2"/>
    <x v="4"/>
    <s v="N99 4LL"/>
    <n v="7"/>
    <n v="13"/>
    <n v="5290.93"/>
    <n v="406.99461538461543"/>
    <s v="April"/>
    <s v="2024"/>
    <s v="Apr 2024"/>
    <s v="Monday"/>
    <x v="2"/>
    <s v="Mia Martin"/>
    <s v="Female"/>
    <x v="2"/>
  </r>
  <r>
    <x v="348"/>
    <x v="285"/>
    <d v="2024-07-17T00:00:00"/>
    <d v="1966-07-21T00:00:00"/>
    <n v="59"/>
    <x v="3"/>
    <x v="11"/>
    <x v="5"/>
    <x v="2"/>
    <s v="Oncology"/>
    <s v="Outpatient"/>
    <n v="3825.16"/>
    <n v="1407"/>
    <n v="218.1"/>
    <n v="10421.969999999999"/>
    <x v="0"/>
    <x v="4"/>
    <x v="1"/>
    <s v="SW88 2UM"/>
    <n v="7"/>
    <n v="14"/>
    <n v="15872.23"/>
    <n v="1133.7307142857142"/>
    <s v="July"/>
    <s v="2024"/>
    <s v="Jul 2024"/>
    <s v="Wednesday"/>
    <x v="2"/>
    <s v="Noah K Walker"/>
    <s v="Male"/>
    <x v="2"/>
  </r>
  <r>
    <x v="349"/>
    <x v="184"/>
    <d v="2025-03-20T00:00:00"/>
    <d v="1994-01-10T00:00:00"/>
    <n v="32"/>
    <x v="3"/>
    <x v="9"/>
    <x v="8"/>
    <x v="3"/>
    <s v="Cardiology"/>
    <s v="Surgery"/>
    <n v="3870.49"/>
    <n v="985.09"/>
    <n v="2143.2800000000002"/>
    <n v="4251.8999999999996"/>
    <x v="0"/>
    <x v="4"/>
    <x v="0"/>
    <s v="B98 7VC"/>
    <n v="8"/>
    <n v="9"/>
    <n v="11250.76"/>
    <n v="1250.0844444444444"/>
    <s v="March"/>
    <s v="2025"/>
    <s v="Mar 2025"/>
    <s v="Tuesday"/>
    <x v="0"/>
    <s v="Ava Walker"/>
    <s v="Female"/>
    <x v="2"/>
  </r>
  <r>
    <x v="350"/>
    <x v="286"/>
    <d v="2025-09-17T00:00:00"/>
    <d v="1974-06-02T00:00:00"/>
    <n v="52"/>
    <x v="3"/>
    <x v="7"/>
    <x v="0"/>
    <x v="0"/>
    <s v="Orthopedics"/>
    <s v="Inpatient"/>
    <n v="1347.29"/>
    <n v="946.64"/>
    <n v="2299.7199999999998"/>
    <n v="9359.57"/>
    <x v="2"/>
    <x v="8"/>
    <x v="1"/>
    <s v="SW94 1RX"/>
    <n v="0"/>
    <n v="12"/>
    <n v="13953.22"/>
    <n v="1162.7683333333332"/>
    <s v="September"/>
    <s v="2025"/>
    <s v="Sep 2025"/>
    <s v="Friday"/>
    <x v="2"/>
    <s v="Samuel Q Brown"/>
    <s v="Male"/>
    <x v="2"/>
  </r>
  <r>
    <x v="351"/>
    <x v="58"/>
    <d v="2025-07-09T00:00:00"/>
    <d v="1989-10-08T00:00:00"/>
    <n v="36"/>
    <x v="2"/>
    <x v="6"/>
    <x v="6"/>
    <x v="2"/>
    <s v="Oncology"/>
    <s v="Inpatient"/>
    <n v="1132.3599999999999"/>
    <n v="1202.05"/>
    <n v="1579.83"/>
    <n v="15123.35"/>
    <x v="1"/>
    <x v="7"/>
    <x v="1"/>
    <s v="SW82 5NM"/>
    <n v="10"/>
    <n v="19"/>
    <n v="19037.59"/>
    <n v="1001.9784210526316"/>
    <s v="June"/>
    <s v="2025"/>
    <s v="Jun 2025"/>
    <s v="Friday"/>
    <x v="2"/>
    <s v="Olivia H Taylor"/>
    <s v="Female"/>
    <x v="0"/>
  </r>
  <r>
    <x v="352"/>
    <x v="80"/>
    <d v="2025-08-26T00:00:00"/>
    <d v="1989-01-12T00:00:00"/>
    <n v="37"/>
    <x v="0"/>
    <x v="10"/>
    <x v="7"/>
    <x v="1"/>
    <s v="Pediatrics"/>
    <s v="Surgery"/>
    <n v="318.89999999999998"/>
    <n v="475.19"/>
    <n v="1233.1600000000001"/>
    <n v="2312.3200000000002"/>
    <x v="3"/>
    <x v="5"/>
    <x v="0"/>
    <s v="N3 7VE"/>
    <n v="1"/>
    <n v="16"/>
    <n v="4339.57"/>
    <n v="271.22312499999998"/>
    <s v="August"/>
    <s v="2025"/>
    <s v="Aug 2025"/>
    <s v="Sunday"/>
    <x v="2"/>
    <s v="Lucas P Hall"/>
    <s v="Male"/>
    <x v="0"/>
  </r>
  <r>
    <x v="353"/>
    <x v="287"/>
    <d v="2025-09-12T00:00:00"/>
    <d v="1982-07-21T00:00:00"/>
    <n v="43"/>
    <x v="2"/>
    <x v="3"/>
    <x v="9"/>
    <x v="2"/>
    <s v="Neurology"/>
    <s v="Surgery"/>
    <n v="4474.92"/>
    <n v="654.54"/>
    <n v="1488.06"/>
    <n v="2068.5500000000002"/>
    <x v="2"/>
    <x v="5"/>
    <x v="2"/>
    <s v="N87 7IM"/>
    <n v="6"/>
    <n v="11"/>
    <n v="8686.07"/>
    <n v="789.64272727272726"/>
    <s v="September"/>
    <s v="2025"/>
    <s v="Sep 2025"/>
    <s v="Monday"/>
    <x v="2"/>
    <s v="Emily W Jones"/>
    <s v="Female"/>
    <x v="2"/>
  </r>
  <r>
    <x v="354"/>
    <x v="288"/>
    <d v="2025-08-27T00:00:00"/>
    <d v="1946-03-20T00:00:00"/>
    <n v="80"/>
    <x v="2"/>
    <x v="7"/>
    <x v="1"/>
    <x v="1"/>
    <s v="Oncology"/>
    <s v="Emergency"/>
    <n v="1924.82"/>
    <n v="1260.94"/>
    <n v="1267.6400000000001"/>
    <n v="9920.52"/>
    <x v="2"/>
    <x v="8"/>
    <x v="1"/>
    <s v="E51 4GD"/>
    <n v="8"/>
    <n v="6"/>
    <n v="14373.920000000002"/>
    <n v="2395.6533333333336"/>
    <s v="August"/>
    <s v="2025"/>
    <s v="Aug 2025"/>
    <s v="Thursday"/>
    <x v="1"/>
    <s v="George Clarke"/>
    <s v="Male"/>
    <x v="3"/>
  </r>
  <r>
    <x v="355"/>
    <x v="155"/>
    <d v="2025-10-24T00:00:00"/>
    <d v="1987-11-21T00:00:00"/>
    <n v="38"/>
    <x v="1"/>
    <x v="5"/>
    <x v="9"/>
    <x v="3"/>
    <s v="Neurology"/>
    <s v="Emergency"/>
    <n v="398.89"/>
    <n v="333.49"/>
    <n v="2151.6799999999998"/>
    <n v="7762.29"/>
    <x v="0"/>
    <x v="9"/>
    <x v="6"/>
    <s v="E69 6YO"/>
    <n v="5"/>
    <n v="11"/>
    <n v="10646.35"/>
    <n v="967.85"/>
    <s v="October"/>
    <s v="2025"/>
    <s v="Oct 2025"/>
    <s v="Monday"/>
    <x v="2"/>
    <s v="Mia C Brown"/>
    <s v="Female"/>
    <x v="2"/>
  </r>
  <r>
    <x v="356"/>
    <x v="289"/>
    <d v="2025-09-24T00:00:00"/>
    <d v="2005-01-11T00:00:00"/>
    <n v="21"/>
    <x v="1"/>
    <x v="9"/>
    <x v="5"/>
    <x v="3"/>
    <s v="General Medicine"/>
    <s v="Surgery"/>
    <n v="1852.76"/>
    <n v="972.25"/>
    <n v="1568.27"/>
    <n v="2455.4499999999998"/>
    <x v="2"/>
    <x v="8"/>
    <x v="7"/>
    <s v="SW93 4FP"/>
    <n v="10"/>
    <n v="8"/>
    <n v="6848.7300000000005"/>
    <n v="856.09125000000006"/>
    <s v="September"/>
    <s v="2025"/>
    <s v="Sep 2025"/>
    <s v="Tuesday"/>
    <x v="0"/>
    <s v="Daniel Jones"/>
    <s v="Male"/>
    <x v="2"/>
  </r>
  <r>
    <x v="357"/>
    <x v="290"/>
    <d v="2025-05-31T00:00:00"/>
    <d v="1995-03-15T00:00:00"/>
    <n v="31"/>
    <x v="2"/>
    <x v="5"/>
    <x v="1"/>
    <x v="2"/>
    <s v="Respiratory"/>
    <s v="Inpatient"/>
    <n v="462.34"/>
    <n v="1533.37"/>
    <n v="1098.22"/>
    <n v="6110.66"/>
    <x v="4"/>
    <x v="5"/>
    <x v="1"/>
    <s v="M34 9DW"/>
    <n v="3"/>
    <n v="4"/>
    <n v="9204.59"/>
    <n v="2301.1475"/>
    <s v="May"/>
    <s v="2025"/>
    <s v="May 2025"/>
    <s v="Tuesday"/>
    <x v="0"/>
    <s v="Isabella Jones"/>
    <s v="Female"/>
    <x v="3"/>
  </r>
  <r>
    <x v="358"/>
    <x v="291"/>
    <d v="2024-06-07T00:00:00"/>
    <d v="1995-02-04T00:00:00"/>
    <n v="31"/>
    <x v="0"/>
    <x v="1"/>
    <x v="1"/>
    <x v="1"/>
    <s v="General Medicine"/>
    <s v="Emergency"/>
    <n v="2268.8200000000002"/>
    <n v="1238.79"/>
    <n v="1592.29"/>
    <n v="6704.37"/>
    <x v="3"/>
    <x v="7"/>
    <x v="8"/>
    <s v="E59 8YH"/>
    <n v="6"/>
    <n v="9"/>
    <n v="11804.27"/>
    <n v="1311.5855555555556"/>
    <s v="May"/>
    <s v="2024"/>
    <s v="May 2024"/>
    <s v="Wednesday"/>
    <x v="0"/>
    <s v="Daniel Evans"/>
    <s v="Male"/>
    <x v="2"/>
  </r>
  <r>
    <x v="359"/>
    <x v="292"/>
    <d v="2024-08-26T00:00:00"/>
    <d v="1978-05-01T00:00:00"/>
    <n v="48"/>
    <x v="1"/>
    <x v="9"/>
    <x v="1"/>
    <x v="2"/>
    <s v="Orthopedics"/>
    <s v="Surgery"/>
    <n v="2261.42"/>
    <n v="1098.27"/>
    <n v="2438.39"/>
    <n v="3514.23"/>
    <x v="3"/>
    <x v="2"/>
    <x v="4"/>
    <s v="SW50 5UH"/>
    <n v="8"/>
    <n v="12"/>
    <n v="9312.31"/>
    <n v="776.02583333333325"/>
    <s v="August"/>
    <s v="2024"/>
    <s v="Aug 2024"/>
    <s v="Wednesday"/>
    <x v="2"/>
    <s v="Mia N Evans"/>
    <s v="Female"/>
    <x v="2"/>
  </r>
  <r>
    <x v="360"/>
    <x v="165"/>
    <d v="2025-10-26T00:00:00"/>
    <d v="1984-03-12T00:00:00"/>
    <n v="42"/>
    <x v="2"/>
    <x v="5"/>
    <x v="1"/>
    <x v="3"/>
    <s v="Oncology"/>
    <s v="Inpatient"/>
    <n v="4231.93"/>
    <n v="1920.93"/>
    <n v="1684.54"/>
    <n v="11345.94"/>
    <x v="1"/>
    <x v="7"/>
    <x v="5"/>
    <s v="E44 4JG"/>
    <n v="8"/>
    <n v="5"/>
    <n v="19183.34"/>
    <n v="3836.6680000000001"/>
    <s v="October"/>
    <s v="2025"/>
    <s v="Oct 2025"/>
    <s v="Tuesday"/>
    <x v="2"/>
    <s v="Lucas L Thompson"/>
    <s v="Male"/>
    <x v="3"/>
  </r>
  <r>
    <x v="361"/>
    <x v="293"/>
    <d v="2025-11-13T00:00:00"/>
    <d v="1992-04-12T00:00:00"/>
    <n v="34"/>
    <x v="3"/>
    <x v="11"/>
    <x v="3"/>
    <x v="3"/>
    <s v="Orthopedics"/>
    <s v="Emergency"/>
    <n v="2332.1999999999998"/>
    <n v="244.16"/>
    <n v="1216.33"/>
    <n v="3447.23"/>
    <x v="2"/>
    <x v="0"/>
    <x v="4"/>
    <s v="B32 4IZ"/>
    <n v="9"/>
    <n v="2"/>
    <n v="7239.92"/>
    <n v="3619.96"/>
    <s v="November"/>
    <s v="2025"/>
    <s v="Nov 2025"/>
    <s v="Tuesday"/>
    <x v="0"/>
    <s v="Ella Wood"/>
    <s v="Female"/>
    <x v="1"/>
  </r>
  <r>
    <x v="362"/>
    <x v="294"/>
    <d v="2024-08-08T00:00:00"/>
    <d v="1978-05-02T00:00:00"/>
    <n v="48"/>
    <x v="3"/>
    <x v="11"/>
    <x v="7"/>
    <x v="3"/>
    <s v="Respiratory"/>
    <s v="Inpatient"/>
    <n v="1085"/>
    <n v="964.87"/>
    <n v="505.69"/>
    <n v="10459.76"/>
    <x v="0"/>
    <x v="7"/>
    <x v="1"/>
    <s v="M26 2RS"/>
    <n v="1"/>
    <n v="8"/>
    <n v="13015.32"/>
    <n v="1626.915"/>
    <s v="July"/>
    <s v="2024"/>
    <s v="Jul 2024"/>
    <s v="Wednesday"/>
    <x v="2"/>
    <s v="Daniel I Robinson"/>
    <s v="Male"/>
    <x v="2"/>
  </r>
  <r>
    <x v="363"/>
    <x v="295"/>
    <d v="2025-03-12T00:00:00"/>
    <d v="1945-05-25T00:00:00"/>
    <n v="81"/>
    <x v="0"/>
    <x v="0"/>
    <x v="0"/>
    <x v="1"/>
    <s v="Respiratory"/>
    <s v="Outpatient"/>
    <n v="3706.3"/>
    <n v="259.26"/>
    <n v="2184.38"/>
    <n v="3494.56"/>
    <x v="0"/>
    <x v="5"/>
    <x v="7"/>
    <s v="E97 3PA"/>
    <n v="5"/>
    <n v="20"/>
    <n v="9644.5"/>
    <n v="482.22500000000002"/>
    <s v="February"/>
    <s v="2025"/>
    <s v="Feb 2025"/>
    <s v="Thursday"/>
    <x v="1"/>
    <s v="Olivia Wilson"/>
    <s v="Female"/>
    <x v="0"/>
  </r>
  <r>
    <x v="364"/>
    <x v="296"/>
    <d v="2024-07-13T00:00:00"/>
    <d v="1985-11-18T00:00:00"/>
    <n v="40"/>
    <x v="1"/>
    <x v="2"/>
    <x v="8"/>
    <x v="3"/>
    <s v="Oncology"/>
    <s v="Emergency"/>
    <n v="3592.98"/>
    <n v="582.44000000000005"/>
    <n v="1436.64"/>
    <n v="11801.23"/>
    <x v="1"/>
    <x v="4"/>
    <x v="3"/>
    <s v="N99 7ZF"/>
    <n v="8"/>
    <n v="7"/>
    <n v="17413.29"/>
    <n v="2487.6128571428571"/>
    <s v="July"/>
    <s v="2024"/>
    <s v="Jul 2024"/>
    <s v="Saturday"/>
    <x v="2"/>
    <s v="Lucas Martin"/>
    <s v="Male"/>
    <x v="3"/>
  </r>
  <r>
    <x v="365"/>
    <x v="297"/>
    <d v="2024-06-07T00:00:00"/>
    <d v="2004-05-12T00:00:00"/>
    <n v="22"/>
    <x v="2"/>
    <x v="10"/>
    <x v="2"/>
    <x v="1"/>
    <s v="Cardiology"/>
    <s v="Outpatient"/>
    <n v="2597.2600000000002"/>
    <n v="84.09"/>
    <n v="1922.8"/>
    <n v="12063.67"/>
    <x v="1"/>
    <x v="0"/>
    <x v="0"/>
    <s v="SW83 3OY"/>
    <n v="10"/>
    <n v="10"/>
    <n v="16667.82"/>
    <n v="1666.7819999999999"/>
    <s v="May"/>
    <s v="2024"/>
    <s v="May 2024"/>
    <s v="Tuesday"/>
    <x v="0"/>
    <s v="Grace Wilson"/>
    <s v="Female"/>
    <x v="2"/>
  </r>
  <r>
    <x v="366"/>
    <x v="281"/>
    <d v="2024-07-30T00:00:00"/>
    <d v="1980-09-24T00:00:00"/>
    <n v="45"/>
    <x v="3"/>
    <x v="0"/>
    <x v="1"/>
    <x v="0"/>
    <s v="Cardiology"/>
    <s v="Inpatient"/>
    <n v="4542.9399999999996"/>
    <n v="1925.21"/>
    <n v="378.31"/>
    <n v="11321.69"/>
    <x v="2"/>
    <x v="1"/>
    <x v="0"/>
    <s v="M32 5TS"/>
    <n v="6"/>
    <n v="7"/>
    <n v="18168.150000000001"/>
    <n v="2595.4500000000003"/>
    <s v="July"/>
    <s v="2024"/>
    <s v="Jul 2024"/>
    <s v="Tuesday"/>
    <x v="2"/>
    <s v="Lucas White"/>
    <s v="Male"/>
    <x v="3"/>
  </r>
  <r>
    <x v="367"/>
    <x v="106"/>
    <d v="2024-12-12T00:00:00"/>
    <d v="2001-12-03T00:00:00"/>
    <n v="24"/>
    <x v="0"/>
    <x v="4"/>
    <x v="5"/>
    <x v="1"/>
    <s v="General Medicine"/>
    <s v="Outpatient"/>
    <n v="2011.08"/>
    <n v="711.95"/>
    <n v="2359.8000000000002"/>
    <n v="3837.27"/>
    <x v="3"/>
    <x v="5"/>
    <x v="5"/>
    <s v="N99 2ZW"/>
    <n v="4"/>
    <n v="14"/>
    <n v="8920.1"/>
    <n v="637.15"/>
    <s v="November"/>
    <s v="2024"/>
    <s v="Nov 2024"/>
    <s v="Thursday"/>
    <x v="0"/>
    <s v="Olivia X Martin"/>
    <s v="Female"/>
    <x v="2"/>
  </r>
  <r>
    <x v="368"/>
    <x v="235"/>
    <d v="2024-05-27T00:00:00"/>
    <d v="1983-12-01T00:00:00"/>
    <n v="42"/>
    <x v="0"/>
    <x v="6"/>
    <x v="3"/>
    <x v="2"/>
    <s v="Neurology"/>
    <s v="Inpatient"/>
    <n v="4390.63"/>
    <n v="227.7"/>
    <n v="2220.0300000000002"/>
    <n v="9370.2199999999993"/>
    <x v="2"/>
    <x v="3"/>
    <x v="7"/>
    <s v="SW74 6UC"/>
    <n v="9"/>
    <n v="4"/>
    <n v="16208.58"/>
    <n v="4052.145"/>
    <s v="May"/>
    <s v="2024"/>
    <s v="May 2024"/>
    <s v="Thursday"/>
    <x v="2"/>
    <s v="George X Walker"/>
    <s v="Male"/>
    <x v="3"/>
  </r>
  <r>
    <x v="369"/>
    <x v="298"/>
    <d v="2025-12-15T00:00:00"/>
    <d v="1993-02-25T00:00:00"/>
    <n v="33"/>
    <x v="2"/>
    <x v="10"/>
    <x v="0"/>
    <x v="2"/>
    <s v="Cardiology"/>
    <s v="Surgery"/>
    <n v="1983.44"/>
    <n v="1608.33"/>
    <n v="2747.04"/>
    <n v="7648.49"/>
    <x v="3"/>
    <x v="0"/>
    <x v="0"/>
    <s v="B38 1TM"/>
    <n v="3"/>
    <n v="14"/>
    <n v="13987.3"/>
    <n v="999.09285714285704"/>
    <s v="December"/>
    <s v="2025"/>
    <s v="Dec 2025"/>
    <s v="Monday"/>
    <x v="0"/>
    <s v="Charlotte Robinson"/>
    <s v="Female"/>
    <x v="2"/>
  </r>
  <r>
    <x v="370"/>
    <x v="299"/>
    <d v="2025-08-18T00:00:00"/>
    <d v="1994-10-12T00:00:00"/>
    <n v="31"/>
    <x v="0"/>
    <x v="1"/>
    <x v="7"/>
    <x v="3"/>
    <s v="Emergency"/>
    <s v="Outpatient"/>
    <n v="336.73"/>
    <n v="1907.22"/>
    <n v="465.62"/>
    <n v="4831.3500000000004"/>
    <x v="3"/>
    <x v="7"/>
    <x v="8"/>
    <s v="SW30 4GJ"/>
    <n v="2"/>
    <n v="5"/>
    <n v="7540.92"/>
    <n v="1508.184"/>
    <s v="August"/>
    <s v="2025"/>
    <s v="Aug 2025"/>
    <s v="Wednesday"/>
    <x v="0"/>
    <s v="Michael Martin"/>
    <s v="Male"/>
    <x v="3"/>
  </r>
  <r>
    <x v="371"/>
    <x v="300"/>
    <d v="2024-08-14T00:00:00"/>
    <d v="1946-08-28T00:00:00"/>
    <n v="79"/>
    <x v="3"/>
    <x v="9"/>
    <x v="4"/>
    <x v="0"/>
    <s v="Orthopedics"/>
    <s v="Inpatient"/>
    <n v="4040.53"/>
    <n v="296.24"/>
    <n v="1667.02"/>
    <n v="14109.91"/>
    <x v="3"/>
    <x v="0"/>
    <x v="9"/>
    <s v="E63 6XK"/>
    <n v="2"/>
    <n v="13"/>
    <n v="20113.7"/>
    <n v="1547.2076923076925"/>
    <s v="August"/>
    <s v="2024"/>
    <s v="Aug 2024"/>
    <s v="Thursday"/>
    <x v="1"/>
    <s v="Ava Jones"/>
    <s v="Female"/>
    <x v="2"/>
  </r>
  <r>
    <x v="372"/>
    <x v="301"/>
    <d v="2024-04-24T00:00:00"/>
    <d v="1969-07-13T00:00:00"/>
    <n v="56"/>
    <x v="3"/>
    <x v="8"/>
    <x v="2"/>
    <x v="2"/>
    <s v="Oncology"/>
    <s v="Outpatient"/>
    <n v="425.12"/>
    <n v="1673.49"/>
    <n v="2750.07"/>
    <n v="3492.07"/>
    <x v="0"/>
    <x v="3"/>
    <x v="8"/>
    <s v="E19 4FS"/>
    <n v="2"/>
    <n v="12"/>
    <n v="8340.75"/>
    <n v="695.0625"/>
    <s v="April"/>
    <s v="2024"/>
    <s v="Apr 2024"/>
    <s v="Friday"/>
    <x v="2"/>
    <s v="Noah White"/>
    <s v="Male"/>
    <x v="2"/>
  </r>
  <r>
    <x v="373"/>
    <x v="25"/>
    <d v="2024-06-24T00:00:00"/>
    <d v="1984-07-27T00:00:00"/>
    <n v="41"/>
    <x v="2"/>
    <x v="0"/>
    <x v="5"/>
    <x v="2"/>
    <s v="General Medicine"/>
    <s v="Emergency"/>
    <n v="1373.36"/>
    <n v="141.97"/>
    <n v="2806.16"/>
    <n v="1794.95"/>
    <x v="3"/>
    <x v="6"/>
    <x v="8"/>
    <s v="SW80 6AZ"/>
    <n v="2"/>
    <n v="14"/>
    <n v="6116.44"/>
    <n v="436.88857142857142"/>
    <s v="June"/>
    <s v="2024"/>
    <s v="Jun 2024"/>
    <s v="Monday"/>
    <x v="2"/>
    <s v="Ava Brown"/>
    <s v="Female"/>
    <x v="2"/>
  </r>
  <r>
    <x v="374"/>
    <x v="302"/>
    <d v="2024-08-19T00:00:00"/>
    <d v="1951-01-12T00:00:00"/>
    <n v="75"/>
    <x v="3"/>
    <x v="8"/>
    <x v="3"/>
    <x v="1"/>
    <s v="Neurology"/>
    <s v="Emergency"/>
    <n v="4798.63"/>
    <n v="494.74"/>
    <n v="2050.34"/>
    <n v="13598.09"/>
    <x v="0"/>
    <x v="5"/>
    <x v="7"/>
    <s v="M33 3KV"/>
    <n v="9"/>
    <n v="3"/>
    <n v="20941.8"/>
    <n v="6980.5999999999995"/>
    <s v="August"/>
    <s v="2024"/>
    <s v="Aug 2024"/>
    <s v="Friday"/>
    <x v="1"/>
    <s v="Lucas I Thomas"/>
    <s v="Male"/>
    <x v="1"/>
  </r>
  <r>
    <x v="375"/>
    <x v="303"/>
    <d v="2024-04-20T00:00:00"/>
    <d v="1987-02-24T00:00:00"/>
    <n v="39"/>
    <x v="0"/>
    <x v="9"/>
    <x v="0"/>
    <x v="2"/>
    <s v="Emergency"/>
    <s v="Outpatient"/>
    <n v="462.54"/>
    <n v="515.09"/>
    <n v="1094.46"/>
    <n v="3498.32"/>
    <x v="3"/>
    <x v="6"/>
    <x v="8"/>
    <s v="M48 3SX"/>
    <n v="5"/>
    <n v="13"/>
    <n v="5570.41"/>
    <n v="428.4930769230769"/>
    <s v="April"/>
    <s v="2024"/>
    <s v="Apr 2024"/>
    <s v="Sunday"/>
    <x v="2"/>
    <s v="Sarah R Smith"/>
    <s v="Female"/>
    <x v="2"/>
  </r>
  <r>
    <x v="376"/>
    <x v="37"/>
    <d v="2024-12-25T00:00:00"/>
    <d v="1981-08-16T00:00:00"/>
    <n v="44"/>
    <x v="0"/>
    <x v="2"/>
    <x v="1"/>
    <x v="0"/>
    <s v="Neurology"/>
    <s v="Surgery"/>
    <n v="3658.23"/>
    <n v="2022.17"/>
    <n v="2620.2800000000002"/>
    <n v="2315.9499999999998"/>
    <x v="0"/>
    <x v="4"/>
    <x v="3"/>
    <s v="SW44 8YR"/>
    <n v="8"/>
    <n v="7"/>
    <n v="10616.630000000001"/>
    <n v="1516.6614285714288"/>
    <s v="December"/>
    <s v="2024"/>
    <s v="Dec 2024"/>
    <s v="Wednesday"/>
    <x v="2"/>
    <s v="Daniel U Thomas"/>
    <s v="Male"/>
    <x v="3"/>
  </r>
  <r>
    <x v="377"/>
    <x v="304"/>
    <d v="2025-07-27T00:00:00"/>
    <d v="1974-02-04T00:00:00"/>
    <n v="52"/>
    <x v="1"/>
    <x v="9"/>
    <x v="5"/>
    <x v="3"/>
    <s v="Cardiology"/>
    <s v="Surgery"/>
    <n v="4464.68"/>
    <n v="350.01"/>
    <n v="2414.4299999999998"/>
    <n v="9568.42"/>
    <x v="0"/>
    <x v="3"/>
    <x v="9"/>
    <s v="E26 6QT"/>
    <n v="2"/>
    <n v="10"/>
    <n v="16797.54"/>
    <n v="1679.7540000000001"/>
    <s v="July"/>
    <s v="2025"/>
    <s v="Jul 2025"/>
    <s v="Thursday"/>
    <x v="2"/>
    <s v="Chloe Clarke"/>
    <s v="Female"/>
    <x v="2"/>
  </r>
  <r>
    <x v="378"/>
    <x v="144"/>
    <d v="2025-07-27T00:00:00"/>
    <d v="1998-12-05T00:00:00"/>
    <n v="27"/>
    <x v="1"/>
    <x v="4"/>
    <x v="3"/>
    <x v="1"/>
    <s v="Orthopedics"/>
    <s v="Inpatient"/>
    <n v="1263.3800000000001"/>
    <n v="1712.01"/>
    <n v="1302.98"/>
    <n v="2225.17"/>
    <x v="0"/>
    <x v="2"/>
    <x v="6"/>
    <s v="E10 5WR"/>
    <n v="9"/>
    <n v="20"/>
    <n v="6503.5400000000009"/>
    <n v="325.17700000000002"/>
    <s v="July"/>
    <s v="2025"/>
    <s v="Jul 2025"/>
    <s v="Monday"/>
    <x v="0"/>
    <s v="Michael S Brown"/>
    <s v="Male"/>
    <x v="0"/>
  </r>
  <r>
    <x v="379"/>
    <x v="305"/>
    <d v="2025-03-18T00:00:00"/>
    <d v="1995-03-21T00:00:00"/>
    <n v="31"/>
    <x v="1"/>
    <x v="3"/>
    <x v="1"/>
    <x v="2"/>
    <s v="Neurology"/>
    <s v="Surgery"/>
    <n v="3982.22"/>
    <n v="931.94"/>
    <n v="1072.3399999999999"/>
    <n v="9191.61"/>
    <x v="2"/>
    <x v="3"/>
    <x v="7"/>
    <s v="N87 5YK"/>
    <n v="5"/>
    <n v="13"/>
    <n v="15178.11"/>
    <n v="1167.5469230769231"/>
    <s v="March"/>
    <s v="2025"/>
    <s v="Mar 2025"/>
    <s v="Wednesday"/>
    <x v="0"/>
    <s v="Ava Clarke"/>
    <s v="Female"/>
    <x v="2"/>
  </r>
  <r>
    <x v="380"/>
    <x v="84"/>
    <d v="2024-12-24T00:00:00"/>
    <d v="1954-02-25T00:00:00"/>
    <n v="72"/>
    <x v="2"/>
    <x v="8"/>
    <x v="4"/>
    <x v="1"/>
    <s v="Orthopedics"/>
    <s v="Emergency"/>
    <n v="1047.52"/>
    <n v="635.12"/>
    <n v="2663.65"/>
    <n v="7464.65"/>
    <x v="2"/>
    <x v="5"/>
    <x v="9"/>
    <s v="B14 2XT"/>
    <n v="10"/>
    <n v="9"/>
    <n v="11810.939999999999"/>
    <n v="1312.3266666666666"/>
    <s v="December"/>
    <s v="2024"/>
    <s v="Dec 2024"/>
    <s v="Sunday"/>
    <x v="1"/>
    <s v="George Wood"/>
    <s v="Male"/>
    <x v="2"/>
  </r>
  <r>
    <x v="381"/>
    <x v="305"/>
    <d v="2025-03-14T00:00:00"/>
    <d v="1985-09-11T00:00:00"/>
    <n v="40"/>
    <x v="0"/>
    <x v="1"/>
    <x v="2"/>
    <x v="0"/>
    <s v="Cardiology"/>
    <s v="Inpatient"/>
    <n v="964.56"/>
    <n v="308.33999999999997"/>
    <n v="3050.6"/>
    <n v="11010.21"/>
    <x v="2"/>
    <x v="2"/>
    <x v="7"/>
    <s v="B78 7TQ"/>
    <n v="4"/>
    <n v="9"/>
    <n v="15333.71"/>
    <n v="1703.7455555555555"/>
    <s v="March"/>
    <s v="2025"/>
    <s v="Mar 2025"/>
    <s v="Wednesday"/>
    <x v="2"/>
    <s v="Grace White"/>
    <s v="Female"/>
    <x v="2"/>
  </r>
  <r>
    <x v="382"/>
    <x v="306"/>
    <d v="2025-09-24T00:00:00"/>
    <d v="1982-11-23T00:00:00"/>
    <n v="43"/>
    <x v="2"/>
    <x v="0"/>
    <x v="3"/>
    <x v="1"/>
    <s v="Neurology"/>
    <s v="Emergency"/>
    <n v="3924.94"/>
    <n v="556.92999999999995"/>
    <n v="1994.33"/>
    <n v="13666.37"/>
    <x v="4"/>
    <x v="7"/>
    <x v="5"/>
    <s v="N73 3AU"/>
    <n v="9"/>
    <n v="14"/>
    <n v="20142.57"/>
    <n v="1438.7549999999999"/>
    <s v="September"/>
    <s v="2025"/>
    <s v="Sep 2025"/>
    <s v="Wednesday"/>
    <x v="2"/>
    <s v="John P Walker"/>
    <s v="Male"/>
    <x v="2"/>
  </r>
  <r>
    <x v="383"/>
    <x v="307"/>
    <d v="2025-04-03T00:00:00"/>
    <d v="2006-04-09T00:00:00"/>
    <n v="20"/>
    <x v="1"/>
    <x v="11"/>
    <x v="2"/>
    <x v="3"/>
    <s v="General Medicine"/>
    <s v="Inpatient"/>
    <n v="3457.29"/>
    <n v="1069.97"/>
    <n v="727.94"/>
    <n v="12418.43"/>
    <x v="1"/>
    <x v="7"/>
    <x v="1"/>
    <s v="SW46 9XZ"/>
    <n v="9"/>
    <n v="2"/>
    <n v="17673.63"/>
    <n v="8836.8150000000005"/>
    <s v="April"/>
    <s v="2025"/>
    <s v="Apr 2025"/>
    <s v="Tuesday"/>
    <x v="0"/>
    <s v="Emma M Taylor"/>
    <s v="Female"/>
    <x v="1"/>
  </r>
  <r>
    <x v="384"/>
    <x v="240"/>
    <d v="2025-01-05T00:00:00"/>
    <d v="1961-12-16T00:00:00"/>
    <n v="64"/>
    <x v="0"/>
    <x v="6"/>
    <x v="6"/>
    <x v="2"/>
    <s v="Emergency"/>
    <s v="Outpatient"/>
    <n v="3037.68"/>
    <n v="1925.26"/>
    <n v="1373.59"/>
    <n v="12569.16"/>
    <x v="3"/>
    <x v="7"/>
    <x v="2"/>
    <s v="N51 2GC"/>
    <n v="4"/>
    <n v="11"/>
    <n v="18905.689999999999"/>
    <n v="1718.6990909090907"/>
    <s v="December"/>
    <s v="2024"/>
    <s v="Dec 2024"/>
    <s v="Wednesday"/>
    <x v="1"/>
    <s v="George Taylor"/>
    <s v="Male"/>
    <x v="2"/>
  </r>
  <r>
    <x v="385"/>
    <x v="146"/>
    <d v="2024-02-19T00:00:00"/>
    <d v="1965-04-15T00:00:00"/>
    <n v="61"/>
    <x v="1"/>
    <x v="9"/>
    <x v="9"/>
    <x v="0"/>
    <s v="Emergency"/>
    <s v="Outpatient"/>
    <n v="4406.09"/>
    <n v="1332.77"/>
    <n v="2097.4499999999998"/>
    <n v="7441.06"/>
    <x v="2"/>
    <x v="3"/>
    <x v="5"/>
    <s v="SW32 1TP"/>
    <n v="4"/>
    <n v="8"/>
    <n v="15277.37"/>
    <n v="1909.6712500000001"/>
    <s v="February"/>
    <s v="2024"/>
    <s v="Feb 2024"/>
    <s v="Sunday"/>
    <x v="1"/>
    <s v="Charlotte E Smith"/>
    <s v="Female"/>
    <x v="2"/>
  </r>
  <r>
    <x v="386"/>
    <x v="308"/>
    <d v="2024-10-10T00:00:00"/>
    <d v="1990-06-26T00:00:00"/>
    <n v="35"/>
    <x v="1"/>
    <x v="6"/>
    <x v="2"/>
    <x v="1"/>
    <s v="Neurology"/>
    <s v="Outpatient"/>
    <n v="4720.1099999999997"/>
    <n v="501.26"/>
    <n v="1415.04"/>
    <n v="12646.34"/>
    <x v="3"/>
    <x v="2"/>
    <x v="4"/>
    <s v="N13 9WP"/>
    <n v="2"/>
    <n v="14"/>
    <n v="19282.75"/>
    <n v="1377.3392857142858"/>
    <s v="September"/>
    <s v="2024"/>
    <s v="Sep 2024"/>
    <s v="Thursday"/>
    <x v="2"/>
    <s v="David C Robinson"/>
    <s v="Male"/>
    <x v="2"/>
  </r>
  <r>
    <x v="387"/>
    <x v="264"/>
    <d v="2025-09-11T00:00:00"/>
    <d v="1984-08-16T00:00:00"/>
    <n v="41"/>
    <x v="0"/>
    <x v="1"/>
    <x v="8"/>
    <x v="0"/>
    <s v="Emergency"/>
    <s v="Emergency"/>
    <n v="2691.84"/>
    <n v="1416.23"/>
    <n v="2404.0300000000002"/>
    <n v="4686.8"/>
    <x v="0"/>
    <x v="8"/>
    <x v="6"/>
    <s v="B33 1WT"/>
    <n v="6"/>
    <n v="14"/>
    <n v="11198.900000000001"/>
    <n v="799.92142857142869"/>
    <s v="August"/>
    <s v="2025"/>
    <s v="Aug 2025"/>
    <s v="Thursday"/>
    <x v="2"/>
    <s v="Olivia R Wilson"/>
    <s v="Female"/>
    <x v="2"/>
  </r>
  <r>
    <x v="388"/>
    <x v="309"/>
    <d v="2025-09-03T00:00:00"/>
    <d v="1954-09-22T00:00:00"/>
    <n v="71"/>
    <x v="1"/>
    <x v="3"/>
    <x v="4"/>
    <x v="2"/>
    <s v="General Medicine"/>
    <s v="Inpatient"/>
    <n v="3353.49"/>
    <n v="834.82"/>
    <n v="2467.9699999999998"/>
    <n v="7685"/>
    <x v="1"/>
    <x v="1"/>
    <x v="4"/>
    <s v="N24 1UP"/>
    <n v="2"/>
    <n v="11"/>
    <n v="14341.279999999999"/>
    <n v="1303.7527272727273"/>
    <s v="August"/>
    <s v="2025"/>
    <s v="Aug 2025"/>
    <s v="Saturday"/>
    <x v="1"/>
    <s v="Henry T Hall"/>
    <s v="Male"/>
    <x v="2"/>
  </r>
  <r>
    <x v="389"/>
    <x v="310"/>
    <d v="2025-01-04T00:00:00"/>
    <d v="1956-02-10T00:00:00"/>
    <n v="70"/>
    <x v="2"/>
    <x v="1"/>
    <x v="3"/>
    <x v="1"/>
    <s v="Neurology"/>
    <s v="Inpatient"/>
    <n v="2815.48"/>
    <n v="116"/>
    <n v="1157.1400000000001"/>
    <n v="9181.58"/>
    <x v="3"/>
    <x v="8"/>
    <x v="2"/>
    <s v="SW3 1RB"/>
    <n v="4"/>
    <n v="6"/>
    <n v="13270.2"/>
    <n v="2211.7000000000003"/>
    <s v="December"/>
    <s v="2024"/>
    <s v="Dec 2024"/>
    <s v="Sunday"/>
    <x v="1"/>
    <s v="Charlotte Jones"/>
    <s v="Female"/>
    <x v="3"/>
  </r>
  <r>
    <x v="390"/>
    <x v="155"/>
    <d v="2025-11-02T00:00:00"/>
    <d v="2006-03-07T00:00:00"/>
    <n v="20"/>
    <x v="1"/>
    <x v="6"/>
    <x v="6"/>
    <x v="2"/>
    <s v="Pediatrics"/>
    <s v="Inpatient"/>
    <n v="4985.8500000000004"/>
    <n v="1867.99"/>
    <n v="534.21"/>
    <n v="6901.03"/>
    <x v="1"/>
    <x v="7"/>
    <x v="3"/>
    <s v="M4 1RZ"/>
    <n v="3"/>
    <n v="20"/>
    <n v="14289.08"/>
    <n v="714.45399999999995"/>
    <s v="October"/>
    <s v="2025"/>
    <s v="Oct 2025"/>
    <s v="Monday"/>
    <x v="0"/>
    <s v="Henry Green"/>
    <s v="Male"/>
    <x v="0"/>
  </r>
  <r>
    <x v="391"/>
    <x v="311"/>
    <d v="2025-11-23T00:00:00"/>
    <d v="1984-06-15T00:00:00"/>
    <n v="41"/>
    <x v="2"/>
    <x v="10"/>
    <x v="3"/>
    <x v="1"/>
    <s v="Emergency"/>
    <s v="Outpatient"/>
    <n v="3845.35"/>
    <n v="666.21"/>
    <n v="1459.62"/>
    <n v="5449.32"/>
    <x v="2"/>
    <x v="3"/>
    <x v="8"/>
    <s v="E62 2QC"/>
    <n v="3"/>
    <n v="18"/>
    <n v="11420.5"/>
    <n v="634.47222222222217"/>
    <s v="November"/>
    <s v="2025"/>
    <s v="Nov 2025"/>
    <s v="Wednesday"/>
    <x v="2"/>
    <s v="Mia J Wood"/>
    <s v="Female"/>
    <x v="0"/>
  </r>
  <r>
    <x v="392"/>
    <x v="152"/>
    <d v="2025-05-18T00:00:00"/>
    <d v="1972-07-03T00:00:00"/>
    <n v="53"/>
    <x v="3"/>
    <x v="3"/>
    <x v="6"/>
    <x v="1"/>
    <s v="Cardiology"/>
    <s v="Inpatient"/>
    <n v="3271.82"/>
    <n v="2020.89"/>
    <n v="1351.76"/>
    <n v="2239.77"/>
    <x v="0"/>
    <x v="3"/>
    <x v="1"/>
    <s v="SW76 9FU"/>
    <n v="5"/>
    <n v="1"/>
    <n v="8884.24"/>
    <n v="8884.24"/>
    <s v="May"/>
    <s v="2025"/>
    <s v="May 2025"/>
    <s v="Saturday"/>
    <x v="2"/>
    <s v="Leo Hall"/>
    <s v="Male"/>
    <x v="1"/>
  </r>
  <r>
    <x v="393"/>
    <x v="312"/>
    <d v="2025-12-18T00:00:00"/>
    <d v="1977-06-22T00:00:00"/>
    <n v="48"/>
    <x v="3"/>
    <x v="10"/>
    <x v="7"/>
    <x v="3"/>
    <s v="General Medicine"/>
    <s v="Emergency"/>
    <n v="3396.48"/>
    <n v="339.94"/>
    <n v="1028.24"/>
    <n v="14270.37"/>
    <x v="3"/>
    <x v="8"/>
    <x v="0"/>
    <s v="N89 2JA"/>
    <n v="2"/>
    <n v="2"/>
    <n v="19035.03"/>
    <n v="9517.5149999999994"/>
    <s v="December"/>
    <s v="2025"/>
    <s v="Dec 2025"/>
    <s v="Tuesday"/>
    <x v="2"/>
    <s v="Ava Smith"/>
    <s v="Female"/>
    <x v="1"/>
  </r>
  <r>
    <x v="394"/>
    <x v="313"/>
    <d v="2025-10-13T00:00:00"/>
    <d v="1988-10-23T00:00:00"/>
    <n v="37"/>
    <x v="1"/>
    <x v="11"/>
    <x v="7"/>
    <x v="0"/>
    <s v="Oncology"/>
    <s v="Inpatient"/>
    <n v="1491.22"/>
    <n v="1023.33"/>
    <n v="1795.03"/>
    <n v="11060.38"/>
    <x v="1"/>
    <x v="0"/>
    <x v="6"/>
    <s v="B2 7BW"/>
    <n v="7"/>
    <n v="10"/>
    <n v="15369.96"/>
    <n v="1536.9959999999999"/>
    <s v="October"/>
    <s v="2025"/>
    <s v="Oct 2025"/>
    <s v="Friday"/>
    <x v="2"/>
    <s v="Benjamin Y Wilson"/>
    <s v="Male"/>
    <x v="2"/>
  </r>
  <r>
    <x v="395"/>
    <x v="267"/>
    <d v="2025-12-11T00:00:00"/>
    <d v="2005-12-09T00:00:00"/>
    <n v="20"/>
    <x v="2"/>
    <x v="3"/>
    <x v="0"/>
    <x v="2"/>
    <s v="Orthopedics"/>
    <s v="Emergency"/>
    <n v="676.18"/>
    <n v="1298.55"/>
    <n v="570.1"/>
    <n v="3605.61"/>
    <x v="1"/>
    <x v="6"/>
    <x v="3"/>
    <s v="B5 8PD"/>
    <n v="7"/>
    <n v="13"/>
    <n v="6150.4400000000005"/>
    <n v="473.11076923076928"/>
    <s v="November"/>
    <s v="2025"/>
    <s v="Nov 2025"/>
    <s v="Friday"/>
    <x v="0"/>
    <s v="Olivia I Martin"/>
    <s v="Female"/>
    <x v="2"/>
  </r>
  <r>
    <x v="396"/>
    <x v="177"/>
    <d v="2025-06-06T00:00:00"/>
    <d v="1983-01-22T00:00:00"/>
    <n v="43"/>
    <x v="3"/>
    <x v="5"/>
    <x v="7"/>
    <x v="3"/>
    <s v="Orthopedics"/>
    <s v="Emergency"/>
    <n v="752.34"/>
    <n v="1278.43"/>
    <n v="709.13"/>
    <n v="1785.34"/>
    <x v="2"/>
    <x v="4"/>
    <x v="0"/>
    <s v="N38 9CH"/>
    <n v="5"/>
    <n v="7"/>
    <n v="4525.24"/>
    <n v="646.46285714285716"/>
    <s v="May"/>
    <s v="2025"/>
    <s v="May 2025"/>
    <s v="Friday"/>
    <x v="2"/>
    <s v="Ethan F Taylor"/>
    <s v="Male"/>
    <x v="3"/>
  </r>
  <r>
    <x v="397"/>
    <x v="157"/>
    <d v="2024-04-27T00:00:00"/>
    <d v="1980-06-02T00:00:00"/>
    <n v="46"/>
    <x v="3"/>
    <x v="7"/>
    <x v="3"/>
    <x v="2"/>
    <s v="Neurology"/>
    <s v="Emergency"/>
    <n v="2481.56"/>
    <n v="834.48"/>
    <n v="0"/>
    <n v="0"/>
    <x v="3"/>
    <x v="6"/>
    <x v="5"/>
    <s v="M99 2HY"/>
    <n v="3"/>
    <n v="3"/>
    <n v="3316.04"/>
    <n v="1105.3466666666666"/>
    <s v="April"/>
    <s v="2024"/>
    <s v="Apr 2024"/>
    <s v="Wednesday"/>
    <x v="2"/>
    <s v="Olivia White"/>
    <s v="Female"/>
    <x v="1"/>
  </r>
  <r>
    <x v="398"/>
    <x v="155"/>
    <d v="2025-10-28T00:00:00"/>
    <d v="1984-05-12T00:00:00"/>
    <n v="42"/>
    <x v="1"/>
    <x v="2"/>
    <x v="6"/>
    <x v="0"/>
    <s v="Orthopedics"/>
    <s v="Outpatient"/>
    <n v="1898.19"/>
    <n v="926.18"/>
    <n v="980.44"/>
    <n v="14890.5"/>
    <x v="1"/>
    <x v="9"/>
    <x v="5"/>
    <s v="M39 3BO"/>
    <n v="3"/>
    <n v="15"/>
    <n v="18695.310000000001"/>
    <n v="1246.354"/>
    <s v="October"/>
    <s v="2025"/>
    <s v="Oct 2025"/>
    <s v="Monday"/>
    <x v="2"/>
    <s v="Samuel F Taylor"/>
    <s v="Male"/>
    <x v="0"/>
  </r>
  <r>
    <x v="399"/>
    <x v="314"/>
    <d v="2025-01-18T00:00:00"/>
    <d v="1973-07-15T00:00:00"/>
    <n v="52"/>
    <x v="0"/>
    <x v="11"/>
    <x v="2"/>
    <x v="3"/>
    <s v="Respiratory"/>
    <s v="Emergency"/>
    <n v="3481.09"/>
    <n v="480.88"/>
    <n v="1078.7"/>
    <n v="6324.68"/>
    <x v="3"/>
    <x v="1"/>
    <x v="2"/>
    <s v="M48 5GM"/>
    <n v="4"/>
    <n v="11"/>
    <n v="11365.35"/>
    <n v="1033.2136363636364"/>
    <s v="January"/>
    <s v="2025"/>
    <s v="Jan 2025"/>
    <s v="Tuesday"/>
    <x v="2"/>
    <s v="Sarah O Hall"/>
    <s v="Female"/>
    <x v="2"/>
  </r>
  <r>
    <x v="400"/>
    <x v="285"/>
    <d v="2024-07-18T00:00:00"/>
    <d v="2004-09-14T00:00:00"/>
    <n v="21"/>
    <x v="1"/>
    <x v="9"/>
    <x v="4"/>
    <x v="0"/>
    <s v="General Medicine"/>
    <s v="Inpatient"/>
    <n v="643.58000000000004"/>
    <n v="83.01"/>
    <n v="1267.3599999999999"/>
    <n v="11675.06"/>
    <x v="3"/>
    <x v="2"/>
    <x v="0"/>
    <s v="SW60 4XE"/>
    <n v="10"/>
    <n v="15"/>
    <n v="13669.009999999998"/>
    <n v="911.26733333333323"/>
    <s v="July"/>
    <s v="2024"/>
    <s v="Jul 2024"/>
    <s v="Wednesday"/>
    <x v="0"/>
    <s v="Lucas J Clarke"/>
    <s v="Male"/>
    <x v="0"/>
  </r>
  <r>
    <x v="401"/>
    <x v="315"/>
    <d v="2025-01-07T00:00:00"/>
    <d v="1999-02-11T00:00:00"/>
    <n v="27"/>
    <x v="1"/>
    <x v="8"/>
    <x v="5"/>
    <x v="0"/>
    <s v="Neurology"/>
    <s v="Emergency"/>
    <n v="4015.99"/>
    <n v="629.5"/>
    <n v="1598.32"/>
    <n v="3654.66"/>
    <x v="2"/>
    <x v="3"/>
    <x v="6"/>
    <s v="E72 3EF"/>
    <n v="6"/>
    <n v="7"/>
    <n v="9898.4699999999993"/>
    <n v="1414.0671428571427"/>
    <s v="December"/>
    <s v="2024"/>
    <s v="Dec 2024"/>
    <s v="Tuesday"/>
    <x v="0"/>
    <s v="Sarah Jones"/>
    <s v="Female"/>
    <x v="3"/>
  </r>
  <r>
    <x v="402"/>
    <x v="69"/>
    <d v="2024-04-11T00:00:00"/>
    <d v="1987-03-15T00:00:00"/>
    <n v="39"/>
    <x v="1"/>
    <x v="11"/>
    <x v="5"/>
    <x v="1"/>
    <s v="Neurology"/>
    <s v="Outpatient"/>
    <n v="3415.68"/>
    <n v="296.64"/>
    <n v="824.71"/>
    <n v="11024.1"/>
    <x v="0"/>
    <x v="8"/>
    <x v="5"/>
    <s v="M86 6KC"/>
    <n v="10"/>
    <n v="2"/>
    <n v="15561.130000000001"/>
    <n v="7780.5650000000005"/>
    <s v="April"/>
    <s v="2024"/>
    <s v="Apr 2024"/>
    <s v="Tuesday"/>
    <x v="2"/>
    <s v="Daniel W Robinson"/>
    <s v="Male"/>
    <x v="1"/>
  </r>
  <r>
    <x v="403"/>
    <x v="207"/>
    <d v="2024-04-07T00:00:00"/>
    <d v="1963-12-26T00:00:00"/>
    <n v="62"/>
    <x v="3"/>
    <x v="11"/>
    <x v="1"/>
    <x v="1"/>
    <s v="Respiratory"/>
    <s v="Surgery"/>
    <n v="3917.94"/>
    <n v="728.56"/>
    <n v="778.52"/>
    <n v="1434.84"/>
    <x v="0"/>
    <x v="9"/>
    <x v="8"/>
    <s v="N7 4WJ"/>
    <n v="5"/>
    <n v="12"/>
    <n v="6859.8600000000006"/>
    <n v="571.65500000000009"/>
    <s v="March"/>
    <s v="2024"/>
    <s v="Mar 2024"/>
    <s v="Tuesday"/>
    <x v="1"/>
    <s v="Chloe Wood"/>
    <s v="Female"/>
    <x v="2"/>
  </r>
  <r>
    <x v="404"/>
    <x v="316"/>
    <d v="2024-11-18T00:00:00"/>
    <d v="1992-10-01T00:00:00"/>
    <n v="33"/>
    <x v="2"/>
    <x v="5"/>
    <x v="7"/>
    <x v="0"/>
    <s v="Pediatrics"/>
    <s v="Inpatient"/>
    <n v="874.55"/>
    <n v="1905.93"/>
    <n v="2964.19"/>
    <n v="8788.7800000000007"/>
    <x v="2"/>
    <x v="7"/>
    <x v="8"/>
    <s v="N45 5RG"/>
    <n v="7"/>
    <n v="13"/>
    <n v="14533.45"/>
    <n v="1117.9576923076925"/>
    <s v="November"/>
    <s v="2024"/>
    <s v="Nov 2024"/>
    <s v="Tuesday"/>
    <x v="0"/>
    <s v="Michael I Jones"/>
    <s v="Male"/>
    <x v="2"/>
  </r>
  <r>
    <x v="405"/>
    <x v="87"/>
    <d v="2024-04-27T00:00:00"/>
    <d v="1996-03-26T00:00:00"/>
    <n v="30"/>
    <x v="3"/>
    <x v="9"/>
    <x v="8"/>
    <x v="2"/>
    <s v="Neurology"/>
    <s v="Outpatient"/>
    <n v="782.56"/>
    <n v="1537.57"/>
    <n v="493.37"/>
    <n v="4686"/>
    <x v="3"/>
    <x v="6"/>
    <x v="4"/>
    <s v="M81 6ZV"/>
    <n v="1"/>
    <n v="8"/>
    <n v="7499.5"/>
    <n v="937.4375"/>
    <s v="April"/>
    <s v="2024"/>
    <s v="Apr 2024"/>
    <s v="Friday"/>
    <x v="0"/>
    <s v="Lily Martin"/>
    <s v="Female"/>
    <x v="2"/>
  </r>
  <r>
    <x v="406"/>
    <x v="97"/>
    <d v="2024-08-05T00:00:00"/>
    <d v="1995-11-08T00:00:00"/>
    <n v="30"/>
    <x v="3"/>
    <x v="11"/>
    <x v="8"/>
    <x v="1"/>
    <s v="Oncology"/>
    <s v="Outpatient"/>
    <n v="738.82"/>
    <n v="1773.07"/>
    <n v="2080.7600000000002"/>
    <n v="12092.01"/>
    <x v="3"/>
    <x v="3"/>
    <x v="3"/>
    <s v="B1 2FG"/>
    <n v="8"/>
    <n v="2"/>
    <n v="16684.66"/>
    <n v="8342.33"/>
    <s v="August"/>
    <s v="2024"/>
    <s v="Aug 2024"/>
    <s v="Saturday"/>
    <x v="0"/>
    <s v="Oliver R Wilson"/>
    <s v="Male"/>
    <x v="1"/>
  </r>
  <r>
    <x v="407"/>
    <x v="317"/>
    <d v="2025-09-08T00:00:00"/>
    <d v="1970-11-27T00:00:00"/>
    <n v="55"/>
    <x v="0"/>
    <x v="8"/>
    <x v="1"/>
    <x v="2"/>
    <s v="Emergency"/>
    <s v="Emergency"/>
    <n v="853.84"/>
    <n v="1644.82"/>
    <n v="1822.09"/>
    <n v="1673.17"/>
    <x v="3"/>
    <x v="1"/>
    <x v="3"/>
    <s v="E8 2PL"/>
    <n v="6"/>
    <n v="10"/>
    <n v="5993.92"/>
    <n v="599.39200000000005"/>
    <s v="August"/>
    <s v="2025"/>
    <s v="Aug 2025"/>
    <s v="Friday"/>
    <x v="2"/>
    <s v="Olivia I Thomas"/>
    <s v="Female"/>
    <x v="2"/>
  </r>
  <r>
    <x v="408"/>
    <x v="318"/>
    <d v="2024-12-07T00:00:00"/>
    <d v="1981-05-24T00:00:00"/>
    <n v="45"/>
    <x v="1"/>
    <x v="10"/>
    <x v="2"/>
    <x v="0"/>
    <s v="Respiratory"/>
    <s v="Emergency"/>
    <n v="3299.96"/>
    <n v="113.67"/>
    <n v="1355.34"/>
    <n v="3143.08"/>
    <x v="0"/>
    <x v="5"/>
    <x v="8"/>
    <s v="M60 8KZ"/>
    <n v="6"/>
    <n v="15"/>
    <n v="7912.05"/>
    <n v="527.47"/>
    <s v="November"/>
    <s v="2024"/>
    <s v="Nov 2024"/>
    <s v="Friday"/>
    <x v="2"/>
    <s v="Leo Thomas"/>
    <s v="Male"/>
    <x v="0"/>
  </r>
  <r>
    <x v="409"/>
    <x v="319"/>
    <d v="2025-02-25T00:00:00"/>
    <d v="2000-11-05T00:00:00"/>
    <n v="25"/>
    <x v="0"/>
    <x v="2"/>
    <x v="4"/>
    <x v="1"/>
    <s v="Orthopedics"/>
    <s v="Emergency"/>
    <n v="3688.51"/>
    <n v="1771.99"/>
    <n v="727.29"/>
    <n v="11165.73"/>
    <x v="3"/>
    <x v="0"/>
    <x v="9"/>
    <s v="E64 7FJ"/>
    <n v="6"/>
    <n v="12"/>
    <n v="17353.52"/>
    <n v="1446.1266666666668"/>
    <s v="February"/>
    <s v="2025"/>
    <s v="Feb 2025"/>
    <s v="Thursday"/>
    <x v="0"/>
    <s v="Emma F Smith"/>
    <s v="Female"/>
    <x v="2"/>
  </r>
  <r>
    <x v="410"/>
    <x v="174"/>
    <d v="2024-12-13T00:00:00"/>
    <d v="2006-02-03T00:00:00"/>
    <n v="20"/>
    <x v="0"/>
    <x v="0"/>
    <x v="1"/>
    <x v="1"/>
    <s v="General Medicine"/>
    <s v="Outpatient"/>
    <n v="3985.31"/>
    <n v="953.5"/>
    <n v="977.63"/>
    <n v="7119.33"/>
    <x v="0"/>
    <x v="4"/>
    <x v="4"/>
    <s v="M79 2TE"/>
    <n v="1"/>
    <n v="16"/>
    <n v="13035.77"/>
    <n v="814.73562500000003"/>
    <s v="November"/>
    <s v="2024"/>
    <s v="Nov 2024"/>
    <s v="Wednesday"/>
    <x v="0"/>
    <s v="Henry Robinson"/>
    <s v="Male"/>
    <x v="0"/>
  </r>
  <r>
    <x v="411"/>
    <x v="320"/>
    <d v="2024-09-07T00:00:00"/>
    <d v="2005-06-23T00:00:00"/>
    <n v="20"/>
    <x v="1"/>
    <x v="4"/>
    <x v="6"/>
    <x v="0"/>
    <s v="Cardiology"/>
    <s v="Inpatient"/>
    <n v="2742.13"/>
    <n v="1048.1300000000001"/>
    <n v="2929.44"/>
    <n v="7543.19"/>
    <x v="1"/>
    <x v="4"/>
    <x v="4"/>
    <s v="B31 4PS"/>
    <n v="3"/>
    <n v="11"/>
    <n v="14262.89"/>
    <n v="1296.6263636363635"/>
    <s v="August"/>
    <s v="2024"/>
    <s v="Aug 2024"/>
    <s v="Tuesday"/>
    <x v="0"/>
    <s v="Charlotte O Robinson"/>
    <s v="Female"/>
    <x v="2"/>
  </r>
  <r>
    <x v="412"/>
    <x v="186"/>
    <d v="2024-07-25T00:00:00"/>
    <d v="1973-07-25T00:00:00"/>
    <n v="52"/>
    <x v="1"/>
    <x v="8"/>
    <x v="5"/>
    <x v="3"/>
    <s v="Neurology"/>
    <s v="Inpatient"/>
    <n v="4467.88"/>
    <n v="610.41"/>
    <n v="1082.33"/>
    <n v="13434.77"/>
    <x v="0"/>
    <x v="7"/>
    <x v="8"/>
    <s v="M41 9GZ"/>
    <n v="1"/>
    <n v="9"/>
    <n v="19595.39"/>
    <n v="2177.2655555555557"/>
    <s v="July"/>
    <s v="2024"/>
    <s v="Jul 2024"/>
    <s v="Tuesday"/>
    <x v="2"/>
    <s v="Michael Wood"/>
    <s v="Male"/>
    <x v="2"/>
  </r>
  <r>
    <x v="413"/>
    <x v="282"/>
    <d v="2024-10-01T00:00:00"/>
    <d v="1989-01-10T00:00:00"/>
    <n v="37"/>
    <x v="2"/>
    <x v="2"/>
    <x v="5"/>
    <x v="0"/>
    <s v="Pediatrics"/>
    <s v="Outpatient"/>
    <n v="1120.24"/>
    <n v="715.63"/>
    <n v="408.86"/>
    <n v="6744.11"/>
    <x v="0"/>
    <x v="8"/>
    <x v="1"/>
    <s v="SW59 5GW"/>
    <n v="3"/>
    <n v="7"/>
    <n v="8988.84"/>
    <n v="1284.1200000000001"/>
    <s v="September"/>
    <s v="2024"/>
    <s v="Sep 2024"/>
    <s v="Tuesday"/>
    <x v="2"/>
    <s v="Ella W Robinson"/>
    <s v="Female"/>
    <x v="3"/>
  </r>
  <r>
    <x v="414"/>
    <x v="304"/>
    <d v="2025-07-18T00:00:00"/>
    <d v="1965-12-13T00:00:00"/>
    <n v="60"/>
    <x v="3"/>
    <x v="6"/>
    <x v="3"/>
    <x v="3"/>
    <s v="Neurology"/>
    <s v="Outpatient"/>
    <n v="3148.23"/>
    <n v="716.06"/>
    <n v="2644.61"/>
    <n v="12430.01"/>
    <x v="1"/>
    <x v="3"/>
    <x v="5"/>
    <s v="N64 2CE"/>
    <n v="1"/>
    <n v="1"/>
    <n v="18938.91"/>
    <n v="18938.91"/>
    <s v="July"/>
    <s v="2025"/>
    <s v="Jul 2025"/>
    <s v="Thursday"/>
    <x v="1"/>
    <s v="Oliver Q Walker"/>
    <s v="Male"/>
    <x v="1"/>
  </r>
  <r>
    <x v="415"/>
    <x v="321"/>
    <d v="2024-03-21T00:00:00"/>
    <d v="1976-07-18T00:00:00"/>
    <n v="49"/>
    <x v="0"/>
    <x v="3"/>
    <x v="3"/>
    <x v="3"/>
    <s v="Respiratory"/>
    <s v="Inpatient"/>
    <n v="1445.44"/>
    <n v="326.02999999999997"/>
    <n v="2377.2800000000002"/>
    <n v="4846.53"/>
    <x v="3"/>
    <x v="6"/>
    <x v="9"/>
    <s v="E83 9AB"/>
    <n v="4"/>
    <n v="17"/>
    <n v="8995.2799999999988"/>
    <n v="529.1341176470587"/>
    <s v="March"/>
    <s v="2024"/>
    <s v="Mar 2024"/>
    <s v="Monday"/>
    <x v="2"/>
    <s v="Emily O Clarke"/>
    <s v="Female"/>
    <x v="0"/>
  </r>
  <r>
    <x v="416"/>
    <x v="322"/>
    <d v="2025-02-10T00:00:00"/>
    <d v="1993-11-22T00:00:00"/>
    <n v="32"/>
    <x v="3"/>
    <x v="2"/>
    <x v="9"/>
    <x v="3"/>
    <s v="Oncology"/>
    <s v="Inpatient"/>
    <n v="2431.56"/>
    <n v="811.54"/>
    <n v="2308.8000000000002"/>
    <n v="11527.25"/>
    <x v="0"/>
    <x v="3"/>
    <x v="1"/>
    <s v="B48 9FM"/>
    <n v="4"/>
    <n v="1"/>
    <n v="17079.150000000001"/>
    <n v="17079.150000000001"/>
    <s v="February"/>
    <s v="2025"/>
    <s v="Feb 2025"/>
    <s v="Sunday"/>
    <x v="0"/>
    <s v="Michael N Smith"/>
    <s v="Male"/>
    <x v="1"/>
  </r>
  <r>
    <x v="417"/>
    <x v="232"/>
    <d v="2024-12-15T00:00:00"/>
    <d v="1993-10-09T00:00:00"/>
    <n v="32"/>
    <x v="1"/>
    <x v="9"/>
    <x v="2"/>
    <x v="3"/>
    <s v="Pediatrics"/>
    <s v="Surgery"/>
    <n v="2038.68"/>
    <n v="1873.18"/>
    <n v="1901.88"/>
    <n v="6876.78"/>
    <x v="1"/>
    <x v="0"/>
    <x v="1"/>
    <s v="E50 2XG"/>
    <n v="10"/>
    <n v="7"/>
    <n v="12690.52"/>
    <n v="1812.9314285714286"/>
    <s v="December"/>
    <s v="2024"/>
    <s v="Dec 2024"/>
    <s v="Sunday"/>
    <x v="0"/>
    <s v="Ella T Thompson"/>
    <s v="Female"/>
    <x v="3"/>
  </r>
  <r>
    <x v="418"/>
    <x v="75"/>
    <d v="2024-07-15T00:00:00"/>
    <d v="1964-01-07T00:00:00"/>
    <n v="62"/>
    <x v="0"/>
    <x v="0"/>
    <x v="7"/>
    <x v="2"/>
    <s v="Cardiology"/>
    <s v="Inpatient"/>
    <n v="4849.12"/>
    <n v="221.68"/>
    <n v="2023.42"/>
    <n v="5916.06"/>
    <x v="1"/>
    <x v="7"/>
    <x v="9"/>
    <s v="E79 2AA"/>
    <n v="10"/>
    <n v="11"/>
    <n v="13010.28"/>
    <n v="1182.7527272727273"/>
    <s v="July"/>
    <s v="2024"/>
    <s v="Jul 2024"/>
    <s v="Thursday"/>
    <x v="1"/>
    <s v="Daniel Brown"/>
    <s v="Male"/>
    <x v="2"/>
  </r>
  <r>
    <x v="419"/>
    <x v="43"/>
    <d v="2024-03-27T00:00:00"/>
    <d v="1972-12-12T00:00:00"/>
    <n v="53"/>
    <x v="1"/>
    <x v="1"/>
    <x v="3"/>
    <x v="3"/>
    <s v="Respiratory"/>
    <s v="Surgery"/>
    <n v="4760.97"/>
    <n v="1551.59"/>
    <n v="571.21"/>
    <n v="4946.5600000000004"/>
    <x v="2"/>
    <x v="2"/>
    <x v="5"/>
    <s v="M23 1DC"/>
    <n v="5"/>
    <n v="9"/>
    <n v="11830.330000000002"/>
    <n v="1314.4811111111112"/>
    <s v="March"/>
    <s v="2024"/>
    <s v="Mar 2024"/>
    <s v="Monday"/>
    <x v="2"/>
    <s v="Emma V Jones"/>
    <s v="Female"/>
    <x v="2"/>
  </r>
  <r>
    <x v="420"/>
    <x v="121"/>
    <d v="2024-02-02T00:00:00"/>
    <d v="1970-11-13T00:00:00"/>
    <n v="55"/>
    <x v="0"/>
    <x v="4"/>
    <x v="6"/>
    <x v="3"/>
    <s v="Orthopedics"/>
    <s v="Inpatient"/>
    <n v="4796.54"/>
    <n v="938.95"/>
    <n v="161.68"/>
    <n v="11196.12"/>
    <x v="3"/>
    <x v="5"/>
    <x v="7"/>
    <s v="N35 1VI"/>
    <n v="1"/>
    <n v="2"/>
    <n v="17093.29"/>
    <n v="8546.6450000000004"/>
    <s v="January"/>
    <s v="2024"/>
    <s v="Jan 2024"/>
    <s v="Wednesday"/>
    <x v="2"/>
    <s v="Leo Brown"/>
    <s v="Male"/>
    <x v="1"/>
  </r>
  <r>
    <x v="421"/>
    <x v="109"/>
    <d v="2024-11-01T00:00:00"/>
    <d v="1990-12-02T00:00:00"/>
    <n v="35"/>
    <x v="0"/>
    <x v="5"/>
    <x v="8"/>
    <x v="1"/>
    <s v="Oncology"/>
    <s v="Emergency"/>
    <n v="868.22"/>
    <n v="1838.88"/>
    <n v="2296.39"/>
    <n v="7364.39"/>
    <x v="0"/>
    <x v="5"/>
    <x v="3"/>
    <s v="B52 6OL"/>
    <n v="6"/>
    <n v="12"/>
    <n v="12367.880000000001"/>
    <n v="1030.6566666666668"/>
    <s v="October"/>
    <s v="2024"/>
    <s v="Oct 2024"/>
    <s v="Sunday"/>
    <x v="2"/>
    <s v="Lily S Walker"/>
    <s v="Female"/>
    <x v="2"/>
  </r>
  <r>
    <x v="422"/>
    <x v="323"/>
    <d v="2025-12-03T00:00:00"/>
    <d v="1973-09-28T00:00:00"/>
    <n v="52"/>
    <x v="1"/>
    <x v="4"/>
    <x v="4"/>
    <x v="2"/>
    <s v="Neurology"/>
    <s v="Inpatient"/>
    <n v="1522.97"/>
    <n v="1455.49"/>
    <n v="2536.16"/>
    <n v="5607.51"/>
    <x v="3"/>
    <x v="2"/>
    <x v="0"/>
    <s v="E54 2QR"/>
    <n v="3"/>
    <n v="6"/>
    <n v="11122.130000000001"/>
    <n v="1853.6883333333335"/>
    <s v="November"/>
    <s v="2025"/>
    <s v="Nov 2025"/>
    <s v="Thursday"/>
    <x v="2"/>
    <s v="John White"/>
    <s v="Male"/>
    <x v="3"/>
  </r>
  <r>
    <x v="423"/>
    <x v="77"/>
    <d v="2025-02-04T00:00:00"/>
    <d v="1952-06-24T00:00:00"/>
    <n v="73"/>
    <x v="2"/>
    <x v="9"/>
    <x v="3"/>
    <x v="2"/>
    <s v="Pediatrics"/>
    <s v="Emergency"/>
    <n v="4602.82"/>
    <n v="2008.72"/>
    <n v="2448.11"/>
    <n v="6287.23"/>
    <x v="3"/>
    <x v="0"/>
    <x v="9"/>
    <s v="E65 2PE"/>
    <n v="7"/>
    <n v="18"/>
    <n v="15346.88"/>
    <n v="852.60444444444443"/>
    <s v="January"/>
    <s v="2025"/>
    <s v="Jan 2025"/>
    <s v="Friday"/>
    <x v="1"/>
    <s v="Mia I Wood"/>
    <s v="Female"/>
    <x v="0"/>
  </r>
  <r>
    <x v="424"/>
    <x v="294"/>
    <d v="2024-08-06T00:00:00"/>
    <d v="1946-05-04T00:00:00"/>
    <n v="80"/>
    <x v="0"/>
    <x v="5"/>
    <x v="8"/>
    <x v="0"/>
    <s v="Cardiology"/>
    <s v="Inpatient"/>
    <n v="379.58"/>
    <n v="1032.06"/>
    <n v="579.19000000000005"/>
    <n v="9010.6299999999992"/>
    <x v="0"/>
    <x v="5"/>
    <x v="8"/>
    <s v="N39 7TS"/>
    <n v="4"/>
    <n v="6"/>
    <n v="11001.46"/>
    <n v="1833.5766666666666"/>
    <s v="July"/>
    <s v="2024"/>
    <s v="Jul 2024"/>
    <s v="Wednesday"/>
    <x v="1"/>
    <s v="David U Hall"/>
    <s v="Male"/>
    <x v="3"/>
  </r>
  <r>
    <x v="425"/>
    <x v="324"/>
    <d v="2025-10-09T00:00:00"/>
    <d v="1972-12-19T00:00:00"/>
    <n v="53"/>
    <x v="3"/>
    <x v="11"/>
    <x v="6"/>
    <x v="1"/>
    <s v="Respiratory"/>
    <s v="Emergency"/>
    <n v="1210.3399999999999"/>
    <n v="1441.04"/>
    <n v="452.49"/>
    <n v="2065.29"/>
    <x v="0"/>
    <x v="0"/>
    <x v="0"/>
    <s v="SW31 8BK"/>
    <n v="9"/>
    <n v="12"/>
    <n v="5169.16"/>
    <n v="430.76333333333332"/>
    <s v="September"/>
    <s v="2025"/>
    <s v="Sep 2025"/>
    <s v="Saturday"/>
    <x v="2"/>
    <s v="Chloe C Clarke"/>
    <s v="Female"/>
    <x v="2"/>
  </r>
  <r>
    <x v="426"/>
    <x v="114"/>
    <d v="2024-10-27T00:00:00"/>
    <d v="1977-03-15T00:00:00"/>
    <n v="49"/>
    <x v="1"/>
    <x v="10"/>
    <x v="3"/>
    <x v="3"/>
    <s v="Neurology"/>
    <s v="Emergency"/>
    <n v="3349.57"/>
    <n v="1704.69"/>
    <n v="1145.57"/>
    <n v="8715.0400000000009"/>
    <x v="2"/>
    <x v="0"/>
    <x v="6"/>
    <s v="B43 7DV"/>
    <n v="9"/>
    <n v="19"/>
    <n v="14914.87"/>
    <n v="784.9931578947369"/>
    <s v="October"/>
    <s v="2024"/>
    <s v="Oct 2024"/>
    <s v="Tuesday"/>
    <x v="2"/>
    <s v="George Evans"/>
    <s v="Male"/>
    <x v="0"/>
  </r>
  <r>
    <x v="427"/>
    <x v="302"/>
    <d v="2024-08-27T00:00:00"/>
    <d v="1947-05-06T00:00:00"/>
    <n v="79"/>
    <x v="3"/>
    <x v="11"/>
    <x v="1"/>
    <x v="1"/>
    <s v="Neurology"/>
    <s v="Emergency"/>
    <n v="4735.2"/>
    <n v="160.26"/>
    <n v="3014.8"/>
    <n v="1327.9"/>
    <x v="0"/>
    <x v="9"/>
    <x v="7"/>
    <s v="SW90 7AW"/>
    <n v="2"/>
    <n v="11"/>
    <n v="9238.16"/>
    <n v="839.83272727272731"/>
    <s v="August"/>
    <s v="2024"/>
    <s v="Aug 2024"/>
    <s v="Friday"/>
    <x v="1"/>
    <s v="Isabella K Thompson"/>
    <s v="Female"/>
    <x v="2"/>
  </r>
  <r>
    <x v="428"/>
    <x v="283"/>
    <d v="2024-09-11T00:00:00"/>
    <d v="1975-07-17T00:00:00"/>
    <n v="50"/>
    <x v="0"/>
    <x v="11"/>
    <x v="8"/>
    <x v="2"/>
    <s v="Orthopedics"/>
    <s v="Outpatient"/>
    <n v="3301.12"/>
    <n v="167.51"/>
    <n v="2404.6799999999998"/>
    <n v="5553.21"/>
    <x v="2"/>
    <x v="0"/>
    <x v="1"/>
    <s v="N75 7DR"/>
    <n v="4"/>
    <n v="5"/>
    <n v="11426.52"/>
    <n v="2285.3040000000001"/>
    <s v="September"/>
    <s v="2024"/>
    <s v="Sep 2024"/>
    <s v="Friday"/>
    <x v="2"/>
    <s v="Ethan F Wilson"/>
    <s v="Male"/>
    <x v="3"/>
  </r>
  <r>
    <x v="429"/>
    <x v="325"/>
    <d v="2025-09-08T00:00:00"/>
    <d v="1978-11-09T00:00:00"/>
    <n v="47"/>
    <x v="3"/>
    <x v="9"/>
    <x v="4"/>
    <x v="3"/>
    <s v="Oncology"/>
    <s v="Outpatient"/>
    <n v="4064.34"/>
    <n v="196.31"/>
    <n v="1134.06"/>
    <n v="15369.52"/>
    <x v="1"/>
    <x v="3"/>
    <x v="0"/>
    <s v="B82 9ZC"/>
    <n v="4"/>
    <n v="17"/>
    <n v="20764.230000000003"/>
    <n v="1221.4252941176474"/>
    <s v="August"/>
    <s v="2025"/>
    <s v="Aug 2025"/>
    <s v="Friday"/>
    <x v="2"/>
    <s v="Grace W Hall"/>
    <s v="Female"/>
    <x v="0"/>
  </r>
  <r>
    <x v="430"/>
    <x v="326"/>
    <d v="2024-08-27T00:00:00"/>
    <d v="1998-11-12T00:00:00"/>
    <n v="27"/>
    <x v="2"/>
    <x v="11"/>
    <x v="3"/>
    <x v="0"/>
    <s v="Oncology"/>
    <s v="Surgery"/>
    <n v="3704.98"/>
    <n v="877.32"/>
    <n v="312.07"/>
    <n v="9418.1"/>
    <x v="4"/>
    <x v="0"/>
    <x v="4"/>
    <s v="N96 3PT"/>
    <n v="7"/>
    <n v="9"/>
    <n v="14312.470000000001"/>
    <n v="1590.2744444444445"/>
    <s v="August"/>
    <s v="2024"/>
    <s v="Aug 2024"/>
    <s v="Sunday"/>
    <x v="0"/>
    <s v="George Robinson"/>
    <s v="Male"/>
    <x v="2"/>
  </r>
  <r>
    <x v="431"/>
    <x v="327"/>
    <d v="2025-01-22T00:00:00"/>
    <d v="1994-11-02T00:00:00"/>
    <n v="31"/>
    <x v="2"/>
    <x v="5"/>
    <x v="3"/>
    <x v="2"/>
    <s v="Respiratory"/>
    <s v="Inpatient"/>
    <n v="2409.48"/>
    <n v="1262.68"/>
    <n v="1376.63"/>
    <n v="5251.12"/>
    <x v="1"/>
    <x v="4"/>
    <x v="4"/>
    <s v="B88 3PK"/>
    <n v="10"/>
    <n v="9"/>
    <n v="10299.91"/>
    <n v="1144.4344444444444"/>
    <s v="January"/>
    <s v="2025"/>
    <s v="Jan 2025"/>
    <s v="Monday"/>
    <x v="0"/>
    <s v="Amelia Green"/>
    <s v="Female"/>
    <x v="2"/>
  </r>
  <r>
    <x v="432"/>
    <x v="85"/>
    <d v="2024-07-26T00:00:00"/>
    <d v="2003-04-19T00:00:00"/>
    <n v="23"/>
    <x v="1"/>
    <x v="4"/>
    <x v="0"/>
    <x v="1"/>
    <s v="Orthopedics"/>
    <s v="Outpatient"/>
    <n v="2550.86"/>
    <n v="470.91"/>
    <n v="1216.3900000000001"/>
    <n v="3144.59"/>
    <x v="0"/>
    <x v="5"/>
    <x v="6"/>
    <s v="N88 6WR"/>
    <n v="7"/>
    <n v="12"/>
    <n v="7382.75"/>
    <n v="615.22916666666663"/>
    <s v="July"/>
    <s v="2024"/>
    <s v="Jul 2024"/>
    <s v="Sunday"/>
    <x v="0"/>
    <s v="Leo O Smith"/>
    <s v="Male"/>
    <x v="2"/>
  </r>
  <r>
    <x v="433"/>
    <x v="328"/>
    <d v="2025-06-04T00:00:00"/>
    <d v="2001-11-26T00:00:00"/>
    <n v="24"/>
    <x v="2"/>
    <x v="10"/>
    <x v="7"/>
    <x v="1"/>
    <s v="Emergency"/>
    <s v="Surgery"/>
    <n v="4169.53"/>
    <n v="1016.86"/>
    <n v="2285.14"/>
    <n v="2316.58"/>
    <x v="0"/>
    <x v="0"/>
    <x v="1"/>
    <s v="N33 8OR"/>
    <n v="5"/>
    <n v="12"/>
    <n v="9788.1099999999988"/>
    <n v="815.67583333333323"/>
    <s v="May"/>
    <s v="2025"/>
    <s v="May 2025"/>
    <s v="Friday"/>
    <x v="0"/>
    <s v="Emma I Thompson"/>
    <s v="Female"/>
    <x v="2"/>
  </r>
  <r>
    <x v="434"/>
    <x v="226"/>
    <d v="2025-01-07T00:00:00"/>
    <d v="1953-03-04T00:00:00"/>
    <n v="73"/>
    <x v="3"/>
    <x v="1"/>
    <x v="4"/>
    <x v="3"/>
    <s v="Orthopedics"/>
    <s v="Surgery"/>
    <n v="2051.17"/>
    <n v="1182.21"/>
    <n v="649.39"/>
    <n v="9907.5499999999993"/>
    <x v="1"/>
    <x v="0"/>
    <x v="8"/>
    <s v="B93 5JN"/>
    <n v="7"/>
    <n v="2"/>
    <n v="13790.32"/>
    <n v="6895.16"/>
    <s v="January"/>
    <s v="2025"/>
    <s v="Jan 2025"/>
    <s v="Sunday"/>
    <x v="1"/>
    <s v="Noah Wilson"/>
    <s v="Male"/>
    <x v="1"/>
  </r>
  <r>
    <x v="435"/>
    <x v="275"/>
    <d v="2025-07-28T00:00:00"/>
    <d v="1996-07-07T00:00:00"/>
    <n v="29"/>
    <x v="1"/>
    <x v="9"/>
    <x v="4"/>
    <x v="1"/>
    <s v="Emergency"/>
    <s v="Emergency"/>
    <n v="1006.73"/>
    <n v="891.62"/>
    <n v="2053.46"/>
    <n v="8022.39"/>
    <x v="1"/>
    <x v="2"/>
    <x v="9"/>
    <s v="SW14 1HV"/>
    <n v="4"/>
    <n v="20"/>
    <n v="11974.2"/>
    <n v="598.71"/>
    <s v="July"/>
    <s v="2025"/>
    <s v="Jul 2025"/>
    <s v="Tuesday"/>
    <x v="0"/>
    <s v="Lily Green"/>
    <s v="Female"/>
    <x v="0"/>
  </r>
  <r>
    <x v="436"/>
    <x v="36"/>
    <d v="2025-10-04T00:00:00"/>
    <d v="1992-07-28T00:00:00"/>
    <n v="33"/>
    <x v="2"/>
    <x v="11"/>
    <x v="4"/>
    <x v="0"/>
    <s v="Oncology"/>
    <s v="Outpatient"/>
    <n v="3445.41"/>
    <n v="1498.53"/>
    <n v="1916.96"/>
    <n v="4384.21"/>
    <x v="0"/>
    <x v="9"/>
    <x v="4"/>
    <s v="N48 3WC"/>
    <n v="5"/>
    <n v="13"/>
    <n v="11245.11"/>
    <n v="865.00846153846157"/>
    <s v="September"/>
    <s v="2025"/>
    <s v="Sep 2025"/>
    <s v="Sunday"/>
    <x v="0"/>
    <s v="Leo V Brown"/>
    <s v="Male"/>
    <x v="2"/>
  </r>
  <r>
    <x v="437"/>
    <x v="1"/>
    <d v="2025-12-22T00:00:00"/>
    <d v="1983-08-01T00:00:00"/>
    <n v="42"/>
    <x v="2"/>
    <x v="1"/>
    <x v="7"/>
    <x v="1"/>
    <s v="Respiratory"/>
    <s v="Outpatient"/>
    <n v="4395.91"/>
    <n v="1688.79"/>
    <n v="1699.17"/>
    <n v="4943.6499999999996"/>
    <x v="2"/>
    <x v="8"/>
    <x v="0"/>
    <s v="SW45 4IL"/>
    <n v="6"/>
    <n v="19"/>
    <n v="12727.52"/>
    <n v="669.86947368421056"/>
    <s v="December"/>
    <s v="2025"/>
    <s v="Dec 2025"/>
    <s v="Wednesday"/>
    <x v="2"/>
    <s v="Chloe N Wood"/>
    <s v="Female"/>
    <x v="0"/>
  </r>
  <r>
    <x v="438"/>
    <x v="329"/>
    <d v="2024-08-25T00:00:00"/>
    <d v="1968-01-25T00:00:00"/>
    <n v="58"/>
    <x v="0"/>
    <x v="9"/>
    <x v="5"/>
    <x v="3"/>
    <s v="Neurology"/>
    <s v="Inpatient"/>
    <n v="1569.82"/>
    <n v="1030.0999999999999"/>
    <n v="1082.93"/>
    <n v="10535.62"/>
    <x v="2"/>
    <x v="2"/>
    <x v="9"/>
    <s v="M40 3QC"/>
    <n v="5"/>
    <n v="3"/>
    <n v="14218.470000000001"/>
    <n v="4739.4900000000007"/>
    <s v="August"/>
    <s v="2024"/>
    <s v="Aug 2024"/>
    <s v="Thursday"/>
    <x v="2"/>
    <s v="John Martin"/>
    <s v="Male"/>
    <x v="1"/>
  </r>
  <r>
    <x v="439"/>
    <x v="330"/>
    <d v="2026-01-02T00:00:00"/>
    <d v="1946-04-20T00:00:00"/>
    <n v="80"/>
    <x v="1"/>
    <x v="3"/>
    <x v="8"/>
    <x v="2"/>
    <s v="Emergency"/>
    <s v="Outpatient"/>
    <n v="1207.19"/>
    <n v="1308.71"/>
    <n v="2249.41"/>
    <n v="1761.07"/>
    <x v="3"/>
    <x v="8"/>
    <x v="5"/>
    <s v="SW22 5QA"/>
    <n v="8"/>
    <n v="3"/>
    <n v="6526.3799999999992"/>
    <n v="2175.4599999999996"/>
    <s v="December"/>
    <s v="2025"/>
    <s v="Dec 2025"/>
    <s v="Tuesday"/>
    <x v="1"/>
    <s v="Emily Evans"/>
    <s v="Female"/>
    <x v="1"/>
  </r>
  <r>
    <x v="440"/>
    <x v="331"/>
    <d v="2026-01-01T00:00:00"/>
    <d v="1960-08-06T00:00:00"/>
    <n v="65"/>
    <x v="2"/>
    <x v="6"/>
    <x v="7"/>
    <x v="1"/>
    <s v="Emergency"/>
    <s v="Emergency"/>
    <n v="4205.62"/>
    <n v="104.34"/>
    <n v="422.29"/>
    <n v="3737.15"/>
    <x v="4"/>
    <x v="7"/>
    <x v="2"/>
    <s v="M68 8UQ"/>
    <n v="3"/>
    <n v="4"/>
    <n v="8469.4"/>
    <n v="2117.35"/>
    <s v="December"/>
    <s v="2025"/>
    <s v="Dec 2025"/>
    <s v="Sunday"/>
    <x v="1"/>
    <s v="Benjamin U Clarke"/>
    <s v="Male"/>
    <x v="3"/>
  </r>
  <r>
    <x v="441"/>
    <x v="332"/>
    <d v="2025-02-08T00:00:00"/>
    <d v="1952-10-14T00:00:00"/>
    <n v="73"/>
    <x v="1"/>
    <x v="0"/>
    <x v="0"/>
    <x v="0"/>
    <s v="Pediatrics"/>
    <s v="Emergency"/>
    <n v="3231.24"/>
    <n v="974.52"/>
    <n v="136.56"/>
    <n v="8852.89"/>
    <x v="3"/>
    <x v="5"/>
    <x v="6"/>
    <s v="M32 3AH"/>
    <n v="3"/>
    <n v="13"/>
    <n v="13195.21"/>
    <n v="1015.0161538461538"/>
    <s v="January"/>
    <s v="2025"/>
    <s v="Jan 2025"/>
    <s v="Sunday"/>
    <x v="1"/>
    <s v="Mia Smith"/>
    <s v="Female"/>
    <x v="2"/>
  </r>
  <r>
    <x v="442"/>
    <x v="333"/>
    <d v="2024-04-23T00:00:00"/>
    <d v="2005-03-21T00:00:00"/>
    <n v="21"/>
    <x v="2"/>
    <x v="10"/>
    <x v="2"/>
    <x v="3"/>
    <s v="Cardiology"/>
    <s v="Outpatient"/>
    <n v="2313.9899999999998"/>
    <n v="1073.93"/>
    <n v="1721.7"/>
    <n v="13406.11"/>
    <x v="0"/>
    <x v="1"/>
    <x v="7"/>
    <s v="E46 6GJ"/>
    <n v="7"/>
    <n v="10"/>
    <n v="18515.73"/>
    <n v="1851.5729999999999"/>
    <s v="April"/>
    <s v="2024"/>
    <s v="Apr 2024"/>
    <s v="Saturday"/>
    <x v="0"/>
    <s v="James Walker"/>
    <s v="Male"/>
    <x v="2"/>
  </r>
  <r>
    <x v="443"/>
    <x v="212"/>
    <d v="2025-10-04T00:00:00"/>
    <d v="1973-07-11T00:00:00"/>
    <n v="52"/>
    <x v="3"/>
    <x v="9"/>
    <x v="2"/>
    <x v="1"/>
    <s v="Oncology"/>
    <s v="Outpatient"/>
    <n v="2398.44"/>
    <n v="107.2"/>
    <n v="2225.56"/>
    <n v="2642.87"/>
    <x v="2"/>
    <x v="8"/>
    <x v="0"/>
    <s v="SW85 8XX"/>
    <n v="8"/>
    <n v="15"/>
    <n v="7374.07"/>
    <n v="491.60466666666667"/>
    <s v="September"/>
    <s v="2025"/>
    <s v="Sep 2025"/>
    <s v="Friday"/>
    <x v="2"/>
    <s v="Emily Thomas"/>
    <s v="Female"/>
    <x v="0"/>
  </r>
  <r>
    <x v="444"/>
    <x v="93"/>
    <d v="2024-07-31T00:00:00"/>
    <d v="1957-07-19T00:00:00"/>
    <n v="68"/>
    <x v="3"/>
    <x v="3"/>
    <x v="5"/>
    <x v="0"/>
    <s v="General Medicine"/>
    <s v="Surgery"/>
    <n v="2271.6999999999998"/>
    <n v="1186.46"/>
    <n v="151.1"/>
    <n v="14904.93"/>
    <x v="3"/>
    <x v="2"/>
    <x v="7"/>
    <s v="N87 8DC"/>
    <n v="3"/>
    <n v="14"/>
    <n v="18514.189999999999"/>
    <n v="1322.4421428571427"/>
    <s v="July"/>
    <s v="2024"/>
    <s v="Jul 2024"/>
    <s v="Wednesday"/>
    <x v="1"/>
    <s v="Arthur Robinson"/>
    <s v="Male"/>
    <x v="2"/>
  </r>
  <r>
    <x v="445"/>
    <x v="334"/>
    <d v="2025-12-18T00:00:00"/>
    <d v="1978-03-22T00:00:00"/>
    <n v="48"/>
    <x v="2"/>
    <x v="4"/>
    <x v="9"/>
    <x v="2"/>
    <s v="Oncology"/>
    <s v="Outpatient"/>
    <n v="2183.4299999999998"/>
    <n v="379.3"/>
    <n v="1057.49"/>
    <n v="15119.48"/>
    <x v="3"/>
    <x v="3"/>
    <x v="0"/>
    <s v="E76 5ZI"/>
    <n v="7"/>
    <n v="19"/>
    <n v="18739.7"/>
    <n v="986.30000000000007"/>
    <s v="November"/>
    <s v="2025"/>
    <s v="Nov 2025"/>
    <s v="Saturday"/>
    <x v="2"/>
    <s v="Mia D Clarke"/>
    <s v="Female"/>
    <x v="0"/>
  </r>
  <r>
    <x v="446"/>
    <x v="335"/>
    <d v="2025-08-14T00:00:00"/>
    <d v="1992-07-14T00:00:00"/>
    <n v="33"/>
    <x v="2"/>
    <x v="5"/>
    <x v="0"/>
    <x v="2"/>
    <s v="Pediatrics"/>
    <s v="Emergency"/>
    <n v="3404.84"/>
    <n v="871.51"/>
    <n v="2650.12"/>
    <n v="15900.8"/>
    <x v="3"/>
    <x v="0"/>
    <x v="3"/>
    <s v="M61 1KL"/>
    <n v="2"/>
    <n v="11"/>
    <n v="22827.27"/>
    <n v="2075.2063636363637"/>
    <s v="August"/>
    <s v="2025"/>
    <s v="Aug 2025"/>
    <s v="Sunday"/>
    <x v="0"/>
    <s v="John W Jones"/>
    <s v="Male"/>
    <x v="2"/>
  </r>
  <r>
    <x v="447"/>
    <x v="336"/>
    <d v="2024-06-28T00:00:00"/>
    <d v="1960-10-26T00:00:00"/>
    <n v="65"/>
    <x v="1"/>
    <x v="10"/>
    <x v="5"/>
    <x v="1"/>
    <s v="General Medicine"/>
    <s v="Inpatient"/>
    <n v="2670.01"/>
    <n v="148.82"/>
    <n v="470.21"/>
    <n v="1327.22"/>
    <x v="2"/>
    <x v="2"/>
    <x v="5"/>
    <s v="M23 1EJ"/>
    <n v="1"/>
    <n v="11"/>
    <n v="4616.26"/>
    <n v="419.66"/>
    <s v="June"/>
    <s v="2024"/>
    <s v="Jun 2024"/>
    <s v="Monday"/>
    <x v="1"/>
    <s v="Sophia Robinson"/>
    <s v="Female"/>
    <x v="2"/>
  </r>
  <r>
    <x v="448"/>
    <x v="337"/>
    <d v="2024-07-21T00:00:00"/>
    <d v="1984-01-27T00:00:00"/>
    <n v="42"/>
    <x v="2"/>
    <x v="7"/>
    <x v="3"/>
    <x v="3"/>
    <s v="Pediatrics"/>
    <s v="Emergency"/>
    <n v="1502.49"/>
    <n v="1701.63"/>
    <n v="2509.14"/>
    <n v="14799.66"/>
    <x v="1"/>
    <x v="6"/>
    <x v="6"/>
    <s v="N83 9DP"/>
    <n v="9"/>
    <n v="6"/>
    <n v="20512.919999999998"/>
    <n v="3418.8199999999997"/>
    <s v="July"/>
    <s v="2024"/>
    <s v="Jul 2024"/>
    <s v="Monday"/>
    <x v="2"/>
    <s v="Samuel R Brown"/>
    <s v="Male"/>
    <x v="3"/>
  </r>
  <r>
    <x v="449"/>
    <x v="338"/>
    <d v="2025-02-28T00:00:00"/>
    <d v="1986-12-27T00:00:00"/>
    <n v="39"/>
    <x v="3"/>
    <x v="9"/>
    <x v="7"/>
    <x v="1"/>
    <s v="General Medicine"/>
    <s v="Outpatient"/>
    <n v="3469.26"/>
    <n v="1372.41"/>
    <n v="936.07"/>
    <n v="12755.6"/>
    <x v="1"/>
    <x v="4"/>
    <x v="1"/>
    <s v="M17 3XC"/>
    <n v="3"/>
    <n v="14"/>
    <n v="18533.34"/>
    <n v="1323.81"/>
    <s v="February"/>
    <s v="2025"/>
    <s v="Feb 2025"/>
    <s v="Friday"/>
    <x v="2"/>
    <s v="Isabella Taylor"/>
    <s v="Female"/>
    <x v="2"/>
  </r>
  <r>
    <x v="450"/>
    <x v="339"/>
    <d v="2024-02-16T00:00:00"/>
    <d v="2002-08-21T00:00:00"/>
    <n v="23"/>
    <x v="2"/>
    <x v="4"/>
    <x v="5"/>
    <x v="0"/>
    <s v="General Medicine"/>
    <s v="Outpatient"/>
    <n v="1539.43"/>
    <n v="875.66"/>
    <n v="262.11"/>
    <n v="1490.17"/>
    <x v="2"/>
    <x v="2"/>
    <x v="8"/>
    <s v="M18 6XW"/>
    <n v="5"/>
    <n v="12"/>
    <n v="4167.3700000000008"/>
    <n v="347.28083333333342"/>
    <s v="February"/>
    <s v="2024"/>
    <s v="Feb 2024"/>
    <s v="Sunday"/>
    <x v="0"/>
    <s v="James Wilson"/>
    <s v="Male"/>
    <x v="2"/>
  </r>
  <r>
    <x v="451"/>
    <x v="272"/>
    <d v="2025-06-29T00:00:00"/>
    <d v="1947-03-08T00:00:00"/>
    <n v="79"/>
    <x v="0"/>
    <x v="2"/>
    <x v="6"/>
    <x v="3"/>
    <s v="General Medicine"/>
    <s v="Surgery"/>
    <n v="4530.3599999999997"/>
    <n v="1320.33"/>
    <n v="1764.84"/>
    <n v="9587.69"/>
    <x v="3"/>
    <x v="3"/>
    <x v="5"/>
    <s v="E62 9GG"/>
    <n v="1"/>
    <n v="20"/>
    <n v="17203.22"/>
    <n v="860.16100000000006"/>
    <s v="June"/>
    <s v="2025"/>
    <s v="Jun 2025"/>
    <s v="Monday"/>
    <x v="1"/>
    <s v="Mia U Wilson"/>
    <s v="Female"/>
    <x v="0"/>
  </r>
  <r>
    <x v="452"/>
    <x v="340"/>
    <d v="2024-02-25T00:00:00"/>
    <d v="1994-12-26T00:00:00"/>
    <n v="31"/>
    <x v="2"/>
    <x v="5"/>
    <x v="1"/>
    <x v="3"/>
    <s v="Respiratory"/>
    <s v="Surgery"/>
    <n v="2045.84"/>
    <n v="1218.71"/>
    <n v="260.45"/>
    <n v="12035.16"/>
    <x v="0"/>
    <x v="7"/>
    <x v="7"/>
    <s v="B74 4KS"/>
    <n v="1"/>
    <n v="15"/>
    <n v="15560.16"/>
    <n v="1037.3440000000001"/>
    <s v="February"/>
    <s v="2024"/>
    <s v="Feb 2024"/>
    <s v="Saturday"/>
    <x v="0"/>
    <s v="Leo P Thomas"/>
    <s v="Male"/>
    <x v="0"/>
  </r>
  <r>
    <x v="453"/>
    <x v="341"/>
    <d v="2024-08-30T00:00:00"/>
    <d v="1978-04-02T00:00:00"/>
    <n v="48"/>
    <x v="0"/>
    <x v="7"/>
    <x v="7"/>
    <x v="1"/>
    <s v="Neurology"/>
    <s v="Emergency"/>
    <n v="1605.51"/>
    <n v="430.71"/>
    <n v="1223.53"/>
    <n v="10412.719999999999"/>
    <x v="2"/>
    <x v="0"/>
    <x v="5"/>
    <s v="M75 4RV"/>
    <n v="2"/>
    <n v="15"/>
    <n v="13672.47"/>
    <n v="911.49799999999993"/>
    <s v="August"/>
    <s v="2024"/>
    <s v="Aug 2024"/>
    <s v="Thursday"/>
    <x v="2"/>
    <s v="Ella N Walker"/>
    <s v="Female"/>
    <x v="0"/>
  </r>
  <r>
    <x v="454"/>
    <x v="342"/>
    <d v="2025-05-07T00:00:00"/>
    <d v="1966-11-08T00:00:00"/>
    <n v="59"/>
    <x v="1"/>
    <x v="2"/>
    <x v="8"/>
    <x v="2"/>
    <s v="Neurology"/>
    <s v="Inpatient"/>
    <n v="2068.6"/>
    <n v="1636.72"/>
    <n v="807.75"/>
    <n v="15413.1"/>
    <x v="1"/>
    <x v="8"/>
    <x v="1"/>
    <s v="SW40 9WR"/>
    <n v="5"/>
    <n v="1"/>
    <n v="19926.169999999998"/>
    <n v="19926.169999999998"/>
    <s v="May"/>
    <s v="2025"/>
    <s v="May 2025"/>
    <s v="Tuesday"/>
    <x v="2"/>
    <s v="Leo P Clarke"/>
    <s v="Male"/>
    <x v="1"/>
  </r>
  <r>
    <x v="455"/>
    <x v="343"/>
    <d v="2024-05-21T00:00:00"/>
    <d v="1952-08-11T00:00:00"/>
    <n v="73"/>
    <x v="0"/>
    <x v="4"/>
    <x v="9"/>
    <x v="3"/>
    <s v="General Medicine"/>
    <s v="Outpatient"/>
    <n v="2980.98"/>
    <n v="1786.46"/>
    <n v="426.63"/>
    <n v="9333.11"/>
    <x v="1"/>
    <x v="8"/>
    <x v="5"/>
    <s v="B99 2CF"/>
    <n v="2"/>
    <n v="17"/>
    <n v="14527.18"/>
    <n v="854.54"/>
    <s v="May"/>
    <s v="2024"/>
    <s v="May 2024"/>
    <s v="Saturday"/>
    <x v="1"/>
    <s v="Olivia R Wood"/>
    <s v="Female"/>
    <x v="0"/>
  </r>
  <r>
    <x v="456"/>
    <x v="254"/>
    <d v="2025-02-23T00:00:00"/>
    <d v="1996-09-25T00:00:00"/>
    <n v="29"/>
    <x v="0"/>
    <x v="3"/>
    <x v="5"/>
    <x v="1"/>
    <s v="Cardiology"/>
    <s v="Surgery"/>
    <n v="256.95999999999998"/>
    <n v="1808.17"/>
    <n v="1061.45"/>
    <n v="8057.73"/>
    <x v="2"/>
    <x v="4"/>
    <x v="5"/>
    <s v="E58 4AS"/>
    <n v="8"/>
    <n v="7"/>
    <n v="11184.31"/>
    <n v="1597.7585714285713"/>
    <s v="February"/>
    <s v="2025"/>
    <s v="Feb 2025"/>
    <s v="Sunday"/>
    <x v="0"/>
    <s v="David G Green"/>
    <s v="Male"/>
    <x v="3"/>
  </r>
  <r>
    <x v="457"/>
    <x v="102"/>
    <d v="2024-05-18T00:00:00"/>
    <d v="1983-09-18T00:00:00"/>
    <n v="42"/>
    <x v="2"/>
    <x v="8"/>
    <x v="5"/>
    <x v="1"/>
    <s v="Emergency"/>
    <s v="Surgery"/>
    <n v="806.51"/>
    <n v="768.76"/>
    <n v="602.49"/>
    <n v="6918.74"/>
    <x v="1"/>
    <x v="8"/>
    <x v="5"/>
    <s v="E8 5VE"/>
    <n v="1"/>
    <n v="19"/>
    <n v="9096.5"/>
    <n v="478.76315789473682"/>
    <s v="April"/>
    <s v="2024"/>
    <s v="Apr 2024"/>
    <s v="Monday"/>
    <x v="2"/>
    <s v="Freya C Thomas"/>
    <s v="Female"/>
    <x v="0"/>
  </r>
  <r>
    <x v="458"/>
    <x v="344"/>
    <d v="2024-10-29T00:00:00"/>
    <d v="1971-01-01T00:00:00"/>
    <n v="55"/>
    <x v="1"/>
    <x v="7"/>
    <x v="5"/>
    <x v="2"/>
    <s v="Pediatrics"/>
    <s v="Surgery"/>
    <n v="464.19"/>
    <n v="1839.01"/>
    <n v="1545.34"/>
    <n v="3040.33"/>
    <x v="2"/>
    <x v="3"/>
    <x v="1"/>
    <s v="N7 5JY"/>
    <n v="5"/>
    <n v="11"/>
    <n v="6888.87"/>
    <n v="626.26090909090908"/>
    <s v="October"/>
    <s v="2024"/>
    <s v="Oct 2024"/>
    <s v="Friday"/>
    <x v="2"/>
    <s v="Arthur Walker"/>
    <s v="Male"/>
    <x v="2"/>
  </r>
  <r>
    <x v="459"/>
    <x v="345"/>
    <d v="2024-03-15T00:00:00"/>
    <d v="1992-01-05T00:00:00"/>
    <n v="34"/>
    <x v="1"/>
    <x v="1"/>
    <x v="1"/>
    <x v="2"/>
    <s v="Respiratory"/>
    <s v="Outpatient"/>
    <n v="4298.8599999999997"/>
    <n v="855.26"/>
    <n v="270.92"/>
    <n v="4011.86"/>
    <x v="0"/>
    <x v="0"/>
    <x v="8"/>
    <s v="N24 2UZ"/>
    <n v="6"/>
    <n v="4"/>
    <n v="9436.9"/>
    <n v="2359.2249999999999"/>
    <s v="March"/>
    <s v="2024"/>
    <s v="Mar 2024"/>
    <s v="Monday"/>
    <x v="0"/>
    <s v="Chloe Brown"/>
    <s v="Female"/>
    <x v="3"/>
  </r>
  <r>
    <x v="460"/>
    <x v="346"/>
    <d v="2024-03-15T00:00:00"/>
    <d v="1976-09-08T00:00:00"/>
    <n v="49"/>
    <x v="3"/>
    <x v="4"/>
    <x v="7"/>
    <x v="0"/>
    <s v="Orthopedics"/>
    <s v="Outpatient"/>
    <n v="4865"/>
    <n v="1406.44"/>
    <n v="1473.62"/>
    <n v="10131.36"/>
    <x v="1"/>
    <x v="7"/>
    <x v="0"/>
    <s v="SW83 8AD"/>
    <n v="10"/>
    <n v="14"/>
    <n v="17876.420000000002"/>
    <n v="1276.8871428571431"/>
    <s v="March"/>
    <s v="2024"/>
    <s v="Mar 2024"/>
    <s v="Friday"/>
    <x v="2"/>
    <s v="Daniel S Robinson"/>
    <s v="Male"/>
    <x v="2"/>
  </r>
  <r>
    <x v="461"/>
    <x v="347"/>
    <d v="2024-03-27T00:00:00"/>
    <d v="1960-12-02T00:00:00"/>
    <n v="65"/>
    <x v="3"/>
    <x v="2"/>
    <x v="5"/>
    <x v="2"/>
    <s v="General Medicine"/>
    <s v="Emergency"/>
    <n v="2397.34"/>
    <n v="474.89"/>
    <n v="0"/>
    <n v="0"/>
    <x v="2"/>
    <x v="4"/>
    <x v="9"/>
    <s v="M19 3XU"/>
    <n v="4"/>
    <n v="13"/>
    <n v="2872.23"/>
    <n v="220.94076923076923"/>
    <s v="March"/>
    <s v="2024"/>
    <s v="Mar 2024"/>
    <s v="Thursday"/>
    <x v="1"/>
    <s v="Charlotte Clarke"/>
    <s v="Female"/>
    <x v="2"/>
  </r>
  <r>
    <x v="462"/>
    <x v="6"/>
    <d v="2025-11-20T00:00:00"/>
    <d v="1969-06-07T00:00:00"/>
    <n v="57"/>
    <x v="2"/>
    <x v="6"/>
    <x v="6"/>
    <x v="1"/>
    <s v="Pediatrics"/>
    <s v="Emergency"/>
    <n v="4444.53"/>
    <n v="967.39"/>
    <n v="1082.31"/>
    <n v="13113.77"/>
    <x v="2"/>
    <x v="8"/>
    <x v="6"/>
    <s v="N53 2JE"/>
    <n v="8"/>
    <n v="8"/>
    <n v="19608"/>
    <n v="2451"/>
    <s v="November"/>
    <s v="2025"/>
    <s v="Nov 2025"/>
    <s v="Wednesday"/>
    <x v="2"/>
    <s v="Leo O Thomas"/>
    <s v="Male"/>
    <x v="2"/>
  </r>
  <r>
    <x v="463"/>
    <x v="117"/>
    <d v="2024-10-25T00:00:00"/>
    <d v="1957-12-28T00:00:00"/>
    <n v="68"/>
    <x v="1"/>
    <x v="1"/>
    <x v="3"/>
    <x v="1"/>
    <s v="Pediatrics"/>
    <s v="Inpatient"/>
    <n v="1001.12"/>
    <n v="611.6"/>
    <n v="597.71"/>
    <n v="2098.16"/>
    <x v="0"/>
    <x v="9"/>
    <x v="6"/>
    <s v="SW67 5WD"/>
    <n v="4"/>
    <n v="16"/>
    <n v="4308.59"/>
    <n v="269.28687500000001"/>
    <s v="October"/>
    <s v="2024"/>
    <s v="Oct 2024"/>
    <s v="Wednesday"/>
    <x v="1"/>
    <s v="Emily L Clarke"/>
    <s v="Female"/>
    <x v="0"/>
  </r>
  <r>
    <x v="464"/>
    <x v="248"/>
    <d v="2024-01-09T00:00:00"/>
    <d v="1985-08-17T00:00:00"/>
    <n v="40"/>
    <x v="2"/>
    <x v="8"/>
    <x v="4"/>
    <x v="1"/>
    <s v="Neurology"/>
    <s v="Emergency"/>
    <n v="2138.4699999999998"/>
    <n v="1792.81"/>
    <n v="2410.13"/>
    <n v="10929.27"/>
    <x v="0"/>
    <x v="9"/>
    <x v="6"/>
    <s v="B26 7VT"/>
    <n v="8"/>
    <n v="5"/>
    <n v="17270.68"/>
    <n v="3454.136"/>
    <s v="January"/>
    <s v="2024"/>
    <s v="Jan 2024"/>
    <s v="Thursday"/>
    <x v="2"/>
    <s v="Noah O Green"/>
    <s v="Male"/>
    <x v="3"/>
  </r>
  <r>
    <x v="465"/>
    <x v="78"/>
    <d v="2024-09-04T00:00:00"/>
    <d v="1979-06-16T00:00:00"/>
    <n v="46"/>
    <x v="2"/>
    <x v="6"/>
    <x v="9"/>
    <x v="3"/>
    <s v="Orthopedics"/>
    <s v="Outpatient"/>
    <n v="2201.17"/>
    <n v="1243.46"/>
    <n v="528.52"/>
    <n v="6672.86"/>
    <x v="2"/>
    <x v="0"/>
    <x v="1"/>
    <s v="E88 9OW"/>
    <n v="3"/>
    <n v="14"/>
    <n v="10646.01"/>
    <n v="760.4292857142857"/>
    <s v="August"/>
    <s v="2024"/>
    <s v="Aug 2024"/>
    <s v="Wednesday"/>
    <x v="2"/>
    <s v="Freya Thompson"/>
    <s v="Female"/>
    <x v="2"/>
  </r>
  <r>
    <x v="466"/>
    <x v="192"/>
    <d v="2024-12-22T00:00:00"/>
    <d v="2002-04-03T00:00:00"/>
    <n v="24"/>
    <x v="3"/>
    <x v="11"/>
    <x v="1"/>
    <x v="3"/>
    <s v="Pediatrics"/>
    <s v="Emergency"/>
    <n v="3098.33"/>
    <n v="1193.8"/>
    <n v="277.60000000000002"/>
    <n v="12257.96"/>
    <x v="3"/>
    <x v="6"/>
    <x v="9"/>
    <s v="M43 2CQ"/>
    <n v="5"/>
    <n v="8"/>
    <n v="16827.689999999999"/>
    <n v="2103.4612499999998"/>
    <s v="December"/>
    <s v="2024"/>
    <s v="Dec 2024"/>
    <s v="Saturday"/>
    <x v="0"/>
    <s v="Leo Martin"/>
    <s v="Male"/>
    <x v="2"/>
  </r>
  <r>
    <x v="467"/>
    <x v="348"/>
    <d v="2025-11-23T00:00:00"/>
    <d v="1985-10-01T00:00:00"/>
    <n v="40"/>
    <x v="2"/>
    <x v="3"/>
    <x v="7"/>
    <x v="3"/>
    <s v="General Medicine"/>
    <s v="Emergency"/>
    <n v="1450.37"/>
    <n v="43.57"/>
    <n v="803.59"/>
    <n v="3708.92"/>
    <x v="2"/>
    <x v="7"/>
    <x v="4"/>
    <s v="N5 2XX"/>
    <n v="4"/>
    <n v="9"/>
    <n v="6006.45"/>
    <n v="667.38333333333333"/>
    <s v="November"/>
    <s v="2025"/>
    <s v="Nov 2025"/>
    <s v="Friday"/>
    <x v="2"/>
    <s v="Ella Jones"/>
    <s v="Female"/>
    <x v="2"/>
  </r>
  <r>
    <x v="468"/>
    <x v="55"/>
    <d v="2024-04-02T00:00:00"/>
    <d v="1988-07-04T00:00:00"/>
    <n v="37"/>
    <x v="0"/>
    <x v="11"/>
    <x v="7"/>
    <x v="3"/>
    <s v="Respiratory"/>
    <s v="Surgery"/>
    <n v="283.63"/>
    <n v="643.78"/>
    <n v="537.46"/>
    <n v="5369.28"/>
    <x v="0"/>
    <x v="7"/>
    <x v="3"/>
    <s v="B69 4ON"/>
    <n v="3"/>
    <n v="6"/>
    <n v="6834.15"/>
    <n v="1139.0249999999999"/>
    <s v="March"/>
    <s v="2024"/>
    <s v="Mar 2024"/>
    <s v="Wednesday"/>
    <x v="2"/>
    <s v="Benjamin H Green"/>
    <s v="Male"/>
    <x v="3"/>
  </r>
  <r>
    <x v="469"/>
    <x v="349"/>
    <d v="2025-12-17T00:00:00"/>
    <d v="2000-10-04T00:00:00"/>
    <n v="25"/>
    <x v="1"/>
    <x v="6"/>
    <x v="4"/>
    <x v="2"/>
    <s v="Orthopedics"/>
    <s v="Inpatient"/>
    <n v="891.97"/>
    <n v="727.45"/>
    <n v="2391.9299999999998"/>
    <n v="6581.08"/>
    <x v="2"/>
    <x v="3"/>
    <x v="9"/>
    <s v="N31 1QT"/>
    <n v="10"/>
    <n v="5"/>
    <n v="10592.43"/>
    <n v="2118.4859999999999"/>
    <s v="December"/>
    <s v="2025"/>
    <s v="Dec 2025"/>
    <s v="Friday"/>
    <x v="0"/>
    <s v="Chloe B Hall"/>
    <s v="Female"/>
    <x v="3"/>
  </r>
  <r>
    <x v="470"/>
    <x v="350"/>
    <d v="2024-08-03T00:00:00"/>
    <d v="1972-08-28T00:00:00"/>
    <n v="53"/>
    <x v="0"/>
    <x v="11"/>
    <x v="7"/>
    <x v="2"/>
    <s v="Cardiology"/>
    <s v="Inpatient"/>
    <n v="4907.1099999999997"/>
    <n v="1437.52"/>
    <n v="2653.23"/>
    <n v="2192.5"/>
    <x v="3"/>
    <x v="6"/>
    <x v="3"/>
    <s v="SW44 1BY"/>
    <n v="7"/>
    <n v="5"/>
    <n v="11190.359999999999"/>
    <n v="2238.0719999999997"/>
    <s v="July"/>
    <s v="2024"/>
    <s v="Jul 2024"/>
    <s v="Monday"/>
    <x v="2"/>
    <s v="Noah Clarke"/>
    <s v="Male"/>
    <x v="3"/>
  </r>
  <r>
    <x v="471"/>
    <x v="21"/>
    <d v="2025-01-17T00:00:00"/>
    <d v="1995-09-21T00:00:00"/>
    <n v="30"/>
    <x v="0"/>
    <x v="8"/>
    <x v="1"/>
    <x v="0"/>
    <s v="Pediatrics"/>
    <s v="Inpatient"/>
    <n v="2517.14"/>
    <n v="1636.12"/>
    <n v="1528.28"/>
    <n v="3142.72"/>
    <x v="3"/>
    <x v="5"/>
    <x v="3"/>
    <s v="E70 3TV"/>
    <n v="2"/>
    <n v="2"/>
    <n v="8824.26"/>
    <n v="4412.13"/>
    <s v="January"/>
    <s v="2025"/>
    <s v="Jan 2025"/>
    <s v="Wednesday"/>
    <x v="0"/>
    <s v="Ella M Green"/>
    <s v="Female"/>
    <x v="1"/>
  </r>
  <r>
    <x v="472"/>
    <x v="351"/>
    <d v="2025-04-24T00:00:00"/>
    <d v="1947-09-14T00:00:00"/>
    <n v="78"/>
    <x v="1"/>
    <x v="5"/>
    <x v="4"/>
    <x v="1"/>
    <s v="Orthopedics"/>
    <s v="Surgery"/>
    <n v="2722.16"/>
    <n v="1655.84"/>
    <n v="1093.79"/>
    <n v="11384"/>
    <x v="1"/>
    <x v="4"/>
    <x v="0"/>
    <s v="B16 4NE"/>
    <n v="6"/>
    <n v="1"/>
    <n v="16855.79"/>
    <n v="16855.79"/>
    <s v="April"/>
    <s v="2025"/>
    <s v="Apr 2025"/>
    <s v="Wednesday"/>
    <x v="1"/>
    <s v="Ethan Thomas"/>
    <s v="Male"/>
    <x v="1"/>
  </r>
  <r>
    <x v="473"/>
    <x v="295"/>
    <d v="2025-02-27T00:00:00"/>
    <d v="1985-08-02T00:00:00"/>
    <n v="40"/>
    <x v="1"/>
    <x v="9"/>
    <x v="7"/>
    <x v="1"/>
    <s v="Neurology"/>
    <s v="Inpatient"/>
    <n v="2314.2199999999998"/>
    <n v="1346.87"/>
    <n v="2616.5100000000002"/>
    <n v="5411.58"/>
    <x v="0"/>
    <x v="3"/>
    <x v="1"/>
    <s v="E35 1DM"/>
    <n v="1"/>
    <n v="7"/>
    <n v="11689.18"/>
    <n v="1669.8828571428571"/>
    <s v="February"/>
    <s v="2025"/>
    <s v="Feb 2025"/>
    <s v="Thursday"/>
    <x v="2"/>
    <s v="Mia E Smith"/>
    <s v="Female"/>
    <x v="3"/>
  </r>
  <r>
    <x v="474"/>
    <x v="93"/>
    <d v="2024-07-30T00:00:00"/>
    <d v="2001-04-17T00:00:00"/>
    <n v="25"/>
    <x v="1"/>
    <x v="6"/>
    <x v="7"/>
    <x v="3"/>
    <s v="Emergency"/>
    <s v="Surgery"/>
    <n v="4471.09"/>
    <n v="248.48"/>
    <n v="1057.49"/>
    <n v="13058.23"/>
    <x v="1"/>
    <x v="8"/>
    <x v="4"/>
    <s v="SW53 5FA"/>
    <n v="2"/>
    <n v="13"/>
    <n v="18835.29"/>
    <n v="1448.8684615384616"/>
    <s v="July"/>
    <s v="2024"/>
    <s v="Jul 2024"/>
    <s v="Wednesday"/>
    <x v="0"/>
    <s v="Samuel Thompson"/>
    <s v="Male"/>
    <x v="2"/>
  </r>
  <r>
    <x v="475"/>
    <x v="352"/>
    <d v="2025-02-13T00:00:00"/>
    <d v="1974-01-27T00:00:00"/>
    <n v="52"/>
    <x v="0"/>
    <x v="2"/>
    <x v="3"/>
    <x v="2"/>
    <s v="Respiratory"/>
    <s v="Surgery"/>
    <n v="2531.3000000000002"/>
    <n v="2026.74"/>
    <n v="1326.63"/>
    <n v="8028.09"/>
    <x v="1"/>
    <x v="9"/>
    <x v="2"/>
    <s v="N38 4XA"/>
    <n v="1"/>
    <n v="10"/>
    <n v="13912.76"/>
    <n v="1391.2760000000001"/>
    <s v="February"/>
    <s v="2025"/>
    <s v="Feb 2025"/>
    <s v="Monday"/>
    <x v="2"/>
    <s v="Chloe O Wilson"/>
    <s v="Female"/>
    <x v="2"/>
  </r>
  <r>
    <x v="476"/>
    <x v="353"/>
    <d v="2024-09-22T00:00:00"/>
    <d v="1991-02-12T00:00:00"/>
    <n v="35"/>
    <x v="0"/>
    <x v="10"/>
    <x v="9"/>
    <x v="3"/>
    <s v="General Medicine"/>
    <s v="Surgery"/>
    <n v="1139.47"/>
    <n v="514.34"/>
    <n v="1480.55"/>
    <n v="10434.07"/>
    <x v="1"/>
    <x v="0"/>
    <x v="6"/>
    <s v="E38 4GG"/>
    <n v="3"/>
    <n v="18"/>
    <n v="13568.43"/>
    <n v="753.80166666666673"/>
    <s v="September"/>
    <s v="2024"/>
    <s v="Sep 2024"/>
    <s v="Wednesday"/>
    <x v="2"/>
    <s v="Michael A Wood"/>
    <s v="Male"/>
    <x v="0"/>
  </r>
  <r>
    <x v="477"/>
    <x v="354"/>
    <d v="2025-04-27T00:00:00"/>
    <d v="1951-12-20T00:00:00"/>
    <n v="74"/>
    <x v="1"/>
    <x v="9"/>
    <x v="6"/>
    <x v="2"/>
    <s v="Neurology"/>
    <s v="Emergency"/>
    <n v="3298.53"/>
    <n v="2012.03"/>
    <n v="2631.56"/>
    <n v="13886.7"/>
    <x v="2"/>
    <x v="2"/>
    <x v="0"/>
    <s v="SW29 1NB"/>
    <n v="4"/>
    <n v="17"/>
    <n v="21828.82"/>
    <n v="1284.0482352941176"/>
    <s v="April"/>
    <s v="2025"/>
    <s v="Apr 2025"/>
    <s v="Thursday"/>
    <x v="1"/>
    <s v="Ella N Thomas"/>
    <s v="Female"/>
    <x v="0"/>
  </r>
  <r>
    <x v="478"/>
    <x v="16"/>
    <d v="2024-01-29T00:00:00"/>
    <d v="1945-03-07T00:00:00"/>
    <n v="81"/>
    <x v="0"/>
    <x v="11"/>
    <x v="1"/>
    <x v="0"/>
    <s v="Cardiology"/>
    <s v="Outpatient"/>
    <n v="2945.39"/>
    <n v="141.81"/>
    <n v="2313.79"/>
    <n v="7285.9"/>
    <x v="2"/>
    <x v="2"/>
    <x v="7"/>
    <s v="SW94 5TD"/>
    <n v="1"/>
    <n v="1"/>
    <n v="12686.89"/>
    <n v="12686.89"/>
    <s v="January"/>
    <s v="2024"/>
    <s v="Jan 2024"/>
    <s v="Sunday"/>
    <x v="1"/>
    <s v="Leo C Thomas"/>
    <s v="Male"/>
    <x v="1"/>
  </r>
  <r>
    <x v="479"/>
    <x v="133"/>
    <d v="2025-08-21T00:00:00"/>
    <d v="2000-09-21T00:00:00"/>
    <n v="25"/>
    <x v="1"/>
    <x v="4"/>
    <x v="8"/>
    <x v="3"/>
    <s v="Respiratory"/>
    <s v="Surgery"/>
    <n v="880.51"/>
    <n v="128.77000000000001"/>
    <n v="2267.73"/>
    <n v="6450.27"/>
    <x v="0"/>
    <x v="7"/>
    <x v="3"/>
    <s v="N78 9EC"/>
    <n v="1"/>
    <n v="10"/>
    <n v="9727.2800000000007"/>
    <n v="972.72800000000007"/>
    <s v="August"/>
    <s v="2025"/>
    <s v="Aug 2025"/>
    <s v="Monday"/>
    <x v="0"/>
    <s v="Mia K Walker"/>
    <s v="Female"/>
    <x v="2"/>
  </r>
  <r>
    <x v="480"/>
    <x v="112"/>
    <d v="2024-02-25T00:00:00"/>
    <d v="1978-09-14T00:00:00"/>
    <n v="47"/>
    <x v="2"/>
    <x v="10"/>
    <x v="4"/>
    <x v="0"/>
    <s v="Emergency"/>
    <s v="Inpatient"/>
    <n v="361.63"/>
    <n v="1444.78"/>
    <n v="1711.87"/>
    <n v="14775.24"/>
    <x v="0"/>
    <x v="2"/>
    <x v="5"/>
    <s v="N8 9GL"/>
    <n v="1"/>
    <n v="12"/>
    <n v="18293.52"/>
    <n v="1524.46"/>
    <s v="February"/>
    <s v="2024"/>
    <s v="Feb 2024"/>
    <s v="Tuesday"/>
    <x v="2"/>
    <s v="Benjamin U Green"/>
    <s v="Male"/>
    <x v="2"/>
  </r>
  <r>
    <x v="481"/>
    <x v="227"/>
    <d v="2024-08-20T00:00:00"/>
    <d v="1951-03-25T00:00:00"/>
    <n v="75"/>
    <x v="1"/>
    <x v="7"/>
    <x v="2"/>
    <x v="2"/>
    <s v="Orthopedics"/>
    <s v="Inpatient"/>
    <n v="3843.02"/>
    <n v="735.92"/>
    <n v="1893.2"/>
    <n v="14032.81"/>
    <x v="3"/>
    <x v="7"/>
    <x v="9"/>
    <s v="B34 5XB"/>
    <n v="8"/>
    <n v="9"/>
    <n v="20504.949999999997"/>
    <n v="2278.3277777777776"/>
    <s v="August"/>
    <s v="2024"/>
    <s v="Aug 2024"/>
    <s v="Sunday"/>
    <x v="1"/>
    <s v="Emma V Thompson"/>
    <s v="Female"/>
    <x v="2"/>
  </r>
  <r>
    <x v="482"/>
    <x v="320"/>
    <d v="2024-09-08T00:00:00"/>
    <d v="1971-01-07T00:00:00"/>
    <n v="55"/>
    <x v="3"/>
    <x v="8"/>
    <x v="1"/>
    <x v="1"/>
    <s v="Oncology"/>
    <s v="Emergency"/>
    <n v="3265.96"/>
    <n v="1379.82"/>
    <n v="1968.11"/>
    <n v="13684.48"/>
    <x v="1"/>
    <x v="9"/>
    <x v="6"/>
    <s v="B24 1WO"/>
    <n v="10"/>
    <n v="12"/>
    <n v="20298.37"/>
    <n v="1691.5308333333332"/>
    <s v="August"/>
    <s v="2024"/>
    <s v="Aug 2024"/>
    <s v="Tuesday"/>
    <x v="2"/>
    <s v="Leo Green"/>
    <s v="Male"/>
    <x v="2"/>
  </r>
  <r>
    <x v="483"/>
    <x v="297"/>
    <d v="2024-06-15T00:00:00"/>
    <d v="2001-09-10T00:00:00"/>
    <n v="24"/>
    <x v="1"/>
    <x v="9"/>
    <x v="2"/>
    <x v="3"/>
    <s v="Emergency"/>
    <s v="Inpatient"/>
    <n v="387"/>
    <n v="995.75"/>
    <n v="684.04"/>
    <n v="7803.22"/>
    <x v="3"/>
    <x v="9"/>
    <x v="9"/>
    <s v="E24 4JY"/>
    <n v="2"/>
    <n v="18"/>
    <n v="9870.01"/>
    <n v="548.33388888888885"/>
    <s v="May"/>
    <s v="2024"/>
    <s v="May 2024"/>
    <s v="Tuesday"/>
    <x v="0"/>
    <s v="Grace Clarke"/>
    <s v="Female"/>
    <x v="0"/>
  </r>
  <r>
    <x v="484"/>
    <x v="355"/>
    <d v="2025-11-03T00:00:00"/>
    <d v="1993-07-01T00:00:00"/>
    <n v="32"/>
    <x v="1"/>
    <x v="6"/>
    <x v="5"/>
    <x v="1"/>
    <s v="Emergency"/>
    <s v="Outpatient"/>
    <n v="3690.13"/>
    <n v="1184.23"/>
    <n v="2239.67"/>
    <n v="12455.27"/>
    <x v="3"/>
    <x v="1"/>
    <x v="3"/>
    <s v="B97 1JA"/>
    <n v="6"/>
    <n v="15"/>
    <n v="19569.300000000003"/>
    <n v="1304.6200000000001"/>
    <s v="October"/>
    <s v="2025"/>
    <s v="Oct 2025"/>
    <s v="Sunday"/>
    <x v="0"/>
    <s v="Leo T Smith"/>
    <s v="Male"/>
    <x v="0"/>
  </r>
  <r>
    <x v="485"/>
    <x v="176"/>
    <d v="2025-11-28T00:00:00"/>
    <d v="1982-06-18T00:00:00"/>
    <n v="43"/>
    <x v="2"/>
    <x v="5"/>
    <x v="3"/>
    <x v="1"/>
    <s v="General Medicine"/>
    <s v="Surgery"/>
    <n v="2326.87"/>
    <n v="337.03"/>
    <n v="2433.83"/>
    <n v="14508.04"/>
    <x v="0"/>
    <x v="1"/>
    <x v="1"/>
    <s v="N99 4ZQ"/>
    <n v="7"/>
    <n v="5"/>
    <n v="19605.77"/>
    <n v="3921.154"/>
    <s v="November"/>
    <s v="2025"/>
    <s v="Nov 2025"/>
    <s v="Sunday"/>
    <x v="2"/>
    <s v="Emma U Jones"/>
    <s v="Female"/>
    <x v="3"/>
  </r>
  <r>
    <x v="486"/>
    <x v="121"/>
    <d v="2024-02-06T00:00:00"/>
    <d v="1985-01-28T00:00:00"/>
    <n v="41"/>
    <x v="2"/>
    <x v="6"/>
    <x v="6"/>
    <x v="2"/>
    <s v="Cardiology"/>
    <s v="Emergency"/>
    <n v="2395.0100000000002"/>
    <n v="1339.33"/>
    <n v="2548.0700000000002"/>
    <n v="9202.99"/>
    <x v="0"/>
    <x v="1"/>
    <x v="9"/>
    <s v="E11 4TK"/>
    <n v="7"/>
    <n v="6"/>
    <n v="15485.4"/>
    <n v="2580.9"/>
    <s v="January"/>
    <s v="2024"/>
    <s v="Jan 2024"/>
    <s v="Wednesday"/>
    <x v="2"/>
    <s v="Ethan Robinson"/>
    <s v="Male"/>
    <x v="3"/>
  </r>
  <r>
    <x v="487"/>
    <x v="11"/>
    <d v="2024-07-17T00:00:00"/>
    <d v="1974-07-25T00:00:00"/>
    <n v="51"/>
    <x v="2"/>
    <x v="11"/>
    <x v="7"/>
    <x v="2"/>
    <s v="Oncology"/>
    <s v="Emergency"/>
    <n v="1257.46"/>
    <n v="1196.93"/>
    <n v="0"/>
    <n v="0"/>
    <x v="0"/>
    <x v="9"/>
    <x v="7"/>
    <s v="B37 7FB"/>
    <n v="6"/>
    <n v="17"/>
    <n v="2454.3900000000003"/>
    <n v="144.3758823529412"/>
    <s v="June"/>
    <s v="2024"/>
    <s v="Jun 2024"/>
    <s v="Sunday"/>
    <x v="2"/>
    <s v="Olivia N Taylor"/>
    <s v="Female"/>
    <x v="0"/>
  </r>
  <r>
    <x v="488"/>
    <x v="238"/>
    <d v="2024-07-02T00:00:00"/>
    <d v="2004-07-02T00:00:00"/>
    <n v="21"/>
    <x v="1"/>
    <x v="3"/>
    <x v="1"/>
    <x v="3"/>
    <s v="Orthopedics"/>
    <s v="Emergency"/>
    <n v="794.43"/>
    <n v="481.48"/>
    <n v="182.73"/>
    <n v="2748.19"/>
    <x v="1"/>
    <x v="4"/>
    <x v="7"/>
    <s v="N12 3KL"/>
    <n v="9"/>
    <n v="19"/>
    <n v="4206.83"/>
    <n v="221.41210526315788"/>
    <s v="June"/>
    <s v="2024"/>
    <s v="Jun 2024"/>
    <s v="Thursday"/>
    <x v="0"/>
    <s v="Michael Wilson"/>
    <s v="Male"/>
    <x v="0"/>
  </r>
  <r>
    <x v="489"/>
    <x v="356"/>
    <d v="2024-01-14T00:00:00"/>
    <d v="1950-10-06T00:00:00"/>
    <n v="75"/>
    <x v="1"/>
    <x v="11"/>
    <x v="8"/>
    <x v="2"/>
    <s v="Oncology"/>
    <s v="Surgery"/>
    <n v="3369.4"/>
    <n v="156.65"/>
    <n v="638.77"/>
    <n v="1422.85"/>
    <x v="1"/>
    <x v="2"/>
    <x v="1"/>
    <s v="B38 5IS"/>
    <n v="9"/>
    <n v="13"/>
    <n v="5587.67"/>
    <n v="429.82076923076926"/>
    <s v="January"/>
    <s v="2024"/>
    <s v="Jan 2024"/>
    <s v="Monday"/>
    <x v="1"/>
    <s v="Mia White"/>
    <s v="Female"/>
    <x v="2"/>
  </r>
  <r>
    <x v="490"/>
    <x v="357"/>
    <d v="2024-09-14T00:00:00"/>
    <d v="1962-05-02T00:00:00"/>
    <n v="64"/>
    <x v="1"/>
    <x v="9"/>
    <x v="7"/>
    <x v="3"/>
    <s v="Neurology"/>
    <s v="Surgery"/>
    <n v="3556.16"/>
    <n v="1155.01"/>
    <n v="2029.42"/>
    <n v="9940.59"/>
    <x v="0"/>
    <x v="0"/>
    <x v="1"/>
    <s v="E21 2PS"/>
    <n v="3"/>
    <n v="15"/>
    <n v="16681.18"/>
    <n v="1112.0786666666668"/>
    <s v="August"/>
    <s v="2024"/>
    <s v="Aug 2024"/>
    <s v="Friday"/>
    <x v="1"/>
    <s v="Lucas A Robinson"/>
    <s v="Male"/>
    <x v="0"/>
  </r>
  <r>
    <x v="491"/>
    <x v="0"/>
    <d v="2024-09-12T00:00:00"/>
    <d v="1959-07-28T00:00:00"/>
    <n v="66"/>
    <x v="2"/>
    <x v="4"/>
    <x v="7"/>
    <x v="0"/>
    <s v="Emergency"/>
    <s v="Emergency"/>
    <n v="3484.09"/>
    <n v="1047.8"/>
    <n v="2344.15"/>
    <n v="9036.11"/>
    <x v="3"/>
    <x v="1"/>
    <x v="5"/>
    <s v="M90 9XU"/>
    <n v="6"/>
    <n v="18"/>
    <n v="15912.150000000001"/>
    <n v="884.00833333333344"/>
    <s v="August"/>
    <s v="2024"/>
    <s v="Aug 2024"/>
    <s v="Sunday"/>
    <x v="1"/>
    <s v="Sarah Thompson"/>
    <s v="Female"/>
    <x v="0"/>
  </r>
  <r>
    <x v="492"/>
    <x v="358"/>
    <d v="2024-01-16T00:00:00"/>
    <d v="2000-01-12T00:00:00"/>
    <n v="26"/>
    <x v="0"/>
    <x v="10"/>
    <x v="9"/>
    <x v="0"/>
    <s v="Oncology"/>
    <s v="Outpatient"/>
    <n v="1268.74"/>
    <n v="882.45"/>
    <n v="811.39"/>
    <n v="2672.7"/>
    <x v="3"/>
    <x v="1"/>
    <x v="8"/>
    <s v="B58 2VI"/>
    <n v="6"/>
    <n v="13"/>
    <n v="5635.28"/>
    <n v="433.48307692307691"/>
    <s v="January"/>
    <s v="2024"/>
    <s v="Jan 2024"/>
    <s v="Wednesday"/>
    <x v="0"/>
    <s v="Henry Smith"/>
    <s v="Male"/>
    <x v="2"/>
  </r>
  <r>
    <x v="493"/>
    <x v="206"/>
    <d v="2025-10-03T00:00:00"/>
    <d v="1960-07-20T00:00:00"/>
    <n v="65"/>
    <x v="1"/>
    <x v="0"/>
    <x v="0"/>
    <x v="3"/>
    <s v="Pediatrics"/>
    <s v="Surgery"/>
    <n v="4350.3500000000004"/>
    <n v="187.36"/>
    <n v="658.22"/>
    <n v="15098.42"/>
    <x v="3"/>
    <x v="2"/>
    <x v="2"/>
    <s v="M93 5QJ"/>
    <n v="1"/>
    <n v="18"/>
    <n v="20294.349999999999"/>
    <n v="1127.4638888888887"/>
    <s v="September"/>
    <s v="2025"/>
    <s v="Sep 2025"/>
    <s v="Monday"/>
    <x v="1"/>
    <s v="Ava L Evans"/>
    <s v="Female"/>
    <x v="0"/>
  </r>
  <r>
    <x v="494"/>
    <x v="359"/>
    <d v="2025-06-18T00:00:00"/>
    <d v="1973-11-18T00:00:00"/>
    <n v="52"/>
    <x v="1"/>
    <x v="10"/>
    <x v="4"/>
    <x v="2"/>
    <s v="Respiratory"/>
    <s v="Emergency"/>
    <n v="4898.53"/>
    <n v="1079.8599999999999"/>
    <n v="806.53"/>
    <n v="7340.98"/>
    <x v="1"/>
    <x v="5"/>
    <x v="4"/>
    <s v="M36 7YC"/>
    <n v="9"/>
    <n v="15"/>
    <n v="14125.899999999998"/>
    <n v="941.72666666666657"/>
    <s v="June"/>
    <s v="2025"/>
    <s v="Jun 2025"/>
    <s v="Tuesday"/>
    <x v="2"/>
    <s v="Oliver H Thomas"/>
    <s v="Male"/>
    <x v="0"/>
  </r>
  <r>
    <x v="495"/>
    <x v="360"/>
    <d v="2024-08-04T00:00:00"/>
    <d v="1965-09-19T00:00:00"/>
    <n v="60"/>
    <x v="0"/>
    <x v="5"/>
    <x v="4"/>
    <x v="2"/>
    <s v="Neurology"/>
    <s v="Surgery"/>
    <n v="2991.25"/>
    <n v="581.55999999999995"/>
    <n v="1746.35"/>
    <n v="9551.91"/>
    <x v="2"/>
    <x v="8"/>
    <x v="0"/>
    <s v="B43 8SB"/>
    <n v="4"/>
    <n v="16"/>
    <n v="14871.07"/>
    <n v="929.44187499999998"/>
    <s v="July"/>
    <s v="2024"/>
    <s v="Jul 2024"/>
    <s v="Friday"/>
    <x v="1"/>
    <s v="Emily Hall"/>
    <s v="Female"/>
    <x v="0"/>
  </r>
  <r>
    <x v="496"/>
    <x v="235"/>
    <d v="2024-06-04T00:00:00"/>
    <d v="1982-07-07T00:00:00"/>
    <n v="43"/>
    <x v="1"/>
    <x v="3"/>
    <x v="1"/>
    <x v="1"/>
    <s v="Neurology"/>
    <s v="Outpatient"/>
    <n v="4076.79"/>
    <n v="1972.17"/>
    <n v="2902.27"/>
    <n v="9994.5"/>
    <x v="3"/>
    <x v="4"/>
    <x v="2"/>
    <s v="B14 6MF"/>
    <n v="10"/>
    <n v="12"/>
    <n v="18945.73"/>
    <n v="1578.8108333333332"/>
    <s v="May"/>
    <s v="2024"/>
    <s v="May 2024"/>
    <s v="Thursday"/>
    <x v="2"/>
    <s v="Benjamin White"/>
    <s v="Male"/>
    <x v="2"/>
  </r>
  <r>
    <x v="497"/>
    <x v="349"/>
    <d v="2025-12-20T00:00:00"/>
    <d v="1970-10-08T00:00:00"/>
    <n v="55"/>
    <x v="3"/>
    <x v="0"/>
    <x v="2"/>
    <x v="2"/>
    <s v="General Medicine"/>
    <s v="Surgery"/>
    <n v="181.42"/>
    <n v="1337.16"/>
    <n v="490.36"/>
    <n v="14275.71"/>
    <x v="1"/>
    <x v="5"/>
    <x v="7"/>
    <s v="B34 7RK"/>
    <n v="9"/>
    <n v="8"/>
    <n v="16284.65"/>
    <n v="2035.58125"/>
    <s v="December"/>
    <s v="2025"/>
    <s v="Dec 2025"/>
    <s v="Friday"/>
    <x v="2"/>
    <s v="Sophia White"/>
    <s v="Female"/>
    <x v="2"/>
  </r>
  <r>
    <x v="498"/>
    <x v="361"/>
    <d v="2025-05-16T00:00:00"/>
    <d v="2003-08-20T00:00:00"/>
    <n v="22"/>
    <x v="3"/>
    <x v="2"/>
    <x v="4"/>
    <x v="2"/>
    <s v="Orthopedics"/>
    <s v="Surgery"/>
    <n v="3583.59"/>
    <n v="1799.53"/>
    <n v="2456.6"/>
    <n v="11533.1"/>
    <x v="1"/>
    <x v="8"/>
    <x v="6"/>
    <s v="M14 6KG"/>
    <n v="1"/>
    <n v="6"/>
    <n v="19372.82"/>
    <n v="3228.8033333333333"/>
    <s v="May"/>
    <s v="2025"/>
    <s v="May 2025"/>
    <s v="Saturday"/>
    <x v="0"/>
    <s v="Michael Green"/>
    <s v="Male"/>
    <x v="3"/>
  </r>
  <r>
    <x v="499"/>
    <x v="362"/>
    <d v="2024-11-22T00:00:00"/>
    <d v="1996-07-15T00:00:00"/>
    <n v="29"/>
    <x v="0"/>
    <x v="9"/>
    <x v="4"/>
    <x v="0"/>
    <s v="Cardiology"/>
    <s v="Outpatient"/>
    <n v="2361.1"/>
    <n v="543.24"/>
    <n v="2991.43"/>
    <n v="13393.01"/>
    <x v="3"/>
    <x v="2"/>
    <x v="7"/>
    <s v="M79 9DW"/>
    <n v="2"/>
    <n v="2"/>
    <n v="19288.78"/>
    <n v="9644.39"/>
    <s v="November"/>
    <s v="2024"/>
    <s v="Nov 2024"/>
    <s v="Wednesday"/>
    <x v="0"/>
    <s v="Charlotte P Jones"/>
    <s v="Femal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DC2AFC-2C11-4912-9952-B0CB2AB187F6}" name="Total Pati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4">
    <pivotField dataField="1"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Patient ID" fld="0" subtotal="count"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447503-D756-4D51-95F9-D1D2737868AE}" name="Average Satisfactory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dataField="1"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Satisfaction Score" fld="19" subtotal="average" baseField="0" baseItem="0" numFmtId="2"/>
  </dataFields>
  <formats count="6">
    <format dxfId="41">
      <pivotArea type="all" dataOnly="0" outline="0" fieldPosition="0"/>
    </format>
    <format dxfId="40">
      <pivotArea outline="0" collapsedLevelsAreSubtotals="1"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7F915B-766B-4DCA-BD32-E05AE74BA1DA}" name="Average Length of Stay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7:W17" firstHeaderRow="1" firstDataRow="1" firstDataCol="1"/>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de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8"/>
    </i>
    <i>
      <x v="9"/>
    </i>
    <i>
      <x v="3"/>
    </i>
    <i>
      <x v="2"/>
    </i>
    <i>
      <x v="1"/>
    </i>
    <i>
      <x v="5"/>
    </i>
    <i>
      <x v="6"/>
    </i>
    <i>
      <x/>
    </i>
    <i>
      <x v="4"/>
    </i>
    <i>
      <x v="7"/>
    </i>
  </rowItems>
  <colItems count="1">
    <i/>
  </colItems>
  <dataFields count="1">
    <dataField name="Average of Length of Stay" fld="20" subtotal="average" baseField="7" baseItem="0" numFmtId="2"/>
  </dataFields>
  <formats count="10">
    <format dxfId="51">
      <pivotArea type="all" dataOnly="0" outline="0" fieldPosition="0"/>
    </format>
    <format dxfId="50">
      <pivotArea outline="0" collapsedLevelsAreSubtotals="1"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7" type="button" dataOnly="0" labelOnly="1" outline="0" axis="axisRow" fieldPosition="0"/>
    </format>
    <format dxfId="45">
      <pivotArea dataOnly="0" labelOnly="1" fieldPosition="0">
        <references count="1">
          <reference field="7" count="0"/>
        </references>
      </pivotArea>
    </format>
    <format dxfId="44">
      <pivotArea dataOnly="0" labelOnly="1" grandRow="1" outline="0" fieldPosition="0"/>
    </format>
    <format dxfId="43">
      <pivotArea dataOnly="0" labelOnly="1" outline="0" axis="axisValues" fieldPosition="0"/>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EBBB8B-16BC-4CC1-B717-C81C4455E790}" name="Revenue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7:Q17" firstHeaderRow="1" firstDataRow="1" firstDataCol="1"/>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de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1"/>
    </i>
    <i>
      <x/>
    </i>
    <i>
      <x v="4"/>
    </i>
    <i>
      <x v="6"/>
    </i>
    <i>
      <x v="7"/>
    </i>
    <i>
      <x v="2"/>
    </i>
    <i>
      <x v="3"/>
    </i>
    <i>
      <x v="9"/>
    </i>
    <i>
      <x v="8"/>
    </i>
    <i>
      <x v="5"/>
    </i>
  </rowItems>
  <colItems count="1">
    <i/>
  </colItems>
  <dataFields count="1">
    <dataField name="Sum of Total Cost" fld="21" baseField="0" baseItem="0" numFmtId="164"/>
  </dataFields>
  <formats count="9">
    <format dxfId="60">
      <pivotArea type="all" dataOnly="0" outline="0" fieldPosition="0"/>
    </format>
    <format dxfId="59">
      <pivotArea outline="0" collapsedLevelsAreSubtotals="1"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7" type="button" dataOnly="0" labelOnly="1" outline="0" axis="axisRow" fieldPosition="0"/>
    </format>
    <format dxfId="54">
      <pivotArea dataOnly="0" labelOnly="1" fieldPosition="0">
        <references count="1">
          <reference field="7" count="0"/>
        </references>
      </pivotArea>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253C05-74EF-498E-B694-C66D5442E6CB}"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 Cost" fld="21" baseField="0" baseItem="0" numFmtId="164"/>
  </dataFields>
  <formats count="3">
    <format dxfId="63">
      <pivotArea type="all" dataOnly="0" outline="0" fieldPosition="0"/>
    </format>
    <format dxfId="62">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B5279-F0BD-4C86-9936-D2F49142E5C1}" name="Admission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7:K17" firstHeaderRow="1" firstDataRow="1" firstDataCol="1"/>
  <pivotFields count="34">
    <pivotField dataField="1"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a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5"/>
    </i>
    <i>
      <x v="9"/>
    </i>
    <i>
      <x v="8"/>
    </i>
    <i>
      <x v="3"/>
    </i>
    <i>
      <x v="2"/>
    </i>
    <i>
      <x v="4"/>
    </i>
    <i>
      <x v="7"/>
    </i>
    <i>
      <x v="6"/>
    </i>
    <i>
      <x/>
    </i>
    <i>
      <x v="1"/>
    </i>
  </rowItems>
  <colItems count="1">
    <i/>
  </colItems>
  <dataFields count="1">
    <dataField name="Count of Patient ID" fld="0" subtotal="count" baseField="0" baseItem="0"/>
  </dataFields>
  <formats count="9">
    <format dxfId="72">
      <pivotArea type="all" dataOnly="0" outline="0" fieldPosition="0"/>
    </format>
    <format dxfId="71">
      <pivotArea outline="0" collapsedLevelsAreSubtotals="1"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7" type="button" dataOnly="0" labelOnly="1" outline="0" axis="axisRow" fieldPosition="0"/>
    </format>
    <format dxfId="66">
      <pivotArea dataOnly="0" labelOnly="1" fieldPosition="0">
        <references count="1">
          <reference field="7" count="0"/>
        </references>
      </pivotArea>
    </format>
    <format dxfId="65">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842D55-3E8E-462B-941E-22D05ECBE32B}" name="Total Lenght of Sta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A18" firstHeaderRow="1" firstDataRow="1" firstDataCol="0"/>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Length of Stay" fld="20" subtotal="average" baseField="0" baseItem="0" numFmtId="2"/>
  </dataFields>
  <formats count="6">
    <format dxfId="78">
      <pivotArea type="all" dataOnly="0" outline="0" fieldPosition="0"/>
    </format>
    <format dxfId="77">
      <pivotArea outline="0" collapsedLevelsAreSubtotals="1"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D73DEE-1B76-4C5F-9A9C-45A772E0AB93}" name="Average Satisfaction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B7:AC17" firstHeaderRow="1" firstDataRow="1" firstDataCol="1"/>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de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dataField="1"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5"/>
    </i>
    <i>
      <x v="6"/>
    </i>
    <i>
      <x/>
    </i>
    <i>
      <x v="1"/>
    </i>
    <i>
      <x v="7"/>
    </i>
    <i>
      <x v="4"/>
    </i>
    <i>
      <x v="8"/>
    </i>
    <i>
      <x v="2"/>
    </i>
    <i>
      <x v="9"/>
    </i>
    <i>
      <x v="3"/>
    </i>
  </rowItems>
  <colItems count="1">
    <i/>
  </colItems>
  <dataFields count="1">
    <dataField name="Average of Satisfaction Score" fld="19" subtotal="average" baseField="7" baseItem="0"/>
  </dataFields>
  <formats count="10">
    <format dxfId="88">
      <pivotArea type="all" dataOnly="0" outline="0" fieldPosition="0"/>
    </format>
    <format dxfId="87">
      <pivotArea outline="0" collapsedLevelsAreSubtotals="1"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7" type="button" dataOnly="0" labelOnly="1" outline="0" axis="axisRow" fieldPosition="0"/>
    </format>
    <format dxfId="82">
      <pivotArea dataOnly="0" labelOnly="1" fieldPosition="0">
        <references count="1">
          <reference field="7" count="0"/>
        </references>
      </pivotArea>
    </format>
    <format dxfId="81">
      <pivotArea dataOnly="0" labelOnly="1" grandRow="1" outline="0" fieldPosition="0"/>
    </format>
    <format dxfId="80">
      <pivotArea dataOnly="0" labelOnly="1" outline="0" axis="axisValues" fieldPosition="0"/>
    </format>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041B2E-CC6A-471C-B545-787FF1394F4D}" autoFormatId="16" applyNumberFormats="0" applyBorderFormats="0" applyFontFormats="0" applyPatternFormats="0" applyAlignmentFormats="0" applyWidthHeightFormats="0">
  <queryTableRefresh nextId="33" unboundColumnsRight="11">
    <queryTableFields count="31">
      <queryTableField id="1" name="Patient ID" tableColumnId="1"/>
      <queryTableField id="2" name="Admission Date" tableColumnId="2"/>
      <queryTableField id="3" name="Discharge Date" tableColumnId="3"/>
      <queryTableField id="4" name="Date of Birth" tableColumnId="4"/>
      <queryTableField id="5" name="Age" tableColumnId="5"/>
      <queryTableField id="6" name="Marital Status" tableColumnId="6"/>
      <queryTableField id="7" name="Occupation" tableColumnId="7"/>
      <queryTableField id="8" name="Diagnosis" tableColumnId="8"/>
      <queryTableField id="9" name="Severity Level" tableColumnId="9"/>
      <queryTableField id="10" name="Department" tableColumnId="10"/>
      <queryTableField id="11" name="Treatment Type" tableColumnId="11"/>
      <queryTableField id="12" name="Room Cost" tableColumnId="12"/>
      <queryTableField id="13" name="Lab Cost" tableColumnId="13"/>
      <queryTableField id="14" name="Medication Cost" tableColumnId="14"/>
      <queryTableField id="15" name="Treatment Cost" tableColumnId="15"/>
      <queryTableField id="16" name="Insurance Type" tableColumnId="16"/>
      <queryTableField id="17" name="Doctor" tableColumnId="17"/>
      <queryTableField id="18" name="City" tableColumnId="18"/>
      <queryTableField id="19" name="Postcode" tableColumnId="19"/>
      <queryTableField id="20" name="Satisfaction Score"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C26319F3-6915-44B0-B3F2-2BEA6566BB59}" sourceName="Diagnosis">
  <pivotTables>
    <pivotTable tabId="14" name="Average Satisfaction by Diagnosis"/>
    <pivotTable tabId="14" name="Admission by Diagnosis"/>
    <pivotTable tabId="14" name="Average Length of Stay by Diagnosis"/>
    <pivotTable tabId="14" name="Total Lenght of Stay"/>
    <pivotTable tabId="14" name="Total Patients"/>
    <pivotTable tabId="14" name="Total Revenue"/>
    <pivotTable tabId="14" name="Average Satisfactory Score"/>
    <pivotTable tabId="14" name="Revenue by Diagnosis"/>
  </pivotTables>
  <data>
    <tabular pivotCacheId="134140466">
      <items count="10">
        <i x="2" s="1"/>
        <i x="5" s="1"/>
        <i x="7" s="1"/>
        <i x="6" s="1"/>
        <i x="4" s="1"/>
        <i x="3" s="1"/>
        <i x="8" s="1"/>
        <i x="1" s="1"/>
        <i x="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1" xr10:uid="{DB0E8433-244C-446F-BD75-D46BFE5F865F}" cache="Slicer_Diagnosis" caption="Diagnosis" showCaption="0"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3EB71632-AC7A-4812-A040-793C41DB9B51}" cache="Slicer_Diagnosis" caption="Diagnosi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A99AA0-FD86-4191-8EE5-7B583E4CECC8}" name="CAPSTONE_PROJECT" displayName="CAPSTONE_PROJECT" ref="A1:AE501" tableType="queryTable" totalsRowShown="0" headerRowDxfId="32" dataDxfId="31">
  <autoFilter ref="A1:AE501" xr:uid="{07A99AA0-FD86-4191-8EE5-7B583E4CECC8}"/>
  <tableColumns count="31">
    <tableColumn id="1" xr3:uid="{5F9FACAF-3EE8-4508-B26F-07181CE66DD4}" uniqueName="1" name="Patient ID" queryTableFieldId="1" dataDxfId="30"/>
    <tableColumn id="2" xr3:uid="{310F45E8-DE26-4543-981B-283C06BB575E}" uniqueName="2" name="Admission Date" queryTableFieldId="2" dataDxfId="29"/>
    <tableColumn id="3" xr3:uid="{1F0BA685-CEC1-47DE-AEDD-C6545DC730B8}" uniqueName="3" name="Discharge Date" queryTableFieldId="3" dataDxfId="28"/>
    <tableColumn id="4" xr3:uid="{9C155D5F-24C3-4959-AFA2-ABB25B6FD12C}" uniqueName="4" name="Date of Birth" queryTableFieldId="4" dataDxfId="27"/>
    <tableColumn id="5" xr3:uid="{ED605872-B7C6-46B9-8CBA-191898443F45}" uniqueName="5" name="Age" queryTableFieldId="5" dataDxfId="26"/>
    <tableColumn id="6" xr3:uid="{41393973-BF10-4E96-BAC1-45F4E877FFA2}" uniqueName="6" name="Marital Status" queryTableFieldId="6" dataDxfId="25"/>
    <tableColumn id="7" xr3:uid="{0CC44E8B-4F9F-4B8B-A855-6B80C48D593F}" uniqueName="7" name="Occupation" queryTableFieldId="7" dataDxfId="24"/>
    <tableColumn id="8" xr3:uid="{8152AC24-E0B1-49B4-8502-3E6C26DDF650}" uniqueName="8" name="Diagnosis" queryTableFieldId="8" dataDxfId="23"/>
    <tableColumn id="9" xr3:uid="{4740C578-38A9-4DC3-85EC-9C2F92FA6247}" uniqueName="9" name="Severity Level" queryTableFieldId="9" dataDxfId="22"/>
    <tableColumn id="10" xr3:uid="{442A7F17-739E-4BD1-8582-8F26C744E67E}" uniqueName="10" name="Department" queryTableFieldId="10" dataDxfId="21"/>
    <tableColumn id="11" xr3:uid="{228ACFC4-0A28-4DEF-8811-80F9FC845CEF}" uniqueName="11" name="Treatment Type" queryTableFieldId="11" dataDxfId="20"/>
    <tableColumn id="12" xr3:uid="{CDB04103-1CC6-4B6B-948B-6B9D7AB9A557}" uniqueName="12" name="Room Cost" queryTableFieldId="12" dataDxfId="19"/>
    <tableColumn id="13" xr3:uid="{4B466910-E987-487B-8D5C-3D9A964C487C}" uniqueName="13" name="Lab Cost" queryTableFieldId="13" dataDxfId="18"/>
    <tableColumn id="14" xr3:uid="{52DF8899-11F4-4BFB-8E9B-0C1DE4E0250C}" uniqueName="14" name="Medication Cost" queryTableFieldId="14" dataDxfId="17"/>
    <tableColumn id="15" xr3:uid="{0CCF6F8D-2A99-4D08-9469-FB0A98DE63EB}" uniqueName="15" name="Treatment Cost" queryTableFieldId="15" dataDxfId="16"/>
    <tableColumn id="16" xr3:uid="{9542ED2D-0298-4690-907D-29FF80ED65AD}" uniqueName="16" name="Insurance Type" queryTableFieldId="16" dataDxfId="15"/>
    <tableColumn id="17" xr3:uid="{FD881ACA-DB06-4B2C-83E9-4B32E9AF2B9C}" uniqueName="17" name="Doctor" queryTableFieldId="17" dataDxfId="14"/>
    <tableColumn id="18" xr3:uid="{83ADEA5E-2CE8-42B7-A9BC-4893A26FFE3D}" uniqueName="18" name="City" queryTableFieldId="18" dataDxfId="13"/>
    <tableColumn id="19" xr3:uid="{84F2C05C-B213-4864-9D34-77728AC4474E}" uniqueName="19" name="Postcode" queryTableFieldId="19" dataDxfId="12"/>
    <tableColumn id="20" xr3:uid="{30303D37-2353-4643-A622-45186F02B3F4}" uniqueName="20" name="Satisfaction Score" queryTableFieldId="20" dataDxfId="11"/>
    <tableColumn id="21" xr3:uid="{6E3E6372-B50B-4B72-A638-E0ABD759FBDF}" uniqueName="21" name="Length of Stay" queryTableFieldId="21" dataDxfId="10">
      <calculatedColumnFormula>CAPSTONE_PROJECT[[#This Row],[Discharge Date]]-CAPSTONE_PROJECT[[#This Row],[Admission Date]]</calculatedColumnFormula>
    </tableColumn>
    <tableColumn id="22" xr3:uid="{136792A9-9FA1-463A-A5C2-3046A23880D4}" uniqueName="22" name="Total Cost" queryTableFieldId="22" dataDxfId="9">
      <calculatedColumnFormula>SUM(CAPSTONE_PROJECT[[#This Row],[Room Cost]:[Treatment Cost]])</calculatedColumnFormula>
    </tableColumn>
    <tableColumn id="23" xr3:uid="{7A169F7D-DAD7-4CBB-B613-30C777329A89}" uniqueName="23" name="Cost Per Day" queryTableFieldId="23" dataDxfId="8">
      <calculatedColumnFormula>V2/U2</calculatedColumnFormula>
    </tableColumn>
    <tableColumn id="24" xr3:uid="{3D9DF31F-35E9-46F6-83F2-0347CBAA5B46}" uniqueName="24" name="Admission Month" queryTableFieldId="24" dataDxfId="7">
      <calculatedColumnFormula>TEXT(CAPSTONE_PROJECT[[#This Row],[Admission Date]],"mmmm")</calculatedColumnFormula>
    </tableColumn>
    <tableColumn id="25" xr3:uid="{8E78C8BA-4061-45D7-BBE3-CAF30C983E1D}" uniqueName="25" name="Admission Year" queryTableFieldId="25" dataDxfId="6">
      <calculatedColumnFormula>TEXT(CAPSTONE_PROJECT[[#This Row],[Admission Date]],"yyyy")</calculatedColumnFormula>
    </tableColumn>
    <tableColumn id="26" xr3:uid="{1C50568F-4085-40AE-8EE0-8BA818C260A6}" uniqueName="26" name="Admission Month &amp; Year" queryTableFieldId="26" dataDxfId="5">
      <calculatedColumnFormula>TEXT(CAPSTONE_PROJECT[[#This Row],[Admission Date]],"mmm yyyy")</calculatedColumnFormula>
    </tableColumn>
    <tableColumn id="27" xr3:uid="{AB69D608-AF5C-4419-9C87-D60CE8FBE338}" uniqueName="27" name="Day of the Week" queryTableFieldId="27" dataDxfId="4">
      <calculatedColumnFormula>TEXT(CAPSTONE_PROJECT[[#This Row],[Admission Date]],"dddd")</calculatedColumnFormula>
    </tableColumn>
    <tableColumn id="28" xr3:uid="{A4CE9AC4-4283-4119-8603-34F691099FAB}" uniqueName="28" name="Age Group" queryTableFieldId="28" dataDxfId="3">
      <calculatedColumnFormula>IF(CAPSTONE_PROJECT[[#This Row],[Age]]&lt;=34,"Young Adults",IF(CAPSTONE_PROJECT[[#This Row],[Age]]&lt;=59,"Adults","Elders"))</calculatedColumnFormula>
    </tableColumn>
    <tableColumn id="29" xr3:uid="{15A4FAFF-786C-4B7F-8D53-147C0E474A1F}" uniqueName="29" name="Patient Name" queryTableFieldId="29" dataDxfId="2">
      <calculatedColumnFormula>_xlfn.XLOOKUP(CAPSTONE_PROJECT[[#This Row],[Patient ID]],'Lookup table'!A:A,'Lookup table'!B:B,,0)</calculatedColumnFormula>
    </tableColumn>
    <tableColumn id="30" xr3:uid="{A5598197-56BA-4A87-98AB-A7A30F7DD88C}" uniqueName="30" name="Gender" queryTableFieldId="30" dataDxfId="1">
      <calculatedColumnFormula>_xlfn.XLOOKUP(CAPSTONE_PROJECT[[#This Row],[Patient ID]],'Lookup table'!A:A,'Lookup table'!C:C,,0)</calculatedColumnFormula>
    </tableColumn>
    <tableColumn id="31" xr3:uid="{85E75075-1F40-4A79-801A-43940431033E}" uniqueName="31" name="Length of Stay Category" queryTableFieldId="31" dataDxfId="0">
      <calculatedColumnFormula>IF(CAPSTONE_PROJECT[[#This Row],[Length of Stay]]&lt;=3,"Short Stay",IF(CAPSTONE_PROJECT[[#This Row],[Length of Stay]]&lt;=7,"Moderate Stay",IF(CAPSTONE_PROJECT[[#This Row],[Length of Stay]]&lt;=14,"Long Stay","Extended Stay")))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66CE-B973-47CD-BA08-C253C2331811}">
  <dimension ref="A1"/>
  <sheetViews>
    <sheetView zoomScale="70" zoomScaleNormal="70" workbookViewId="0">
      <selection activeCell="X7" sqref="X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9EB0-D139-4189-B99B-2490068811B4}">
  <dimension ref="A1:AR590"/>
  <sheetViews>
    <sheetView zoomScaleNormal="100" workbookViewId="0">
      <selection activeCell="X7" sqref="X7"/>
    </sheetView>
  </sheetViews>
  <sheetFormatPr defaultRowHeight="14.4" x14ac:dyDescent="0.3"/>
  <cols>
    <col min="1" max="1" width="23.5546875" style="3" bestFit="1" customWidth="1"/>
    <col min="2" max="2" width="17.21875" style="3" bestFit="1" customWidth="1"/>
    <col min="3" max="3" width="9.109375" style="3" bestFit="1" customWidth="1"/>
    <col min="4" max="4" width="17.5546875" style="3" customWidth="1"/>
    <col min="5" max="5" width="18.33203125" style="3" bestFit="1" customWidth="1"/>
    <col min="6" max="6" width="23.6640625" style="3" customWidth="1"/>
    <col min="7" max="7" width="18.88671875" style="3" bestFit="1" customWidth="1"/>
    <col min="8" max="8" width="26.44140625" style="3" bestFit="1" customWidth="1"/>
    <col min="9" max="9" width="10.109375" style="3" bestFit="1" customWidth="1"/>
    <col min="10" max="10" width="13.109375" style="3" bestFit="1" customWidth="1"/>
    <col min="11" max="11" width="17.21875" style="3" bestFit="1" customWidth="1"/>
    <col min="12" max="12" width="23.77734375" style="3" bestFit="1" customWidth="1"/>
    <col min="13" max="13" width="10.6640625" style="3" customWidth="1"/>
    <col min="14" max="14" width="9.77734375" style="3" bestFit="1" customWidth="1"/>
    <col min="15" max="15" width="10.109375" style="3" bestFit="1" customWidth="1"/>
    <col min="16" max="16" width="13.109375" style="3" bestFit="1" customWidth="1"/>
    <col min="17" max="17" width="15.88671875" style="3" bestFit="1" customWidth="1"/>
    <col min="18" max="18" width="22.77734375" style="3" customWidth="1"/>
    <col min="19" max="19" width="12.5546875" style="3" customWidth="1"/>
    <col min="20" max="21" width="10.109375" style="3" bestFit="1" customWidth="1"/>
    <col min="22" max="22" width="13.109375" style="3" bestFit="1" customWidth="1"/>
    <col min="23" max="23" width="23" style="3" bestFit="1" customWidth="1"/>
    <col min="24" max="24" width="13.6640625" style="3" customWidth="1"/>
    <col min="25" max="25" width="12.6640625" style="3" customWidth="1"/>
    <col min="26" max="27" width="9.77734375" style="3" bestFit="1" customWidth="1"/>
    <col min="28" max="28" width="13.109375" style="3" bestFit="1" customWidth="1"/>
    <col min="29" max="29" width="25.88671875" style="3" bestFit="1" customWidth="1"/>
    <col min="30" max="30" width="12.21875" style="3" customWidth="1"/>
    <col min="31" max="31" width="11" style="3" customWidth="1"/>
    <col min="32" max="32" width="10.109375" style="3" bestFit="1" customWidth="1"/>
    <col min="33" max="33" width="9.109375" style="3" bestFit="1" customWidth="1"/>
    <col min="34" max="35" width="10.109375" style="3" bestFit="1" customWidth="1"/>
    <col min="36" max="39" width="9.77734375" style="3" bestFit="1" customWidth="1"/>
    <col min="40" max="43" width="10.109375" style="3" bestFit="1" customWidth="1"/>
    <col min="44" max="44" width="9.77734375" style="3" bestFit="1" customWidth="1"/>
    <col min="45" max="48" width="10.109375" style="3" bestFit="1" customWidth="1"/>
    <col min="49" max="49" width="9.77734375" style="3" bestFit="1" customWidth="1"/>
    <col min="50" max="53" width="10.109375" style="3" bestFit="1" customWidth="1"/>
    <col min="54" max="55" width="9.109375" style="3" bestFit="1" customWidth="1"/>
    <col min="56" max="57" width="10.109375" style="3" bestFit="1" customWidth="1"/>
    <col min="58" max="58" width="9.77734375" style="3" bestFit="1" customWidth="1"/>
    <col min="59" max="63" width="10.109375" style="3" bestFit="1" customWidth="1"/>
    <col min="64" max="64" width="9.77734375" style="3" bestFit="1" customWidth="1"/>
    <col min="65" max="66" width="10.109375" style="3" bestFit="1" customWidth="1"/>
    <col min="67" max="67" width="9.77734375" style="3" bestFit="1" customWidth="1"/>
    <col min="68" max="68" width="9.109375" style="3" bestFit="1" customWidth="1"/>
    <col min="69" max="71" width="10.109375" style="3" bestFit="1" customWidth="1"/>
    <col min="72" max="72" width="9.77734375" style="3" bestFit="1" customWidth="1"/>
    <col min="73" max="75" width="10.109375" style="3" bestFit="1" customWidth="1"/>
    <col min="76" max="76" width="9.77734375" style="3" bestFit="1" customWidth="1"/>
    <col min="77" max="80" width="10.109375" style="3" bestFit="1" customWidth="1"/>
    <col min="81" max="82" width="9.109375" style="3" bestFit="1" customWidth="1"/>
    <col min="83" max="86" width="10.109375" style="3" bestFit="1" customWidth="1"/>
    <col min="87" max="87" width="9.77734375" style="3" bestFit="1" customWidth="1"/>
    <col min="88" max="89" width="10.109375" style="3" bestFit="1" customWidth="1"/>
    <col min="90" max="90" width="9.77734375" style="3" bestFit="1" customWidth="1"/>
    <col min="91" max="93" width="10.109375" style="3" bestFit="1" customWidth="1"/>
    <col min="94" max="94" width="9.77734375" style="3" bestFit="1" customWidth="1"/>
    <col min="95" max="97" width="10.109375" style="3" bestFit="1" customWidth="1"/>
    <col min="98" max="98" width="9.109375" style="3" bestFit="1" customWidth="1"/>
    <col min="99" max="112" width="10.109375" style="3" bestFit="1" customWidth="1"/>
    <col min="113" max="114" width="9.77734375" style="3" bestFit="1" customWidth="1"/>
    <col min="115" max="126" width="10.109375" style="3" bestFit="1" customWidth="1"/>
    <col min="127" max="127" width="9.77734375" style="3" bestFit="1" customWidth="1"/>
    <col min="128" max="143" width="10.109375" style="3" bestFit="1" customWidth="1"/>
    <col min="144" max="144" width="9.77734375" style="3" bestFit="1" customWidth="1"/>
    <col min="145" max="154" width="10.109375" style="3" bestFit="1" customWidth="1"/>
    <col min="155" max="162" width="10.77734375" style="3" bestFit="1" customWidth="1"/>
    <col min="163" max="163" width="9.77734375" style="3" bestFit="1" customWidth="1"/>
    <col min="164" max="167" width="10.109375" style="3" bestFit="1" customWidth="1"/>
    <col min="168" max="180" width="10.77734375" style="3" bestFit="1" customWidth="1"/>
    <col min="181" max="181" width="10.109375" style="3" bestFit="1" customWidth="1"/>
    <col min="182" max="182" width="9.77734375" style="3" bestFit="1" customWidth="1"/>
    <col min="183" max="183" width="10.109375" style="3" bestFit="1" customWidth="1"/>
    <col min="184" max="184" width="9.77734375" style="3" bestFit="1" customWidth="1"/>
    <col min="185" max="185" width="10.109375" style="3" bestFit="1" customWidth="1"/>
    <col min="186" max="198" width="10.77734375" style="3" bestFit="1" customWidth="1"/>
    <col min="199" max="206" width="10.109375" style="3" bestFit="1" customWidth="1"/>
    <col min="207" max="207" width="9.77734375" style="3" bestFit="1" customWidth="1"/>
    <col min="208" max="211" width="10.109375" style="3" bestFit="1" customWidth="1"/>
    <col min="212" max="212" width="9.77734375" style="3" bestFit="1" customWidth="1"/>
    <col min="213" max="213" width="10.109375" style="3" bestFit="1" customWidth="1"/>
    <col min="214" max="214" width="9.109375" style="3" bestFit="1" customWidth="1"/>
    <col min="215" max="215" width="10.109375" style="3" bestFit="1" customWidth="1"/>
    <col min="216" max="216" width="9.109375" style="3" bestFit="1" customWidth="1"/>
    <col min="217" max="226" width="10.109375" style="3" bestFit="1" customWidth="1"/>
    <col min="227" max="227" width="9.77734375" style="3" bestFit="1" customWidth="1"/>
    <col min="228" max="231" width="10.109375" style="3" bestFit="1" customWidth="1"/>
    <col min="232" max="232" width="9.109375" style="3" bestFit="1" customWidth="1"/>
    <col min="233" max="238" width="10.109375" style="3" bestFit="1" customWidth="1"/>
    <col min="239" max="240" width="9.109375" style="3" bestFit="1" customWidth="1"/>
    <col min="241" max="248" width="10.109375" style="3" bestFit="1" customWidth="1"/>
    <col min="249" max="249" width="9.77734375" style="3" bestFit="1" customWidth="1"/>
    <col min="250" max="262" width="10.109375" style="3" bestFit="1" customWidth="1"/>
    <col min="263" max="265" width="9.77734375" style="3" bestFit="1" customWidth="1"/>
    <col min="266" max="294" width="10.109375" style="3" bestFit="1" customWidth="1"/>
    <col min="295" max="296" width="9.77734375" style="3" bestFit="1" customWidth="1"/>
    <col min="297" max="300" width="10.109375" style="3" bestFit="1" customWidth="1"/>
    <col min="301" max="301" width="9.77734375" style="3" bestFit="1" customWidth="1"/>
    <col min="302" max="302" width="10.109375" style="3" bestFit="1" customWidth="1"/>
    <col min="303" max="303" width="9.77734375" style="3" bestFit="1" customWidth="1"/>
    <col min="304" max="304" width="9.109375" style="3" bestFit="1" customWidth="1"/>
    <col min="305" max="307" width="10.109375" style="3" bestFit="1" customWidth="1"/>
    <col min="308" max="308" width="9.109375" style="3" bestFit="1" customWidth="1"/>
    <col min="309" max="311" width="10.109375" style="3" bestFit="1" customWidth="1"/>
    <col min="312" max="312" width="9.77734375" style="3" bestFit="1" customWidth="1"/>
    <col min="313" max="314" width="10.109375" style="3" bestFit="1" customWidth="1"/>
    <col min="315" max="315" width="9.77734375" style="3" bestFit="1" customWidth="1"/>
    <col min="316" max="318" width="10.109375" style="3" bestFit="1" customWidth="1"/>
    <col min="319" max="320" width="9.77734375" style="3" bestFit="1" customWidth="1"/>
    <col min="321" max="322" width="10.109375" style="3" bestFit="1" customWidth="1"/>
    <col min="323" max="323" width="9.77734375" style="3" bestFit="1" customWidth="1"/>
    <col min="324" max="324" width="10.109375" style="3" bestFit="1" customWidth="1"/>
    <col min="325" max="332" width="10.77734375" style="3" bestFit="1" customWidth="1"/>
    <col min="333" max="333" width="10.109375" style="3" bestFit="1" customWidth="1"/>
    <col min="334" max="334" width="9.77734375" style="3" bestFit="1" customWidth="1"/>
    <col min="335" max="340" width="10.109375" style="3" bestFit="1" customWidth="1"/>
    <col min="341" max="352" width="10.77734375" style="3" bestFit="1" customWidth="1"/>
    <col min="353" max="356" width="10.109375" style="3" bestFit="1" customWidth="1"/>
    <col min="357" max="364" width="10.77734375" style="3" bestFit="1" customWidth="1"/>
    <col min="365" max="365" width="12.6640625" style="3" bestFit="1" customWidth="1"/>
    <col min="366" max="16384" width="8.88671875" style="3"/>
  </cols>
  <sheetData>
    <row r="1" spans="1:44" x14ac:dyDescent="0.3">
      <c r="A1" s="9" t="s">
        <v>1097</v>
      </c>
      <c r="D1" s="9" t="s">
        <v>1124</v>
      </c>
      <c r="E1" s="9" t="s">
        <v>1125</v>
      </c>
      <c r="F1" s="9" t="s">
        <v>1126</v>
      </c>
      <c r="G1" s="9" t="s">
        <v>1127</v>
      </c>
      <c r="J1" s="27" t="s">
        <v>1128</v>
      </c>
      <c r="K1" s="27"/>
      <c r="L1" s="27"/>
      <c r="AI1" s="27" t="s">
        <v>1137</v>
      </c>
      <c r="AJ1" s="27"/>
      <c r="AK1" s="27"/>
      <c r="AO1" s="27" t="s">
        <v>1102</v>
      </c>
      <c r="AP1" s="27"/>
      <c r="AQ1" s="27"/>
    </row>
    <row r="2" spans="1:44" x14ac:dyDescent="0.3">
      <c r="D2" s="3" t="s">
        <v>1098</v>
      </c>
      <c r="E2" s="3">
        <f>GETPIVOTDATA("Patient ID",$A$5)</f>
        <v>500</v>
      </c>
      <c r="F2" s="3">
        <v>650</v>
      </c>
      <c r="G2" s="11">
        <f>IFERROR(E2/F2,"0%")</f>
        <v>0.76923076923076927</v>
      </c>
    </row>
    <row r="3" spans="1:44" x14ac:dyDescent="0.3">
      <c r="A3" s="12" t="s">
        <v>1098</v>
      </c>
      <c r="D3" s="3" t="s">
        <v>1099</v>
      </c>
      <c r="E3" s="10">
        <f>GETPIVOTDATA("Total Cost",$A$11)</f>
        <v>6454833.669999999</v>
      </c>
      <c r="F3" s="10">
        <v>7000000</v>
      </c>
      <c r="G3" s="11">
        <f>IFERROR(E3/F3,"0%")</f>
        <v>0.92211909571428552</v>
      </c>
      <c r="AO3" s="26" t="s">
        <v>1129</v>
      </c>
      <c r="AP3" s="26"/>
      <c r="AQ3" s="26"/>
      <c r="AR3" s="26"/>
    </row>
    <row r="4" spans="1:44" x14ac:dyDescent="0.3">
      <c r="D4" s="3" t="s">
        <v>1100</v>
      </c>
      <c r="E4" s="13">
        <f>GETPIVOTDATA("Length of Stay",$A$17)</f>
        <v>10.714</v>
      </c>
      <c r="F4" s="3">
        <v>5</v>
      </c>
      <c r="G4" s="11">
        <f>IFERROR(F4/E4,"0%")</f>
        <v>0.46667911144297181</v>
      </c>
    </row>
    <row r="5" spans="1:44" x14ac:dyDescent="0.3">
      <c r="A5" s="3" t="s">
        <v>1119</v>
      </c>
      <c r="D5" s="3" t="s">
        <v>1120</v>
      </c>
      <c r="E5" s="13">
        <f>GETPIVOTDATA("Satisfaction Score",$A$23)</f>
        <v>5.3120000000000003</v>
      </c>
      <c r="F5" s="3">
        <v>7</v>
      </c>
      <c r="G5" s="11">
        <f>IFERROR(E5/F5,"0%")</f>
        <v>0.7588571428571429</v>
      </c>
      <c r="J5" s="25" t="s">
        <v>1129</v>
      </c>
      <c r="K5" s="25"/>
      <c r="P5" s="25" t="s">
        <v>1104</v>
      </c>
      <c r="Q5" s="25"/>
      <c r="V5" s="25" t="s">
        <v>1105</v>
      </c>
      <c r="W5" s="25"/>
      <c r="AB5" s="25" t="s">
        <v>1106</v>
      </c>
      <c r="AC5" s="25"/>
    </row>
    <row r="6" spans="1:44" x14ac:dyDescent="0.3">
      <c r="A6" s="3">
        <v>500</v>
      </c>
      <c r="L6" s="25" t="s">
        <v>1131</v>
      </c>
      <c r="M6" s="25"/>
      <c r="R6" s="25" t="s">
        <v>1131</v>
      </c>
      <c r="S6" s="25"/>
      <c r="X6" s="25" t="s">
        <v>1131</v>
      </c>
      <c r="Y6" s="25"/>
      <c r="AD6" s="25" t="s">
        <v>1131</v>
      </c>
      <c r="AE6" s="25"/>
    </row>
    <row r="7" spans="1:44" x14ac:dyDescent="0.3">
      <c r="J7" s="14" t="s">
        <v>1130</v>
      </c>
      <c r="K7" s="3" t="s">
        <v>1119</v>
      </c>
      <c r="L7" s="15" t="s">
        <v>1132</v>
      </c>
      <c r="M7" s="15" t="s">
        <v>1133</v>
      </c>
      <c r="P7" s="14" t="s">
        <v>1130</v>
      </c>
      <c r="Q7" s="3" t="s">
        <v>1118</v>
      </c>
      <c r="R7" s="15" t="s">
        <v>1132</v>
      </c>
      <c r="S7" s="15" t="s">
        <v>1133</v>
      </c>
      <c r="V7" s="14" t="s">
        <v>1130</v>
      </c>
      <c r="W7" s="3" t="s">
        <v>1123</v>
      </c>
      <c r="X7" s="15" t="s">
        <v>1132</v>
      </c>
      <c r="Y7" s="15" t="s">
        <v>1133</v>
      </c>
      <c r="AB7" s="14" t="s">
        <v>1130</v>
      </c>
      <c r="AC7" s="3" t="s">
        <v>1121</v>
      </c>
      <c r="AD7" s="15" t="s">
        <v>1132</v>
      </c>
      <c r="AE7" s="15" t="s">
        <v>1133</v>
      </c>
    </row>
    <row r="8" spans="1:44" x14ac:dyDescent="0.3">
      <c r="J8" s="16" t="s">
        <v>111</v>
      </c>
      <c r="K8" s="13">
        <v>38</v>
      </c>
      <c r="L8" s="15" t="e">
        <f>IF(K8=MAX($K$8:$K$17),K8,NA())</f>
        <v>#N/A</v>
      </c>
      <c r="M8" s="15">
        <f>IF(K8=MAX($K$8:$K$17),NA(),K8)</f>
        <v>38</v>
      </c>
      <c r="P8" s="16" t="s">
        <v>114</v>
      </c>
      <c r="Q8" s="6">
        <v>805567.59999999974</v>
      </c>
      <c r="R8" s="15">
        <f>IF(Q8=MAX($Q$8:$Q$17),Q8,NA())</f>
        <v>805567.59999999974</v>
      </c>
      <c r="S8" s="17" t="e">
        <f>IF(Q8=MAX($Q$8:$Q$17),NA(),Q8)</f>
        <v>#N/A</v>
      </c>
      <c r="V8" s="16" t="s">
        <v>12</v>
      </c>
      <c r="W8" s="13">
        <v>12.641025641025641</v>
      </c>
      <c r="X8" s="22">
        <f>IF(W8=MAX($W$8:$W$17),W8,NA())</f>
        <v>12.641025641025641</v>
      </c>
      <c r="Y8" s="22" t="e">
        <f>IF(W8=MAX($W$8:$W$17),NA(),W8)</f>
        <v>#N/A</v>
      </c>
      <c r="AB8" s="16" t="s">
        <v>111</v>
      </c>
      <c r="AC8" s="13">
        <v>6.0526315789473681</v>
      </c>
      <c r="AD8" s="22">
        <f>IF(AC8=MAX($AC$8:$AC$17),AC8,NA())</f>
        <v>6.0526315789473681</v>
      </c>
      <c r="AE8" s="22" t="e">
        <f>IF(AC8=MAX($AC$8:$AC$17),NA(),AC8)</f>
        <v>#N/A</v>
      </c>
    </row>
    <row r="9" spans="1:44" x14ac:dyDescent="0.3">
      <c r="A9" s="12" t="s">
        <v>1099</v>
      </c>
      <c r="J9" s="16" t="s">
        <v>104</v>
      </c>
      <c r="K9" s="13">
        <v>39</v>
      </c>
      <c r="L9" s="15" t="e">
        <f t="shared" ref="L9:L17" si="0">IF(K9=MAX($K$8:$K$17),K9,NA())</f>
        <v>#N/A</v>
      </c>
      <c r="M9" s="15">
        <f t="shared" ref="M9:M17" si="1">IF(K9=MAX($K$8:$K$17),NA(),K9)</f>
        <v>39</v>
      </c>
      <c r="P9" s="16" t="s">
        <v>29</v>
      </c>
      <c r="Q9" s="6">
        <v>753375.84999999986</v>
      </c>
      <c r="R9" s="17" t="e">
        <f t="shared" ref="R9:R17" si="2">IF(Q9=MAX($Q$8:$Q$17),Q9,NA())</f>
        <v>#N/A</v>
      </c>
      <c r="S9" s="17">
        <f t="shared" ref="S9:S17" si="3">IF(Q9=MAX($Q$8:$Q$17),NA(),Q9)</f>
        <v>753375.84999999986</v>
      </c>
      <c r="V9" s="16" t="s">
        <v>104</v>
      </c>
      <c r="W9" s="13">
        <v>12.179487179487179</v>
      </c>
      <c r="X9" s="22" t="e">
        <f t="shared" ref="X9:X17" si="4">IF(W9=MAX($W$8:$W$17),W9,NA())</f>
        <v>#N/A</v>
      </c>
      <c r="Y9" s="22">
        <f t="shared" ref="Y9:Y17" si="5">IF(W9=MAX($W$8:$W$17),NA(),W9)</f>
        <v>12.179487179487179</v>
      </c>
      <c r="AB9" s="16" t="s">
        <v>100</v>
      </c>
      <c r="AC9" s="13">
        <v>5.5740740740740744</v>
      </c>
      <c r="AD9" s="22" t="e">
        <f t="shared" ref="AD9:AD17" si="6">IF(AC9=MAX($AC$8:$AC$17),AC9,NA())</f>
        <v>#N/A</v>
      </c>
      <c r="AE9" s="22">
        <f t="shared" ref="AE9:AE17" si="7">IF(AC9=MAX($AC$8:$AC$17),NA(),AC9)</f>
        <v>5.5740740740740744</v>
      </c>
    </row>
    <row r="10" spans="1:44" x14ac:dyDescent="0.3">
      <c r="J10" s="16" t="s">
        <v>12</v>
      </c>
      <c r="K10" s="13">
        <v>39</v>
      </c>
      <c r="L10" s="15" t="e">
        <f t="shared" si="0"/>
        <v>#N/A</v>
      </c>
      <c r="M10" s="15">
        <f t="shared" si="1"/>
        <v>39</v>
      </c>
      <c r="P10" s="16" t="s">
        <v>43</v>
      </c>
      <c r="Q10" s="6">
        <v>723380.83</v>
      </c>
      <c r="R10" s="15" t="e">
        <f t="shared" si="2"/>
        <v>#N/A</v>
      </c>
      <c r="S10" s="17">
        <f t="shared" si="3"/>
        <v>723380.83</v>
      </c>
      <c r="V10" s="16" t="s">
        <v>1080</v>
      </c>
      <c r="W10" s="13">
        <v>11.957446808510639</v>
      </c>
      <c r="X10" s="22" t="e">
        <f t="shared" si="4"/>
        <v>#N/A</v>
      </c>
      <c r="Y10" s="22">
        <f t="shared" si="5"/>
        <v>11.957446808510639</v>
      </c>
      <c r="AB10" s="16" t="s">
        <v>29</v>
      </c>
      <c r="AC10" s="13">
        <v>5.5084745762711869</v>
      </c>
      <c r="AD10" s="22" t="e">
        <f t="shared" si="6"/>
        <v>#N/A</v>
      </c>
      <c r="AE10" s="22">
        <f t="shared" si="7"/>
        <v>5.5084745762711869</v>
      </c>
    </row>
    <row r="11" spans="1:44" x14ac:dyDescent="0.3">
      <c r="A11" s="3" t="s">
        <v>1118</v>
      </c>
      <c r="J11" s="16" t="s">
        <v>1080</v>
      </c>
      <c r="K11" s="13">
        <v>47</v>
      </c>
      <c r="L11" s="15" t="e">
        <f t="shared" si="0"/>
        <v>#N/A</v>
      </c>
      <c r="M11" s="15">
        <f t="shared" si="1"/>
        <v>47</v>
      </c>
      <c r="P11" s="16" t="s">
        <v>100</v>
      </c>
      <c r="Q11" s="6">
        <v>688072.11000000045</v>
      </c>
      <c r="R11" s="15" t="e">
        <f t="shared" si="2"/>
        <v>#N/A</v>
      </c>
      <c r="S11" s="17">
        <f t="shared" si="3"/>
        <v>688072.11000000045</v>
      </c>
      <c r="V11" s="16" t="s">
        <v>72</v>
      </c>
      <c r="W11" s="13">
        <v>10.711538461538462</v>
      </c>
      <c r="X11" s="22" t="e">
        <f t="shared" si="4"/>
        <v>#N/A</v>
      </c>
      <c r="Y11" s="22">
        <f t="shared" si="5"/>
        <v>10.711538461538462</v>
      </c>
      <c r="AB11" s="16" t="s">
        <v>114</v>
      </c>
      <c r="AC11" s="13">
        <v>5.4923076923076923</v>
      </c>
      <c r="AD11" s="22" t="e">
        <f t="shared" si="6"/>
        <v>#N/A</v>
      </c>
      <c r="AE11" s="22">
        <f t="shared" si="7"/>
        <v>5.4923076923076923</v>
      </c>
    </row>
    <row r="12" spans="1:44" x14ac:dyDescent="0.3">
      <c r="A12" s="6">
        <v>6454833.669999999</v>
      </c>
      <c r="J12" s="16" t="s">
        <v>72</v>
      </c>
      <c r="K12" s="13">
        <v>52</v>
      </c>
      <c r="L12" s="15" t="e">
        <f t="shared" si="0"/>
        <v>#N/A</v>
      </c>
      <c r="M12" s="15">
        <f t="shared" si="1"/>
        <v>52</v>
      </c>
      <c r="P12" s="16" t="s">
        <v>21</v>
      </c>
      <c r="Q12" s="6">
        <v>679795.18000000017</v>
      </c>
      <c r="R12" s="15" t="e">
        <f t="shared" si="2"/>
        <v>#N/A</v>
      </c>
      <c r="S12" s="17">
        <f t="shared" si="3"/>
        <v>679795.18000000017</v>
      </c>
      <c r="V12" s="16" t="s">
        <v>114</v>
      </c>
      <c r="W12" s="13">
        <v>10.553846153846154</v>
      </c>
      <c r="X12" s="22" t="e">
        <f t="shared" si="4"/>
        <v>#N/A</v>
      </c>
      <c r="Y12" s="22">
        <f t="shared" si="5"/>
        <v>10.553846153846154</v>
      </c>
      <c r="AB12" s="16" t="s">
        <v>21</v>
      </c>
      <c r="AC12" s="13">
        <v>5.3518518518518521</v>
      </c>
      <c r="AD12" s="22" t="e">
        <f t="shared" si="6"/>
        <v>#N/A</v>
      </c>
      <c r="AE12" s="22">
        <f t="shared" si="7"/>
        <v>5.3518518518518521</v>
      </c>
    </row>
    <row r="13" spans="1:44" x14ac:dyDescent="0.3">
      <c r="J13" s="16" t="s">
        <v>43</v>
      </c>
      <c r="K13" s="13">
        <v>53</v>
      </c>
      <c r="L13" s="15" t="e">
        <f t="shared" si="0"/>
        <v>#N/A</v>
      </c>
      <c r="M13" s="15">
        <f t="shared" si="1"/>
        <v>53</v>
      </c>
      <c r="P13" s="16" t="s">
        <v>72</v>
      </c>
      <c r="Q13" s="6">
        <v>647533.04000000027</v>
      </c>
      <c r="R13" s="15" t="e">
        <f t="shared" si="2"/>
        <v>#N/A</v>
      </c>
      <c r="S13" s="17">
        <f t="shared" si="3"/>
        <v>647533.04000000027</v>
      </c>
      <c r="V13" s="16" t="s">
        <v>111</v>
      </c>
      <c r="W13" s="13">
        <v>10.342105263157896</v>
      </c>
      <c r="X13" s="22" t="e">
        <f t="shared" si="4"/>
        <v>#N/A</v>
      </c>
      <c r="Y13" s="22">
        <f t="shared" si="5"/>
        <v>10.342105263157896</v>
      </c>
      <c r="AB13" s="16" t="s">
        <v>43</v>
      </c>
      <c r="AC13" s="13">
        <v>5.3207547169811322</v>
      </c>
      <c r="AD13" s="22" t="e">
        <f t="shared" si="6"/>
        <v>#N/A</v>
      </c>
      <c r="AE13" s="22">
        <f t="shared" si="7"/>
        <v>5.3207547169811322</v>
      </c>
    </row>
    <row r="14" spans="1:44" x14ac:dyDescent="0.3">
      <c r="J14" s="16" t="s">
        <v>21</v>
      </c>
      <c r="K14" s="13">
        <v>54</v>
      </c>
      <c r="L14" s="15" t="e">
        <f t="shared" si="0"/>
        <v>#N/A</v>
      </c>
      <c r="M14" s="15">
        <f t="shared" si="1"/>
        <v>54</v>
      </c>
      <c r="P14" s="16" t="s">
        <v>1080</v>
      </c>
      <c r="Q14" s="6">
        <v>624852.57000000007</v>
      </c>
      <c r="R14" s="15" t="e">
        <f t="shared" si="2"/>
        <v>#N/A</v>
      </c>
      <c r="S14" s="17">
        <f t="shared" si="3"/>
        <v>624852.57000000007</v>
      </c>
      <c r="V14" s="16" t="s">
        <v>100</v>
      </c>
      <c r="W14" s="13">
        <v>10.092592592592593</v>
      </c>
      <c r="X14" s="22" t="e">
        <f t="shared" si="4"/>
        <v>#N/A</v>
      </c>
      <c r="Y14" s="22">
        <f t="shared" si="5"/>
        <v>10.092592592592593</v>
      </c>
      <c r="AB14" s="16" t="s">
        <v>12</v>
      </c>
      <c r="AC14" s="13">
        <v>5.1538461538461542</v>
      </c>
      <c r="AD14" s="22" t="e">
        <f t="shared" si="6"/>
        <v>#N/A</v>
      </c>
      <c r="AE14" s="22">
        <f t="shared" si="7"/>
        <v>5.1538461538461542</v>
      </c>
    </row>
    <row r="15" spans="1:44" x14ac:dyDescent="0.3">
      <c r="A15" s="12" t="s">
        <v>1122</v>
      </c>
      <c r="C15" s="3" t="s">
        <v>1138</v>
      </c>
      <c r="D15" s="4">
        <f ca="1">TODAY()</f>
        <v>46220</v>
      </c>
      <c r="J15" s="16" t="s">
        <v>100</v>
      </c>
      <c r="K15" s="13">
        <v>54</v>
      </c>
      <c r="L15" s="15" t="e">
        <f t="shared" si="0"/>
        <v>#N/A</v>
      </c>
      <c r="M15" s="15">
        <f t="shared" si="1"/>
        <v>54</v>
      </c>
      <c r="P15" s="16" t="s">
        <v>104</v>
      </c>
      <c r="Q15" s="6">
        <v>535640.37</v>
      </c>
      <c r="R15" s="15" t="e">
        <f t="shared" si="2"/>
        <v>#N/A</v>
      </c>
      <c r="S15" s="17">
        <f t="shared" si="3"/>
        <v>535640.37</v>
      </c>
      <c r="V15" s="16" t="s">
        <v>29</v>
      </c>
      <c r="W15" s="13">
        <v>10.084745762711865</v>
      </c>
      <c r="X15" s="22" t="e">
        <f t="shared" si="4"/>
        <v>#N/A</v>
      </c>
      <c r="Y15" s="22">
        <f t="shared" si="5"/>
        <v>10.084745762711865</v>
      </c>
      <c r="AB15" s="16" t="s">
        <v>72</v>
      </c>
      <c r="AC15" s="13">
        <v>5.0192307692307692</v>
      </c>
      <c r="AD15" s="22" t="e">
        <f t="shared" si="6"/>
        <v>#N/A</v>
      </c>
      <c r="AE15" s="22">
        <f t="shared" si="7"/>
        <v>5.0192307692307692</v>
      </c>
    </row>
    <row r="16" spans="1:44" x14ac:dyDescent="0.3">
      <c r="J16" s="16" t="s">
        <v>29</v>
      </c>
      <c r="K16" s="13">
        <v>59</v>
      </c>
      <c r="L16" s="15" t="e">
        <f t="shared" si="0"/>
        <v>#N/A</v>
      </c>
      <c r="M16" s="15">
        <f t="shared" si="1"/>
        <v>59</v>
      </c>
      <c r="P16" s="16" t="s">
        <v>12</v>
      </c>
      <c r="Q16" s="6">
        <v>500864.91999999987</v>
      </c>
      <c r="R16" s="15" t="e">
        <f t="shared" si="2"/>
        <v>#N/A</v>
      </c>
      <c r="S16" s="17">
        <f t="shared" si="3"/>
        <v>500864.91999999987</v>
      </c>
      <c r="V16" s="16" t="s">
        <v>43</v>
      </c>
      <c r="W16" s="13">
        <v>9.9056603773584904</v>
      </c>
      <c r="X16" s="22" t="e">
        <f t="shared" si="4"/>
        <v>#N/A</v>
      </c>
      <c r="Y16" s="22">
        <f t="shared" si="5"/>
        <v>9.9056603773584904</v>
      </c>
      <c r="AB16" s="16" t="s">
        <v>104</v>
      </c>
      <c r="AC16" s="13">
        <v>4.7948717948717947</v>
      </c>
      <c r="AD16" s="22" t="e">
        <f t="shared" si="6"/>
        <v>#N/A</v>
      </c>
      <c r="AE16" s="22">
        <f t="shared" si="7"/>
        <v>4.7948717948717947</v>
      </c>
    </row>
    <row r="17" spans="1:42" x14ac:dyDescent="0.3">
      <c r="A17" s="3" t="s">
        <v>1123</v>
      </c>
      <c r="J17" s="16" t="s">
        <v>114</v>
      </c>
      <c r="K17" s="13">
        <v>65</v>
      </c>
      <c r="L17" s="15">
        <f t="shared" si="0"/>
        <v>65</v>
      </c>
      <c r="M17" s="15" t="e">
        <f t="shared" si="1"/>
        <v>#N/A</v>
      </c>
      <c r="P17" s="16" t="s">
        <v>111</v>
      </c>
      <c r="Q17" s="6">
        <v>495751.2</v>
      </c>
      <c r="R17" s="15" t="e">
        <f t="shared" si="2"/>
        <v>#N/A</v>
      </c>
      <c r="S17" s="17">
        <f t="shared" si="3"/>
        <v>495751.2</v>
      </c>
      <c r="V17" s="16" t="s">
        <v>21</v>
      </c>
      <c r="W17" s="13">
        <v>9.7407407407407405</v>
      </c>
      <c r="X17" s="22" t="e">
        <f t="shared" si="4"/>
        <v>#N/A</v>
      </c>
      <c r="Y17" s="22">
        <f t="shared" si="5"/>
        <v>9.7407407407407405</v>
      </c>
      <c r="AB17" s="16" t="s">
        <v>1080</v>
      </c>
      <c r="AC17" s="13">
        <v>4.7446808510638299</v>
      </c>
      <c r="AD17" s="22" t="e">
        <f t="shared" si="6"/>
        <v>#N/A</v>
      </c>
      <c r="AE17" s="22">
        <f t="shared" si="7"/>
        <v>4.7446808510638299</v>
      </c>
    </row>
    <row r="18" spans="1:42" x14ac:dyDescent="0.3">
      <c r="A18" s="13">
        <v>10.714</v>
      </c>
      <c r="J18"/>
      <c r="K18"/>
      <c r="P18"/>
      <c r="Q18"/>
      <c r="V18"/>
      <c r="W18"/>
      <c r="AB18"/>
      <c r="AC18"/>
    </row>
    <row r="21" spans="1:42" x14ac:dyDescent="0.3">
      <c r="A21" s="12" t="s">
        <v>1120</v>
      </c>
    </row>
    <row r="23" spans="1:42" ht="15" thickBot="1" x14ac:dyDescent="0.35">
      <c r="A23" s="3" t="s">
        <v>1101</v>
      </c>
      <c r="J23" s="28" t="s">
        <v>1134</v>
      </c>
      <c r="K23" s="28"/>
      <c r="L23" s="28"/>
      <c r="P23" s="21" t="s">
        <v>1135</v>
      </c>
      <c r="Q23" s="21"/>
      <c r="R23" s="21"/>
      <c r="V23" s="21" t="s">
        <v>1136</v>
      </c>
      <c r="W23" s="21"/>
      <c r="X23" s="21"/>
      <c r="AB23" s="21" t="s">
        <v>1136</v>
      </c>
      <c r="AC23" s="21"/>
      <c r="AD23" s="21"/>
    </row>
    <row r="24" spans="1:42" ht="15" thickBot="1" x14ac:dyDescent="0.35">
      <c r="A24" s="13">
        <v>5.3120000000000003</v>
      </c>
      <c r="J24" s="18" t="s">
        <v>3</v>
      </c>
      <c r="K24" s="18" t="s">
        <v>1132</v>
      </c>
      <c r="L24" s="18" t="s">
        <v>1133</v>
      </c>
      <c r="P24" s="18" t="s">
        <v>3</v>
      </c>
      <c r="Q24" s="18" t="s">
        <v>1132</v>
      </c>
      <c r="R24" s="18" t="s">
        <v>1133</v>
      </c>
      <c r="V24" s="18" t="s">
        <v>3</v>
      </c>
      <c r="W24" s="18" t="s">
        <v>1132</v>
      </c>
      <c r="X24" s="18" t="s">
        <v>1133</v>
      </c>
      <c r="AB24" s="18" t="s">
        <v>3</v>
      </c>
      <c r="AC24" s="18" t="s">
        <v>1132</v>
      </c>
      <c r="AD24" s="18" t="s">
        <v>1133</v>
      </c>
      <c r="AO24" s="25" t="s">
        <v>1104</v>
      </c>
      <c r="AP24" s="25"/>
    </row>
    <row r="25" spans="1:42" ht="15" thickBot="1" x14ac:dyDescent="0.35">
      <c r="J25" s="18" t="str">
        <f t="shared" ref="J25:J34" si="8">J8</f>
        <v>Flu</v>
      </c>
      <c r="K25" s="18" t="e">
        <f t="shared" ref="K25:L34" si="9">L8</f>
        <v>#N/A</v>
      </c>
      <c r="L25" s="19">
        <f t="shared" si="9"/>
        <v>38</v>
      </c>
      <c r="P25" s="18" t="str">
        <f t="shared" ref="P25:P34" si="10">P8</f>
        <v>Asthma</v>
      </c>
      <c r="Q25" s="20">
        <f t="shared" ref="Q25:R34" si="11">R8</f>
        <v>805567.59999999974</v>
      </c>
      <c r="R25" s="20" t="e">
        <f t="shared" si="11"/>
        <v>#N/A</v>
      </c>
      <c r="V25" s="18" t="str">
        <f t="shared" ref="V25:V34" si="12">V8</f>
        <v>Migraine</v>
      </c>
      <c r="W25" s="23">
        <f t="shared" ref="W25:X34" si="13">X8</f>
        <v>12.641025641025641</v>
      </c>
      <c r="X25" s="23" t="e">
        <f t="shared" si="13"/>
        <v>#N/A</v>
      </c>
      <c r="AB25" s="18" t="str">
        <f t="shared" ref="AB25:AB34" si="14">AB8</f>
        <v>Flu</v>
      </c>
      <c r="AC25" s="23">
        <f t="shared" ref="AC25:AD34" si="15">AD8</f>
        <v>6.0526315789473681</v>
      </c>
      <c r="AD25" s="23" t="e">
        <f t="shared" si="15"/>
        <v>#N/A</v>
      </c>
    </row>
    <row r="26" spans="1:42" ht="15" thickBot="1" x14ac:dyDescent="0.35">
      <c r="J26" s="18" t="str">
        <f t="shared" si="8"/>
        <v>Pneumonia</v>
      </c>
      <c r="K26" s="18" t="e">
        <f t="shared" si="9"/>
        <v>#N/A</v>
      </c>
      <c r="L26" s="19">
        <f t="shared" si="9"/>
        <v>39</v>
      </c>
      <c r="P26" s="18" t="str">
        <f t="shared" si="10"/>
        <v>Arthritis</v>
      </c>
      <c r="Q26" s="20" t="e">
        <f t="shared" si="11"/>
        <v>#N/A</v>
      </c>
      <c r="R26" s="20">
        <f t="shared" si="11"/>
        <v>753375.84999999986</v>
      </c>
      <c r="V26" s="18" t="str">
        <f t="shared" si="12"/>
        <v>Pneumonia</v>
      </c>
      <c r="W26" s="23" t="e">
        <f t="shared" si="13"/>
        <v>#N/A</v>
      </c>
      <c r="X26" s="23">
        <f t="shared" si="13"/>
        <v>12.179487179487179</v>
      </c>
      <c r="AB26" s="18" t="str">
        <f t="shared" si="14"/>
        <v>Hypertension</v>
      </c>
      <c r="AC26" s="23" t="e">
        <f t="shared" si="15"/>
        <v>#N/A</v>
      </c>
      <c r="AD26" s="23">
        <f t="shared" si="15"/>
        <v>5.5740740740740744</v>
      </c>
    </row>
    <row r="27" spans="1:42" ht="15" thickBot="1" x14ac:dyDescent="0.35">
      <c r="J27" s="18" t="str">
        <f t="shared" si="8"/>
        <v>Migraine</v>
      </c>
      <c r="K27" s="18" t="e">
        <f t="shared" si="9"/>
        <v>#N/A</v>
      </c>
      <c r="L27" s="19">
        <f t="shared" si="9"/>
        <v>39</v>
      </c>
      <c r="P27" s="18" t="str">
        <f t="shared" si="10"/>
        <v>Diabetes</v>
      </c>
      <c r="Q27" s="20" t="e">
        <f t="shared" si="11"/>
        <v>#N/A</v>
      </c>
      <c r="R27" s="20">
        <f t="shared" si="11"/>
        <v>723380.83</v>
      </c>
      <c r="V27" s="18" t="str">
        <f t="shared" si="12"/>
        <v>Covid-19</v>
      </c>
      <c r="W27" s="23" t="e">
        <f t="shared" si="13"/>
        <v>#N/A</v>
      </c>
      <c r="X27" s="23">
        <f t="shared" si="13"/>
        <v>11.957446808510639</v>
      </c>
      <c r="AB27" s="18" t="str">
        <f t="shared" si="14"/>
        <v>Arthritis</v>
      </c>
      <c r="AC27" s="23" t="e">
        <f t="shared" si="15"/>
        <v>#N/A</v>
      </c>
      <c r="AD27" s="23">
        <f t="shared" si="15"/>
        <v>5.5084745762711869</v>
      </c>
    </row>
    <row r="28" spans="1:42" ht="15" thickBot="1" x14ac:dyDescent="0.35">
      <c r="J28" s="18" t="str">
        <f t="shared" si="8"/>
        <v>Covid-19</v>
      </c>
      <c r="K28" s="18" t="e">
        <f t="shared" si="9"/>
        <v>#N/A</v>
      </c>
      <c r="L28" s="19">
        <f t="shared" si="9"/>
        <v>47</v>
      </c>
      <c r="P28" s="18" t="str">
        <f t="shared" si="10"/>
        <v>Hypertension</v>
      </c>
      <c r="Q28" s="20" t="e">
        <f t="shared" si="11"/>
        <v>#N/A</v>
      </c>
      <c r="R28" s="20">
        <f t="shared" si="11"/>
        <v>688072.11000000045</v>
      </c>
      <c r="V28" s="18" t="str">
        <f t="shared" si="12"/>
        <v>Cancer</v>
      </c>
      <c r="W28" s="23" t="e">
        <f t="shared" si="13"/>
        <v>#N/A</v>
      </c>
      <c r="X28" s="23">
        <f t="shared" si="13"/>
        <v>10.711538461538462</v>
      </c>
      <c r="AB28" s="18" t="str">
        <f t="shared" si="14"/>
        <v>Asthma</v>
      </c>
      <c r="AC28" s="23" t="e">
        <f t="shared" si="15"/>
        <v>#N/A</v>
      </c>
      <c r="AD28" s="23">
        <f t="shared" si="15"/>
        <v>5.4923076923076923</v>
      </c>
    </row>
    <row r="29" spans="1:42" ht="15" thickBot="1" x14ac:dyDescent="0.35">
      <c r="J29" s="18" t="str">
        <f t="shared" si="8"/>
        <v>Cancer</v>
      </c>
      <c r="K29" s="18" t="e">
        <f t="shared" si="9"/>
        <v>#N/A</v>
      </c>
      <c r="L29" s="19">
        <f t="shared" si="9"/>
        <v>52</v>
      </c>
      <c r="P29" s="18" t="str">
        <f t="shared" si="10"/>
        <v>Kidney Disease</v>
      </c>
      <c r="Q29" s="20" t="e">
        <f t="shared" si="11"/>
        <v>#N/A</v>
      </c>
      <c r="R29" s="20">
        <f t="shared" si="11"/>
        <v>679795.18000000017</v>
      </c>
      <c r="V29" s="18" t="str">
        <f t="shared" si="12"/>
        <v>Asthma</v>
      </c>
      <c r="W29" s="23" t="e">
        <f t="shared" si="13"/>
        <v>#N/A</v>
      </c>
      <c r="X29" s="23">
        <f t="shared" si="13"/>
        <v>10.553846153846154</v>
      </c>
      <c r="AB29" s="18" t="str">
        <f t="shared" si="14"/>
        <v>Kidney Disease</v>
      </c>
      <c r="AC29" s="23" t="e">
        <f t="shared" si="15"/>
        <v>#N/A</v>
      </c>
      <c r="AD29" s="23">
        <f t="shared" si="15"/>
        <v>5.3518518518518521</v>
      </c>
    </row>
    <row r="30" spans="1:42" ht="15" thickBot="1" x14ac:dyDescent="0.35">
      <c r="J30" s="18" t="str">
        <f t="shared" si="8"/>
        <v>Diabetes</v>
      </c>
      <c r="K30" s="18" t="e">
        <f t="shared" si="9"/>
        <v>#N/A</v>
      </c>
      <c r="L30" s="19">
        <f t="shared" si="9"/>
        <v>53</v>
      </c>
      <c r="P30" s="18" t="str">
        <f t="shared" si="10"/>
        <v>Cancer</v>
      </c>
      <c r="Q30" s="20" t="e">
        <f t="shared" si="11"/>
        <v>#N/A</v>
      </c>
      <c r="R30" s="20">
        <f t="shared" si="11"/>
        <v>647533.04000000027</v>
      </c>
      <c r="V30" s="18" t="str">
        <f t="shared" si="12"/>
        <v>Flu</v>
      </c>
      <c r="W30" s="23" t="e">
        <f t="shared" si="13"/>
        <v>#N/A</v>
      </c>
      <c r="X30" s="23">
        <f t="shared" si="13"/>
        <v>10.342105263157896</v>
      </c>
      <c r="AB30" s="18" t="str">
        <f t="shared" si="14"/>
        <v>Diabetes</v>
      </c>
      <c r="AC30" s="23" t="e">
        <f t="shared" si="15"/>
        <v>#N/A</v>
      </c>
      <c r="AD30" s="23">
        <f t="shared" si="15"/>
        <v>5.3207547169811322</v>
      </c>
    </row>
    <row r="31" spans="1:42" ht="15" thickBot="1" x14ac:dyDescent="0.35">
      <c r="J31" s="18" t="str">
        <f t="shared" si="8"/>
        <v>Kidney Disease</v>
      </c>
      <c r="K31" s="18" t="e">
        <f t="shared" si="9"/>
        <v>#N/A</v>
      </c>
      <c r="L31" s="19">
        <f t="shared" si="9"/>
        <v>54</v>
      </c>
      <c r="P31" s="18" t="str">
        <f t="shared" si="10"/>
        <v>Covid-19</v>
      </c>
      <c r="Q31" s="20" t="e">
        <f t="shared" si="11"/>
        <v>#N/A</v>
      </c>
      <c r="R31" s="20">
        <f t="shared" si="11"/>
        <v>624852.57000000007</v>
      </c>
      <c r="V31" s="18" t="str">
        <f t="shared" si="12"/>
        <v>Hypertension</v>
      </c>
      <c r="W31" s="23" t="e">
        <f t="shared" si="13"/>
        <v>#N/A</v>
      </c>
      <c r="X31" s="23">
        <f t="shared" si="13"/>
        <v>10.092592592592593</v>
      </c>
      <c r="AB31" s="18" t="str">
        <f t="shared" si="14"/>
        <v>Migraine</v>
      </c>
      <c r="AC31" s="23" t="e">
        <f t="shared" si="15"/>
        <v>#N/A</v>
      </c>
      <c r="AD31" s="23">
        <f t="shared" si="15"/>
        <v>5.1538461538461542</v>
      </c>
    </row>
    <row r="32" spans="1:42" ht="15" thickBot="1" x14ac:dyDescent="0.35">
      <c r="J32" s="18" t="str">
        <f t="shared" si="8"/>
        <v>Hypertension</v>
      </c>
      <c r="K32" s="18" t="e">
        <f t="shared" si="9"/>
        <v>#N/A</v>
      </c>
      <c r="L32" s="19">
        <f t="shared" si="9"/>
        <v>54</v>
      </c>
      <c r="P32" s="18" t="str">
        <f t="shared" si="10"/>
        <v>Pneumonia</v>
      </c>
      <c r="Q32" s="20" t="e">
        <f t="shared" si="11"/>
        <v>#N/A</v>
      </c>
      <c r="R32" s="20">
        <f t="shared" si="11"/>
        <v>535640.37</v>
      </c>
      <c r="V32" s="18" t="str">
        <f t="shared" si="12"/>
        <v>Arthritis</v>
      </c>
      <c r="W32" s="23" t="e">
        <f t="shared" si="13"/>
        <v>#N/A</v>
      </c>
      <c r="X32" s="23">
        <f t="shared" si="13"/>
        <v>10.084745762711865</v>
      </c>
      <c r="AB32" s="18" t="str">
        <f t="shared" si="14"/>
        <v>Cancer</v>
      </c>
      <c r="AC32" s="23" t="e">
        <f t="shared" si="15"/>
        <v>#N/A</v>
      </c>
      <c r="AD32" s="23">
        <f t="shared" si="15"/>
        <v>5.0192307692307692</v>
      </c>
    </row>
    <row r="33" spans="10:44" ht="15" thickBot="1" x14ac:dyDescent="0.35">
      <c r="J33" s="18" t="str">
        <f t="shared" si="8"/>
        <v>Arthritis</v>
      </c>
      <c r="K33" s="18" t="e">
        <f t="shared" si="9"/>
        <v>#N/A</v>
      </c>
      <c r="L33" s="19">
        <f t="shared" si="9"/>
        <v>59</v>
      </c>
      <c r="P33" s="18" t="str">
        <f t="shared" si="10"/>
        <v>Migraine</v>
      </c>
      <c r="Q33" s="20" t="e">
        <f t="shared" si="11"/>
        <v>#N/A</v>
      </c>
      <c r="R33" s="20">
        <f t="shared" si="11"/>
        <v>500864.91999999987</v>
      </c>
      <c r="V33" s="18" t="str">
        <f t="shared" si="12"/>
        <v>Diabetes</v>
      </c>
      <c r="W33" s="23" t="e">
        <f t="shared" si="13"/>
        <v>#N/A</v>
      </c>
      <c r="X33" s="23">
        <f t="shared" si="13"/>
        <v>9.9056603773584904</v>
      </c>
      <c r="AB33" s="18" t="str">
        <f t="shared" si="14"/>
        <v>Pneumonia</v>
      </c>
      <c r="AC33" s="23" t="e">
        <f t="shared" si="15"/>
        <v>#N/A</v>
      </c>
      <c r="AD33" s="23">
        <f t="shared" si="15"/>
        <v>4.7948717948717947</v>
      </c>
    </row>
    <row r="34" spans="10:44" ht="15" thickBot="1" x14ac:dyDescent="0.35">
      <c r="J34" s="18" t="str">
        <f t="shared" si="8"/>
        <v>Asthma</v>
      </c>
      <c r="K34" s="18">
        <f t="shared" si="9"/>
        <v>65</v>
      </c>
      <c r="L34" s="19" t="e">
        <f t="shared" si="9"/>
        <v>#N/A</v>
      </c>
      <c r="P34" s="18" t="str">
        <f t="shared" si="10"/>
        <v>Flu</v>
      </c>
      <c r="Q34" s="20" t="e">
        <f t="shared" si="11"/>
        <v>#N/A</v>
      </c>
      <c r="R34" s="20">
        <f t="shared" si="11"/>
        <v>495751.2</v>
      </c>
      <c r="V34" s="18" t="str">
        <f t="shared" si="12"/>
        <v>Kidney Disease</v>
      </c>
      <c r="W34" s="23" t="e">
        <f t="shared" si="13"/>
        <v>#N/A</v>
      </c>
      <c r="X34" s="23">
        <f t="shared" si="13"/>
        <v>9.7407407407407405</v>
      </c>
      <c r="AB34" s="18" t="str">
        <f t="shared" si="14"/>
        <v>Covid-19</v>
      </c>
      <c r="AC34" s="23" t="e">
        <f t="shared" si="15"/>
        <v>#N/A</v>
      </c>
      <c r="AD34" s="23">
        <f t="shared" si="15"/>
        <v>4.7446808510638299</v>
      </c>
    </row>
    <row r="44" spans="10:44" x14ac:dyDescent="0.3">
      <c r="L44"/>
    </row>
    <row r="45" spans="10:44" x14ac:dyDescent="0.3">
      <c r="L45"/>
      <c r="AO45" s="26" t="s">
        <v>1105</v>
      </c>
      <c r="AP45" s="26"/>
      <c r="AQ45" s="26"/>
      <c r="AR45" s="26"/>
    </row>
    <row r="46" spans="10:44" x14ac:dyDescent="0.3">
      <c r="L46"/>
    </row>
    <row r="47" spans="10:44" x14ac:dyDescent="0.3">
      <c r="L47"/>
    </row>
    <row r="48" spans="10:44" x14ac:dyDescent="0.3">
      <c r="L48"/>
    </row>
    <row r="49" spans="12:25" x14ac:dyDescent="0.3">
      <c r="L49"/>
    </row>
    <row r="64" spans="12:25" x14ac:dyDescent="0.3">
      <c r="L64"/>
      <c r="M64"/>
      <c r="N64"/>
      <c r="O64"/>
      <c r="P64"/>
      <c r="Q64"/>
      <c r="R64"/>
      <c r="S64"/>
      <c r="T64"/>
      <c r="U64"/>
      <c r="V64"/>
      <c r="W64"/>
      <c r="X64"/>
      <c r="Y64"/>
    </row>
    <row r="65" spans="12:44" x14ac:dyDescent="0.3">
      <c r="L65"/>
      <c r="M65"/>
      <c r="N65"/>
      <c r="O65"/>
      <c r="P65"/>
      <c r="Q65"/>
      <c r="R65"/>
      <c r="S65"/>
      <c r="T65"/>
      <c r="U65"/>
      <c r="V65"/>
      <c r="W65"/>
      <c r="X65"/>
      <c r="Y65"/>
    </row>
    <row r="66" spans="12:44" x14ac:dyDescent="0.3">
      <c r="L66"/>
      <c r="M66"/>
      <c r="N66"/>
      <c r="O66"/>
      <c r="P66"/>
      <c r="Q66"/>
      <c r="R66"/>
      <c r="S66"/>
      <c r="T66"/>
      <c r="U66"/>
      <c r="V66"/>
      <c r="W66"/>
      <c r="X66"/>
      <c r="Y66"/>
    </row>
    <row r="67" spans="12:44" x14ac:dyDescent="0.3">
      <c r="L67"/>
      <c r="M67"/>
      <c r="N67"/>
      <c r="O67"/>
      <c r="P67"/>
      <c r="Q67"/>
      <c r="R67"/>
      <c r="S67"/>
      <c r="T67"/>
      <c r="U67"/>
      <c r="V67"/>
      <c r="W67"/>
      <c r="X67"/>
      <c r="Y67"/>
      <c r="AO67" s="26" t="s">
        <v>1106</v>
      </c>
      <c r="AP67" s="26"/>
      <c r="AQ67" s="26"/>
      <c r="AR67" s="26"/>
    </row>
    <row r="68" spans="12:44" x14ac:dyDescent="0.3">
      <c r="L68"/>
    </row>
    <row r="69" spans="12:44" x14ac:dyDescent="0.3">
      <c r="L69"/>
    </row>
    <row r="70" spans="12:44" x14ac:dyDescent="0.3">
      <c r="L70"/>
    </row>
    <row r="71" spans="12:44" x14ac:dyDescent="0.3">
      <c r="L71"/>
    </row>
    <row r="72" spans="12:44" x14ac:dyDescent="0.3">
      <c r="L72"/>
    </row>
    <row r="73" spans="12:44" x14ac:dyDescent="0.3">
      <c r="L73"/>
    </row>
    <row r="74" spans="12:44" x14ac:dyDescent="0.3">
      <c r="L74"/>
    </row>
    <row r="75" spans="12:44" x14ac:dyDescent="0.3">
      <c r="L75"/>
    </row>
    <row r="85" spans="4:7" x14ac:dyDescent="0.3">
      <c r="D85"/>
      <c r="E85"/>
      <c r="F85"/>
      <c r="G85"/>
    </row>
    <row r="86" spans="4:7" x14ac:dyDescent="0.3">
      <c r="D86"/>
      <c r="E86"/>
      <c r="F86"/>
      <c r="G86"/>
    </row>
    <row r="87" spans="4:7" x14ac:dyDescent="0.3">
      <c r="D87"/>
      <c r="E87"/>
      <c r="F87"/>
      <c r="G87"/>
    </row>
    <row r="88" spans="4:7" x14ac:dyDescent="0.3">
      <c r="D88"/>
      <c r="E88"/>
      <c r="F88"/>
      <c r="G88"/>
    </row>
    <row r="89" spans="4:7" x14ac:dyDescent="0.3">
      <c r="D89"/>
      <c r="E89"/>
      <c r="F89"/>
      <c r="G89"/>
    </row>
    <row r="90" spans="4:7" x14ac:dyDescent="0.3">
      <c r="D90"/>
      <c r="E90"/>
      <c r="F90"/>
      <c r="G90"/>
    </row>
    <row r="91" spans="4:7" x14ac:dyDescent="0.3">
      <c r="D91"/>
      <c r="E91"/>
    </row>
    <row r="92" spans="4:7" x14ac:dyDescent="0.3">
      <c r="D92"/>
      <c r="E92"/>
    </row>
    <row r="122" spans="4:9" x14ac:dyDescent="0.3">
      <c r="D122"/>
      <c r="E122"/>
      <c r="F122"/>
      <c r="G122"/>
      <c r="H122"/>
      <c r="I122"/>
    </row>
    <row r="123" spans="4:9" x14ac:dyDescent="0.3">
      <c r="D123"/>
      <c r="E123"/>
      <c r="F123"/>
      <c r="G123"/>
      <c r="H123"/>
      <c r="I123"/>
    </row>
    <row r="124" spans="4:9" x14ac:dyDescent="0.3">
      <c r="D124"/>
      <c r="E124"/>
      <c r="F124"/>
      <c r="G124"/>
      <c r="H124"/>
      <c r="I124"/>
    </row>
    <row r="125" spans="4:9" x14ac:dyDescent="0.3">
      <c r="D125"/>
      <c r="E125"/>
      <c r="F125"/>
      <c r="G125"/>
      <c r="H125"/>
      <c r="I125"/>
    </row>
    <row r="126" spans="4:9" x14ac:dyDescent="0.3">
      <c r="D126"/>
      <c r="E126"/>
      <c r="F126"/>
      <c r="G126"/>
      <c r="H126"/>
      <c r="I126"/>
    </row>
    <row r="127" spans="4:9" x14ac:dyDescent="0.3">
      <c r="D127"/>
      <c r="E127"/>
      <c r="F127"/>
      <c r="G127"/>
      <c r="H127"/>
      <c r="I127"/>
    </row>
    <row r="128" spans="4:9" x14ac:dyDescent="0.3">
      <c r="D128"/>
      <c r="E128"/>
      <c r="F128"/>
      <c r="G128"/>
      <c r="H128"/>
      <c r="I128"/>
    </row>
    <row r="129" spans="4:9" x14ac:dyDescent="0.3">
      <c r="D129"/>
      <c r="E129"/>
      <c r="F129"/>
      <c r="G129"/>
      <c r="H129"/>
      <c r="I129"/>
    </row>
    <row r="130" spans="4:9" x14ac:dyDescent="0.3">
      <c r="D130"/>
      <c r="E130"/>
      <c r="F130"/>
      <c r="G130"/>
      <c r="H130"/>
      <c r="I130"/>
    </row>
    <row r="131" spans="4:9" x14ac:dyDescent="0.3">
      <c r="D131"/>
      <c r="E131"/>
    </row>
    <row r="132" spans="4:9" x14ac:dyDescent="0.3">
      <c r="D132"/>
      <c r="E132"/>
    </row>
    <row r="133" spans="4:9" x14ac:dyDescent="0.3">
      <c r="D133"/>
      <c r="E133"/>
    </row>
    <row r="134" spans="4:9" x14ac:dyDescent="0.3">
      <c r="D134"/>
      <c r="E134"/>
    </row>
    <row r="135" spans="4:9" x14ac:dyDescent="0.3">
      <c r="D135"/>
      <c r="E135"/>
    </row>
    <row r="136" spans="4:9" x14ac:dyDescent="0.3">
      <c r="D136"/>
      <c r="E136"/>
    </row>
    <row r="137" spans="4:9" x14ac:dyDescent="0.3">
      <c r="D137"/>
      <c r="E137"/>
    </row>
    <row r="138" spans="4:9" x14ac:dyDescent="0.3">
      <c r="D138"/>
      <c r="E138"/>
    </row>
    <row r="139" spans="4:9" x14ac:dyDescent="0.3">
      <c r="D139"/>
      <c r="E139"/>
    </row>
    <row r="140" spans="4:9" x14ac:dyDescent="0.3">
      <c r="D140"/>
      <c r="E140"/>
    </row>
    <row r="141" spans="4:9" x14ac:dyDescent="0.3">
      <c r="D141"/>
      <c r="E141"/>
    </row>
    <row r="142" spans="4:9" x14ac:dyDescent="0.3">
      <c r="D142"/>
      <c r="E142"/>
    </row>
    <row r="143" spans="4:9" x14ac:dyDescent="0.3">
      <c r="D143"/>
      <c r="E143"/>
    </row>
    <row r="144" spans="4:9" x14ac:dyDescent="0.3">
      <c r="D144"/>
      <c r="E144"/>
    </row>
    <row r="145" spans="4:5" x14ac:dyDescent="0.3">
      <c r="D145"/>
      <c r="E145"/>
    </row>
    <row r="146" spans="4:5" x14ac:dyDescent="0.3">
      <c r="D146"/>
      <c r="E146"/>
    </row>
    <row r="147" spans="4:5" x14ac:dyDescent="0.3">
      <c r="D147"/>
      <c r="E147"/>
    </row>
    <row r="148" spans="4:5" x14ac:dyDescent="0.3">
      <c r="D148"/>
      <c r="E148"/>
    </row>
    <row r="149" spans="4:5" x14ac:dyDescent="0.3">
      <c r="D149"/>
      <c r="E149"/>
    </row>
    <row r="150" spans="4:5" x14ac:dyDescent="0.3">
      <c r="D150"/>
      <c r="E150"/>
    </row>
    <row r="151" spans="4:5" x14ac:dyDescent="0.3">
      <c r="D151"/>
      <c r="E151"/>
    </row>
    <row r="152" spans="4:5" x14ac:dyDescent="0.3">
      <c r="D152"/>
      <c r="E152"/>
    </row>
    <row r="153" spans="4:5" x14ac:dyDescent="0.3">
      <c r="D153"/>
      <c r="E153"/>
    </row>
    <row r="154" spans="4:5" x14ac:dyDescent="0.3">
      <c r="D154"/>
      <c r="E154"/>
    </row>
    <row r="155" spans="4:5" x14ac:dyDescent="0.3">
      <c r="D155"/>
      <c r="E155"/>
    </row>
    <row r="156" spans="4:5" x14ac:dyDescent="0.3">
      <c r="D156"/>
      <c r="E156"/>
    </row>
    <row r="157" spans="4:5" x14ac:dyDescent="0.3">
      <c r="D157"/>
      <c r="E157"/>
    </row>
    <row r="158" spans="4:5" x14ac:dyDescent="0.3">
      <c r="D158"/>
      <c r="E158"/>
    </row>
    <row r="159" spans="4:5" x14ac:dyDescent="0.3">
      <c r="D159"/>
      <c r="E159"/>
    </row>
    <row r="160" spans="4:5" x14ac:dyDescent="0.3">
      <c r="D160"/>
      <c r="E160"/>
    </row>
    <row r="161" spans="4:5" x14ac:dyDescent="0.3">
      <c r="D161"/>
      <c r="E161"/>
    </row>
    <row r="162" spans="4:5" x14ac:dyDescent="0.3">
      <c r="D162"/>
      <c r="E162"/>
    </row>
    <row r="163" spans="4:5" x14ac:dyDescent="0.3">
      <c r="D163"/>
      <c r="E163"/>
    </row>
    <row r="164" spans="4:5" x14ac:dyDescent="0.3">
      <c r="D164"/>
      <c r="E164"/>
    </row>
    <row r="165" spans="4:5" x14ac:dyDescent="0.3">
      <c r="D165"/>
      <c r="E165"/>
    </row>
    <row r="166" spans="4:5" x14ac:dyDescent="0.3">
      <c r="D166"/>
      <c r="E166"/>
    </row>
    <row r="167" spans="4:5" x14ac:dyDescent="0.3">
      <c r="D167"/>
      <c r="E167"/>
    </row>
    <row r="168" spans="4:5" x14ac:dyDescent="0.3">
      <c r="D168"/>
      <c r="E168"/>
    </row>
    <row r="169" spans="4:5" x14ac:dyDescent="0.3">
      <c r="D169"/>
      <c r="E169"/>
    </row>
    <row r="170" spans="4:5" x14ac:dyDescent="0.3">
      <c r="D170"/>
      <c r="E170"/>
    </row>
    <row r="171" spans="4:5" x14ac:dyDescent="0.3">
      <c r="D171"/>
      <c r="E171"/>
    </row>
    <row r="172" spans="4:5" x14ac:dyDescent="0.3">
      <c r="D172"/>
      <c r="E172"/>
    </row>
    <row r="173" spans="4:5" x14ac:dyDescent="0.3">
      <c r="D173"/>
      <c r="E173"/>
    </row>
    <row r="174" spans="4:5" x14ac:dyDescent="0.3">
      <c r="D174"/>
      <c r="E174"/>
    </row>
    <row r="175" spans="4:5" x14ac:dyDescent="0.3">
      <c r="D175"/>
      <c r="E175"/>
    </row>
    <row r="176" spans="4:5" x14ac:dyDescent="0.3">
      <c r="D176"/>
      <c r="E176"/>
    </row>
    <row r="177" spans="4:5" x14ac:dyDescent="0.3">
      <c r="D177"/>
      <c r="E177"/>
    </row>
    <row r="178" spans="4:5" x14ac:dyDescent="0.3">
      <c r="D178"/>
      <c r="E178"/>
    </row>
    <row r="179" spans="4:5" x14ac:dyDescent="0.3">
      <c r="D179"/>
      <c r="E179"/>
    </row>
    <row r="180" spans="4:5" x14ac:dyDescent="0.3">
      <c r="D180"/>
      <c r="E180"/>
    </row>
    <row r="181" spans="4:5" x14ac:dyDescent="0.3">
      <c r="D181"/>
      <c r="E181"/>
    </row>
    <row r="182" spans="4:5" x14ac:dyDescent="0.3">
      <c r="D182"/>
      <c r="E182"/>
    </row>
    <row r="183" spans="4:5" x14ac:dyDescent="0.3">
      <c r="D183"/>
      <c r="E183"/>
    </row>
    <row r="184" spans="4:5" x14ac:dyDescent="0.3">
      <c r="D184"/>
      <c r="E184"/>
    </row>
    <row r="185" spans="4:5" x14ac:dyDescent="0.3">
      <c r="D185"/>
      <c r="E185"/>
    </row>
    <row r="186" spans="4:5" x14ac:dyDescent="0.3">
      <c r="D186"/>
      <c r="E186"/>
    </row>
    <row r="187" spans="4:5" x14ac:dyDescent="0.3">
      <c r="D187"/>
      <c r="E187"/>
    </row>
    <row r="188" spans="4:5" x14ac:dyDescent="0.3">
      <c r="D188"/>
      <c r="E188"/>
    </row>
    <row r="189" spans="4:5" x14ac:dyDescent="0.3">
      <c r="D189"/>
      <c r="E189"/>
    </row>
    <row r="190" spans="4:5" x14ac:dyDescent="0.3">
      <c r="D190"/>
      <c r="E190"/>
    </row>
    <row r="191" spans="4:5" x14ac:dyDescent="0.3">
      <c r="D191"/>
      <c r="E191"/>
    </row>
    <row r="192" spans="4:5" x14ac:dyDescent="0.3">
      <c r="D192"/>
      <c r="E192"/>
    </row>
    <row r="193" spans="4:5" x14ac:dyDescent="0.3">
      <c r="D193"/>
      <c r="E193"/>
    </row>
    <row r="194" spans="4:5" x14ac:dyDescent="0.3">
      <c r="D194"/>
      <c r="E194"/>
    </row>
    <row r="195" spans="4:5" x14ac:dyDescent="0.3">
      <c r="D195"/>
      <c r="E195"/>
    </row>
    <row r="196" spans="4:5" x14ac:dyDescent="0.3">
      <c r="D196"/>
      <c r="E196"/>
    </row>
    <row r="197" spans="4:5" x14ac:dyDescent="0.3">
      <c r="D197"/>
      <c r="E197"/>
    </row>
    <row r="198" spans="4:5" x14ac:dyDescent="0.3">
      <c r="D198"/>
      <c r="E198"/>
    </row>
    <row r="199" spans="4:5" x14ac:dyDescent="0.3">
      <c r="D199"/>
      <c r="E199"/>
    </row>
    <row r="200" spans="4:5" x14ac:dyDescent="0.3">
      <c r="D200"/>
      <c r="E200"/>
    </row>
    <row r="201" spans="4:5" x14ac:dyDescent="0.3">
      <c r="D201"/>
      <c r="E201"/>
    </row>
    <row r="202" spans="4:5" x14ac:dyDescent="0.3">
      <c r="D202"/>
      <c r="E202"/>
    </row>
    <row r="203" spans="4:5" x14ac:dyDescent="0.3">
      <c r="D203"/>
      <c r="E203"/>
    </row>
    <row r="204" spans="4:5" x14ac:dyDescent="0.3">
      <c r="D204"/>
      <c r="E204"/>
    </row>
    <row r="205" spans="4:5" x14ac:dyDescent="0.3">
      <c r="D205"/>
      <c r="E205"/>
    </row>
    <row r="206" spans="4:5" x14ac:dyDescent="0.3">
      <c r="D206"/>
      <c r="E206"/>
    </row>
    <row r="207" spans="4:5" x14ac:dyDescent="0.3">
      <c r="D207"/>
      <c r="E207"/>
    </row>
    <row r="208" spans="4:5" x14ac:dyDescent="0.3">
      <c r="D208"/>
      <c r="E208"/>
    </row>
    <row r="209" spans="4:5" x14ac:dyDescent="0.3">
      <c r="D209"/>
      <c r="E209"/>
    </row>
    <row r="210" spans="4:5" x14ac:dyDescent="0.3">
      <c r="D210"/>
      <c r="E210"/>
    </row>
    <row r="211" spans="4:5" x14ac:dyDescent="0.3">
      <c r="D211"/>
      <c r="E211"/>
    </row>
    <row r="212" spans="4:5" x14ac:dyDescent="0.3">
      <c r="D212"/>
      <c r="E212"/>
    </row>
    <row r="213" spans="4:5" x14ac:dyDescent="0.3">
      <c r="D213"/>
      <c r="E213"/>
    </row>
    <row r="214" spans="4:5" x14ac:dyDescent="0.3">
      <c r="D214"/>
      <c r="E214"/>
    </row>
    <row r="215" spans="4:5" x14ac:dyDescent="0.3">
      <c r="D215"/>
      <c r="E215"/>
    </row>
    <row r="216" spans="4:5" x14ac:dyDescent="0.3">
      <c r="D216"/>
      <c r="E216"/>
    </row>
    <row r="217" spans="4:5" x14ac:dyDescent="0.3">
      <c r="D217"/>
      <c r="E217"/>
    </row>
    <row r="218" spans="4:5" x14ac:dyDescent="0.3">
      <c r="D218"/>
      <c r="E218"/>
    </row>
    <row r="219" spans="4:5" x14ac:dyDescent="0.3">
      <c r="D219"/>
      <c r="E219"/>
    </row>
    <row r="220" spans="4:5" x14ac:dyDescent="0.3">
      <c r="D220"/>
      <c r="E220"/>
    </row>
    <row r="221" spans="4:5" x14ac:dyDescent="0.3">
      <c r="D221"/>
      <c r="E221"/>
    </row>
    <row r="222" spans="4:5" x14ac:dyDescent="0.3">
      <c r="D222"/>
      <c r="E222"/>
    </row>
    <row r="223" spans="4:5" x14ac:dyDescent="0.3">
      <c r="D223"/>
      <c r="E223"/>
    </row>
    <row r="224" spans="4:5" x14ac:dyDescent="0.3">
      <c r="D224"/>
      <c r="E224"/>
    </row>
    <row r="225" spans="4:5" x14ac:dyDescent="0.3">
      <c r="D225"/>
      <c r="E225"/>
    </row>
    <row r="226" spans="4:5" x14ac:dyDescent="0.3">
      <c r="D226"/>
      <c r="E226"/>
    </row>
    <row r="227" spans="4:5" x14ac:dyDescent="0.3">
      <c r="D227"/>
      <c r="E227"/>
    </row>
    <row r="228" spans="4:5" x14ac:dyDescent="0.3">
      <c r="D228"/>
      <c r="E228"/>
    </row>
    <row r="229" spans="4:5" x14ac:dyDescent="0.3">
      <c r="D229"/>
      <c r="E229"/>
    </row>
    <row r="230" spans="4:5" x14ac:dyDescent="0.3">
      <c r="D230"/>
      <c r="E230"/>
    </row>
    <row r="231" spans="4:5" x14ac:dyDescent="0.3">
      <c r="D231"/>
      <c r="E231"/>
    </row>
    <row r="232" spans="4:5" x14ac:dyDescent="0.3">
      <c r="D232"/>
      <c r="E232"/>
    </row>
    <row r="233" spans="4:5" x14ac:dyDescent="0.3">
      <c r="D233"/>
      <c r="E233"/>
    </row>
    <row r="234" spans="4:5" x14ac:dyDescent="0.3">
      <c r="D234"/>
      <c r="E234"/>
    </row>
    <row r="235" spans="4:5" x14ac:dyDescent="0.3">
      <c r="D235"/>
      <c r="E235"/>
    </row>
    <row r="236" spans="4:5" x14ac:dyDescent="0.3">
      <c r="D236"/>
      <c r="E236"/>
    </row>
    <row r="237" spans="4:5" x14ac:dyDescent="0.3">
      <c r="D237"/>
      <c r="E237"/>
    </row>
    <row r="238" spans="4:5" x14ac:dyDescent="0.3">
      <c r="D238"/>
      <c r="E238"/>
    </row>
    <row r="239" spans="4:5" x14ac:dyDescent="0.3">
      <c r="D239"/>
      <c r="E239"/>
    </row>
    <row r="240" spans="4:5" x14ac:dyDescent="0.3">
      <c r="D240"/>
      <c r="E240"/>
    </row>
    <row r="241" spans="4:5" x14ac:dyDescent="0.3">
      <c r="D241"/>
      <c r="E241"/>
    </row>
    <row r="242" spans="4:5" x14ac:dyDescent="0.3">
      <c r="D242"/>
      <c r="E242"/>
    </row>
    <row r="243" spans="4:5" x14ac:dyDescent="0.3">
      <c r="D243"/>
      <c r="E243"/>
    </row>
    <row r="244" spans="4:5" x14ac:dyDescent="0.3">
      <c r="D244"/>
      <c r="E244"/>
    </row>
    <row r="245" spans="4:5" x14ac:dyDescent="0.3">
      <c r="D245"/>
      <c r="E245"/>
    </row>
    <row r="246" spans="4:5" x14ac:dyDescent="0.3">
      <c r="D246"/>
      <c r="E246"/>
    </row>
    <row r="247" spans="4:5" x14ac:dyDescent="0.3">
      <c r="D247"/>
      <c r="E247"/>
    </row>
    <row r="248" spans="4:5" x14ac:dyDescent="0.3">
      <c r="D248"/>
      <c r="E248"/>
    </row>
    <row r="249" spans="4:5" x14ac:dyDescent="0.3">
      <c r="D249"/>
      <c r="E249"/>
    </row>
    <row r="250" spans="4:5" x14ac:dyDescent="0.3">
      <c r="D250"/>
      <c r="E250"/>
    </row>
    <row r="251" spans="4:5" x14ac:dyDescent="0.3">
      <c r="D251"/>
      <c r="E251"/>
    </row>
    <row r="252" spans="4:5" x14ac:dyDescent="0.3">
      <c r="D252"/>
      <c r="E252"/>
    </row>
    <row r="253" spans="4:5" x14ac:dyDescent="0.3">
      <c r="D253"/>
      <c r="E253"/>
    </row>
    <row r="254" spans="4:5" x14ac:dyDescent="0.3">
      <c r="D254"/>
      <c r="E254"/>
    </row>
    <row r="255" spans="4:5" x14ac:dyDescent="0.3">
      <c r="D255"/>
      <c r="E255"/>
    </row>
    <row r="256" spans="4:5" x14ac:dyDescent="0.3">
      <c r="D256"/>
      <c r="E256"/>
    </row>
    <row r="257" spans="4:5" x14ac:dyDescent="0.3">
      <c r="D257"/>
      <c r="E257"/>
    </row>
    <row r="258" spans="4:5" x14ac:dyDescent="0.3">
      <c r="D258"/>
      <c r="E258"/>
    </row>
    <row r="259" spans="4:5" x14ac:dyDescent="0.3">
      <c r="D259"/>
      <c r="E259"/>
    </row>
    <row r="260" spans="4:5" x14ac:dyDescent="0.3">
      <c r="D260"/>
      <c r="E260"/>
    </row>
    <row r="261" spans="4:5" x14ac:dyDescent="0.3">
      <c r="D261"/>
      <c r="E261"/>
    </row>
    <row r="262" spans="4:5" x14ac:dyDescent="0.3">
      <c r="D262"/>
      <c r="E262"/>
    </row>
    <row r="263" spans="4:5" x14ac:dyDescent="0.3">
      <c r="D263"/>
      <c r="E263"/>
    </row>
    <row r="264" spans="4:5" x14ac:dyDescent="0.3">
      <c r="D264"/>
      <c r="E264"/>
    </row>
    <row r="265" spans="4:5" x14ac:dyDescent="0.3">
      <c r="D265"/>
      <c r="E265"/>
    </row>
    <row r="266" spans="4:5" x14ac:dyDescent="0.3">
      <c r="D266"/>
      <c r="E266"/>
    </row>
    <row r="267" spans="4:5" x14ac:dyDescent="0.3">
      <c r="D267"/>
      <c r="E267"/>
    </row>
    <row r="268" spans="4:5" x14ac:dyDescent="0.3">
      <c r="D268"/>
      <c r="E268"/>
    </row>
    <row r="269" spans="4:5" x14ac:dyDescent="0.3">
      <c r="D269"/>
      <c r="E269"/>
    </row>
    <row r="270" spans="4:5" x14ac:dyDescent="0.3">
      <c r="D270"/>
      <c r="E270"/>
    </row>
    <row r="271" spans="4:5" x14ac:dyDescent="0.3">
      <c r="D271"/>
      <c r="E271"/>
    </row>
    <row r="272" spans="4:5" x14ac:dyDescent="0.3">
      <c r="D272"/>
      <c r="E272"/>
    </row>
    <row r="273" spans="4:5" x14ac:dyDescent="0.3">
      <c r="D273"/>
      <c r="E273"/>
    </row>
    <row r="274" spans="4:5" x14ac:dyDescent="0.3">
      <c r="D274"/>
      <c r="E274"/>
    </row>
    <row r="275" spans="4:5" x14ac:dyDescent="0.3">
      <c r="D275"/>
      <c r="E275"/>
    </row>
    <row r="276" spans="4:5" x14ac:dyDescent="0.3">
      <c r="D276"/>
      <c r="E276"/>
    </row>
    <row r="277" spans="4:5" x14ac:dyDescent="0.3">
      <c r="D277"/>
      <c r="E277"/>
    </row>
    <row r="278" spans="4:5" x14ac:dyDescent="0.3">
      <c r="D278"/>
      <c r="E278"/>
    </row>
    <row r="279" spans="4:5" x14ac:dyDescent="0.3">
      <c r="D279"/>
      <c r="E279"/>
    </row>
    <row r="280" spans="4:5" x14ac:dyDescent="0.3">
      <c r="D280"/>
      <c r="E280"/>
    </row>
    <row r="281" spans="4:5" x14ac:dyDescent="0.3">
      <c r="D281"/>
      <c r="E281"/>
    </row>
    <row r="282" spans="4:5" x14ac:dyDescent="0.3">
      <c r="D282"/>
      <c r="E282"/>
    </row>
    <row r="283" spans="4:5" x14ac:dyDescent="0.3">
      <c r="D283"/>
      <c r="E283"/>
    </row>
    <row r="284" spans="4:5" x14ac:dyDescent="0.3">
      <c r="D284"/>
      <c r="E284"/>
    </row>
    <row r="285" spans="4:5" x14ac:dyDescent="0.3">
      <c r="D285"/>
      <c r="E285"/>
    </row>
    <row r="286" spans="4:5" x14ac:dyDescent="0.3">
      <c r="D286"/>
      <c r="E286"/>
    </row>
    <row r="287" spans="4:5" x14ac:dyDescent="0.3">
      <c r="D287"/>
      <c r="E287"/>
    </row>
    <row r="288" spans="4:5" x14ac:dyDescent="0.3">
      <c r="D288"/>
      <c r="E288"/>
    </row>
    <row r="289" spans="4:5" x14ac:dyDescent="0.3">
      <c r="D289"/>
      <c r="E289"/>
    </row>
    <row r="290" spans="4:5" x14ac:dyDescent="0.3">
      <c r="D290"/>
      <c r="E290"/>
    </row>
    <row r="291" spans="4:5" x14ac:dyDescent="0.3">
      <c r="D291"/>
      <c r="E291"/>
    </row>
    <row r="292" spans="4:5" x14ac:dyDescent="0.3">
      <c r="D292"/>
      <c r="E292"/>
    </row>
    <row r="293" spans="4:5" x14ac:dyDescent="0.3">
      <c r="D293"/>
      <c r="E293"/>
    </row>
    <row r="294" spans="4:5" x14ac:dyDescent="0.3">
      <c r="D294"/>
      <c r="E294"/>
    </row>
    <row r="295" spans="4:5" x14ac:dyDescent="0.3">
      <c r="D295"/>
      <c r="E295"/>
    </row>
    <row r="296" spans="4:5" x14ac:dyDescent="0.3">
      <c r="D296"/>
      <c r="E296"/>
    </row>
    <row r="297" spans="4:5" x14ac:dyDescent="0.3">
      <c r="D297"/>
      <c r="E297"/>
    </row>
    <row r="298" spans="4:5" x14ac:dyDescent="0.3">
      <c r="D298"/>
      <c r="E298"/>
    </row>
    <row r="299" spans="4:5" x14ac:dyDescent="0.3">
      <c r="D299"/>
      <c r="E299"/>
    </row>
    <row r="300" spans="4:5" x14ac:dyDescent="0.3">
      <c r="D300"/>
      <c r="E300"/>
    </row>
    <row r="301" spans="4:5" x14ac:dyDescent="0.3">
      <c r="D301"/>
      <c r="E301"/>
    </row>
    <row r="302" spans="4:5" x14ac:dyDescent="0.3">
      <c r="D302"/>
      <c r="E302"/>
    </row>
    <row r="303" spans="4:5" x14ac:dyDescent="0.3">
      <c r="D303"/>
      <c r="E303"/>
    </row>
    <row r="304" spans="4:5" x14ac:dyDescent="0.3">
      <c r="D304"/>
      <c r="E304"/>
    </row>
    <row r="305" spans="4:5" x14ac:dyDescent="0.3">
      <c r="D305"/>
      <c r="E305"/>
    </row>
    <row r="306" spans="4:5" x14ac:dyDescent="0.3">
      <c r="D306"/>
      <c r="E306"/>
    </row>
    <row r="307" spans="4:5" x14ac:dyDescent="0.3">
      <c r="D307"/>
      <c r="E307"/>
    </row>
    <row r="308" spans="4:5" x14ac:dyDescent="0.3">
      <c r="D308"/>
      <c r="E308"/>
    </row>
    <row r="309" spans="4:5" x14ac:dyDescent="0.3">
      <c r="D309"/>
      <c r="E309"/>
    </row>
    <row r="310" spans="4:5" x14ac:dyDescent="0.3">
      <c r="D310"/>
      <c r="E310"/>
    </row>
    <row r="311" spans="4:5" x14ac:dyDescent="0.3">
      <c r="D311"/>
      <c r="E311"/>
    </row>
    <row r="312" spans="4:5" x14ac:dyDescent="0.3">
      <c r="D312"/>
      <c r="E312"/>
    </row>
    <row r="313" spans="4:5" x14ac:dyDescent="0.3">
      <c r="D313"/>
      <c r="E313"/>
    </row>
    <row r="314" spans="4:5" x14ac:dyDescent="0.3">
      <c r="D314"/>
      <c r="E314"/>
    </row>
    <row r="315" spans="4:5" x14ac:dyDescent="0.3">
      <c r="D315"/>
      <c r="E315"/>
    </row>
    <row r="316" spans="4:5" x14ac:dyDescent="0.3">
      <c r="D316"/>
      <c r="E316"/>
    </row>
    <row r="317" spans="4:5" x14ac:dyDescent="0.3">
      <c r="D317"/>
      <c r="E317"/>
    </row>
    <row r="318" spans="4:5" x14ac:dyDescent="0.3">
      <c r="D318"/>
      <c r="E318"/>
    </row>
    <row r="319" spans="4:5" x14ac:dyDescent="0.3">
      <c r="D319"/>
      <c r="E319"/>
    </row>
    <row r="320" spans="4:5" x14ac:dyDescent="0.3">
      <c r="D320"/>
      <c r="E320"/>
    </row>
    <row r="321" spans="4:5" x14ac:dyDescent="0.3">
      <c r="D321"/>
      <c r="E321"/>
    </row>
    <row r="322" spans="4:5" x14ac:dyDescent="0.3">
      <c r="D322"/>
      <c r="E322"/>
    </row>
    <row r="323" spans="4:5" x14ac:dyDescent="0.3">
      <c r="D323"/>
      <c r="E323"/>
    </row>
    <row r="324" spans="4:5" x14ac:dyDescent="0.3">
      <c r="D324"/>
      <c r="E324"/>
    </row>
    <row r="325" spans="4:5" x14ac:dyDescent="0.3">
      <c r="D325"/>
      <c r="E325"/>
    </row>
    <row r="326" spans="4:5" x14ac:dyDescent="0.3">
      <c r="D326"/>
      <c r="E326"/>
    </row>
    <row r="327" spans="4:5" x14ac:dyDescent="0.3">
      <c r="D327"/>
      <c r="E327"/>
    </row>
    <row r="328" spans="4:5" x14ac:dyDescent="0.3">
      <c r="D328"/>
      <c r="E328"/>
    </row>
    <row r="329" spans="4:5" x14ac:dyDescent="0.3">
      <c r="D329"/>
      <c r="E329"/>
    </row>
    <row r="330" spans="4:5" x14ac:dyDescent="0.3">
      <c r="D330"/>
      <c r="E330"/>
    </row>
    <row r="331" spans="4:5" x14ac:dyDescent="0.3">
      <c r="D331"/>
      <c r="E331"/>
    </row>
    <row r="332" spans="4:5" x14ac:dyDescent="0.3">
      <c r="D332"/>
      <c r="E332"/>
    </row>
    <row r="333" spans="4:5" x14ac:dyDescent="0.3">
      <c r="D333"/>
      <c r="E333"/>
    </row>
    <row r="334" spans="4:5" x14ac:dyDescent="0.3">
      <c r="D334"/>
      <c r="E334"/>
    </row>
    <row r="335" spans="4:5" x14ac:dyDescent="0.3">
      <c r="D335"/>
      <c r="E335"/>
    </row>
    <row r="336" spans="4:5" x14ac:dyDescent="0.3">
      <c r="D336"/>
      <c r="E336"/>
    </row>
    <row r="337" spans="4:5" x14ac:dyDescent="0.3">
      <c r="D337"/>
      <c r="E337"/>
    </row>
    <row r="338" spans="4:5" x14ac:dyDescent="0.3">
      <c r="D338"/>
      <c r="E338"/>
    </row>
    <row r="339" spans="4:5" x14ac:dyDescent="0.3">
      <c r="D339"/>
      <c r="E339"/>
    </row>
    <row r="340" spans="4:5" x14ac:dyDescent="0.3">
      <c r="D340"/>
      <c r="E340"/>
    </row>
    <row r="341" spans="4:5" x14ac:dyDescent="0.3">
      <c r="D341"/>
      <c r="E341"/>
    </row>
    <row r="342" spans="4:5" x14ac:dyDescent="0.3">
      <c r="D342"/>
      <c r="E342"/>
    </row>
    <row r="343" spans="4:5" x14ac:dyDescent="0.3">
      <c r="D343"/>
      <c r="E343"/>
    </row>
    <row r="344" spans="4:5" x14ac:dyDescent="0.3">
      <c r="D344"/>
      <c r="E344"/>
    </row>
    <row r="345" spans="4:5" x14ac:dyDescent="0.3">
      <c r="D345"/>
      <c r="E345"/>
    </row>
    <row r="346" spans="4:5" x14ac:dyDescent="0.3">
      <c r="D346"/>
      <c r="E346"/>
    </row>
    <row r="347" spans="4:5" x14ac:dyDescent="0.3">
      <c r="D347"/>
      <c r="E347"/>
    </row>
    <row r="348" spans="4:5" x14ac:dyDescent="0.3">
      <c r="D348"/>
      <c r="E348"/>
    </row>
    <row r="349" spans="4:5" x14ac:dyDescent="0.3">
      <c r="D349"/>
      <c r="E349"/>
    </row>
    <row r="350" spans="4:5" x14ac:dyDescent="0.3">
      <c r="D350"/>
      <c r="E350"/>
    </row>
    <row r="351" spans="4:5" x14ac:dyDescent="0.3">
      <c r="D351"/>
      <c r="E351"/>
    </row>
    <row r="352" spans="4:5" x14ac:dyDescent="0.3">
      <c r="D352"/>
      <c r="E352"/>
    </row>
    <row r="353" spans="4:5" x14ac:dyDescent="0.3">
      <c r="D353"/>
      <c r="E353"/>
    </row>
    <row r="354" spans="4:5" x14ac:dyDescent="0.3">
      <c r="D354"/>
      <c r="E354"/>
    </row>
    <row r="355" spans="4:5" x14ac:dyDescent="0.3">
      <c r="D355"/>
      <c r="E355"/>
    </row>
    <row r="356" spans="4:5" x14ac:dyDescent="0.3">
      <c r="D356"/>
      <c r="E356"/>
    </row>
    <row r="357" spans="4:5" x14ac:dyDescent="0.3">
      <c r="D357"/>
      <c r="E357"/>
    </row>
    <row r="358" spans="4:5" x14ac:dyDescent="0.3">
      <c r="D358"/>
      <c r="E358"/>
    </row>
    <row r="359" spans="4:5" x14ac:dyDescent="0.3">
      <c r="D359"/>
      <c r="E359"/>
    </row>
    <row r="360" spans="4:5" x14ac:dyDescent="0.3">
      <c r="D360"/>
      <c r="E360"/>
    </row>
    <row r="361" spans="4:5" x14ac:dyDescent="0.3">
      <c r="D361"/>
      <c r="E361"/>
    </row>
    <row r="362" spans="4:5" x14ac:dyDescent="0.3">
      <c r="D362"/>
      <c r="E362"/>
    </row>
    <row r="363" spans="4:5" x14ac:dyDescent="0.3">
      <c r="D363"/>
      <c r="E363"/>
    </row>
    <row r="364" spans="4:5" x14ac:dyDescent="0.3">
      <c r="D364"/>
      <c r="E364"/>
    </row>
    <row r="365" spans="4:5" x14ac:dyDescent="0.3">
      <c r="D365"/>
      <c r="E365"/>
    </row>
    <row r="366" spans="4:5" x14ac:dyDescent="0.3">
      <c r="D366"/>
      <c r="E366"/>
    </row>
    <row r="367" spans="4:5" x14ac:dyDescent="0.3">
      <c r="D367"/>
      <c r="E367"/>
    </row>
    <row r="368" spans="4:5" x14ac:dyDescent="0.3">
      <c r="D368"/>
      <c r="E368"/>
    </row>
    <row r="369" spans="4:5" x14ac:dyDescent="0.3">
      <c r="D369"/>
      <c r="E369"/>
    </row>
    <row r="370" spans="4:5" x14ac:dyDescent="0.3">
      <c r="D370"/>
      <c r="E370"/>
    </row>
    <row r="371" spans="4:5" x14ac:dyDescent="0.3">
      <c r="D371"/>
      <c r="E371"/>
    </row>
    <row r="372" spans="4:5" x14ac:dyDescent="0.3">
      <c r="D372"/>
      <c r="E372"/>
    </row>
    <row r="373" spans="4:5" x14ac:dyDescent="0.3">
      <c r="D373"/>
      <c r="E373"/>
    </row>
    <row r="374" spans="4:5" x14ac:dyDescent="0.3">
      <c r="D374"/>
      <c r="E374"/>
    </row>
    <row r="375" spans="4:5" x14ac:dyDescent="0.3">
      <c r="D375"/>
      <c r="E375"/>
    </row>
    <row r="376" spans="4:5" x14ac:dyDescent="0.3">
      <c r="D376"/>
      <c r="E376"/>
    </row>
    <row r="377" spans="4:5" x14ac:dyDescent="0.3">
      <c r="D377"/>
      <c r="E377"/>
    </row>
    <row r="378" spans="4:5" x14ac:dyDescent="0.3">
      <c r="D378"/>
      <c r="E378"/>
    </row>
    <row r="379" spans="4:5" x14ac:dyDescent="0.3">
      <c r="D379"/>
      <c r="E379"/>
    </row>
    <row r="380" spans="4:5" x14ac:dyDescent="0.3">
      <c r="D380"/>
      <c r="E380"/>
    </row>
    <row r="381" spans="4:5" x14ac:dyDescent="0.3">
      <c r="D381"/>
      <c r="E381"/>
    </row>
    <row r="382" spans="4:5" x14ac:dyDescent="0.3">
      <c r="D382"/>
      <c r="E382"/>
    </row>
    <row r="383" spans="4:5" x14ac:dyDescent="0.3">
      <c r="D383"/>
      <c r="E383"/>
    </row>
    <row r="384" spans="4:5" x14ac:dyDescent="0.3">
      <c r="D384"/>
      <c r="E384"/>
    </row>
    <row r="385" spans="4:5" x14ac:dyDescent="0.3">
      <c r="D385"/>
      <c r="E385"/>
    </row>
    <row r="386" spans="4:5" x14ac:dyDescent="0.3">
      <c r="D386"/>
      <c r="E386"/>
    </row>
    <row r="387" spans="4:5" x14ac:dyDescent="0.3">
      <c r="D387"/>
      <c r="E387"/>
    </row>
    <row r="388" spans="4:5" x14ac:dyDescent="0.3">
      <c r="D388"/>
      <c r="E388"/>
    </row>
    <row r="389" spans="4:5" x14ac:dyDescent="0.3">
      <c r="D389"/>
      <c r="E389"/>
    </row>
    <row r="390" spans="4:5" x14ac:dyDescent="0.3">
      <c r="D390"/>
      <c r="E390"/>
    </row>
    <row r="391" spans="4:5" x14ac:dyDescent="0.3">
      <c r="D391"/>
      <c r="E391"/>
    </row>
    <row r="392" spans="4:5" x14ac:dyDescent="0.3">
      <c r="D392"/>
      <c r="E392"/>
    </row>
    <row r="393" spans="4:5" x14ac:dyDescent="0.3">
      <c r="D393"/>
      <c r="E393"/>
    </row>
    <row r="394" spans="4:5" x14ac:dyDescent="0.3">
      <c r="D394"/>
      <c r="E394"/>
    </row>
    <row r="395" spans="4:5" x14ac:dyDescent="0.3">
      <c r="D395"/>
      <c r="E395"/>
    </row>
    <row r="396" spans="4:5" x14ac:dyDescent="0.3">
      <c r="D396"/>
      <c r="E396"/>
    </row>
    <row r="397" spans="4:5" x14ac:dyDescent="0.3">
      <c r="D397"/>
      <c r="E397"/>
    </row>
    <row r="398" spans="4:5" x14ac:dyDescent="0.3">
      <c r="D398"/>
      <c r="E398"/>
    </row>
    <row r="399" spans="4:5" x14ac:dyDescent="0.3">
      <c r="D399"/>
      <c r="E399"/>
    </row>
    <row r="400" spans="4:5" x14ac:dyDescent="0.3">
      <c r="D400"/>
      <c r="E400"/>
    </row>
    <row r="401" spans="4:5" x14ac:dyDescent="0.3">
      <c r="D401"/>
      <c r="E401"/>
    </row>
    <row r="402" spans="4:5" x14ac:dyDescent="0.3">
      <c r="D402"/>
      <c r="E402"/>
    </row>
    <row r="403" spans="4:5" x14ac:dyDescent="0.3">
      <c r="D403"/>
      <c r="E403"/>
    </row>
    <row r="404" spans="4:5" x14ac:dyDescent="0.3">
      <c r="D404"/>
      <c r="E404"/>
    </row>
    <row r="405" spans="4:5" x14ac:dyDescent="0.3">
      <c r="D405"/>
      <c r="E405"/>
    </row>
    <row r="406" spans="4:5" x14ac:dyDescent="0.3">
      <c r="D406"/>
      <c r="E406"/>
    </row>
    <row r="407" spans="4:5" x14ac:dyDescent="0.3">
      <c r="D407"/>
      <c r="E407"/>
    </row>
    <row r="408" spans="4:5" x14ac:dyDescent="0.3">
      <c r="D408"/>
      <c r="E408"/>
    </row>
    <row r="409" spans="4:5" x14ac:dyDescent="0.3">
      <c r="D409"/>
      <c r="E409"/>
    </row>
    <row r="410" spans="4:5" x14ac:dyDescent="0.3">
      <c r="D410"/>
      <c r="E410"/>
    </row>
    <row r="411" spans="4:5" x14ac:dyDescent="0.3">
      <c r="D411"/>
      <c r="E411"/>
    </row>
    <row r="412" spans="4:5" x14ac:dyDescent="0.3">
      <c r="D412"/>
      <c r="E412"/>
    </row>
    <row r="413" spans="4:5" x14ac:dyDescent="0.3">
      <c r="D413"/>
      <c r="E413"/>
    </row>
    <row r="414" spans="4:5" x14ac:dyDescent="0.3">
      <c r="D414"/>
      <c r="E414"/>
    </row>
    <row r="415" spans="4:5" x14ac:dyDescent="0.3">
      <c r="D415"/>
      <c r="E415"/>
    </row>
    <row r="416" spans="4:5" x14ac:dyDescent="0.3">
      <c r="D416"/>
      <c r="E416"/>
    </row>
    <row r="417" spans="4:5" x14ac:dyDescent="0.3">
      <c r="D417"/>
      <c r="E417"/>
    </row>
    <row r="418" spans="4:5" x14ac:dyDescent="0.3">
      <c r="D418"/>
      <c r="E418"/>
    </row>
    <row r="419" spans="4:5" x14ac:dyDescent="0.3">
      <c r="D419"/>
      <c r="E419"/>
    </row>
    <row r="420" spans="4:5" x14ac:dyDescent="0.3">
      <c r="D420"/>
      <c r="E420"/>
    </row>
    <row r="421" spans="4:5" x14ac:dyDescent="0.3">
      <c r="D421"/>
      <c r="E421"/>
    </row>
    <row r="422" spans="4:5" x14ac:dyDescent="0.3">
      <c r="D422"/>
      <c r="E422"/>
    </row>
    <row r="423" spans="4:5" x14ac:dyDescent="0.3">
      <c r="D423"/>
      <c r="E423"/>
    </row>
    <row r="424" spans="4:5" x14ac:dyDescent="0.3">
      <c r="D424"/>
      <c r="E424"/>
    </row>
    <row r="425" spans="4:5" x14ac:dyDescent="0.3">
      <c r="D425"/>
      <c r="E425"/>
    </row>
    <row r="426" spans="4:5" x14ac:dyDescent="0.3">
      <c r="D426"/>
      <c r="E426"/>
    </row>
    <row r="427" spans="4:5" x14ac:dyDescent="0.3">
      <c r="D427"/>
      <c r="E427"/>
    </row>
    <row r="428" spans="4:5" x14ac:dyDescent="0.3">
      <c r="D428"/>
      <c r="E428"/>
    </row>
    <row r="429" spans="4:5" x14ac:dyDescent="0.3">
      <c r="D429"/>
      <c r="E429"/>
    </row>
    <row r="430" spans="4:5" x14ac:dyDescent="0.3">
      <c r="D430"/>
      <c r="E430"/>
    </row>
    <row r="431" spans="4:5" x14ac:dyDescent="0.3">
      <c r="D431"/>
      <c r="E431"/>
    </row>
    <row r="432" spans="4:5" x14ac:dyDescent="0.3">
      <c r="D432"/>
      <c r="E432"/>
    </row>
    <row r="433" spans="4:5" x14ac:dyDescent="0.3">
      <c r="D433"/>
      <c r="E433"/>
    </row>
    <row r="434" spans="4:5" x14ac:dyDescent="0.3">
      <c r="D434"/>
      <c r="E434"/>
    </row>
    <row r="435" spans="4:5" x14ac:dyDescent="0.3">
      <c r="D435"/>
      <c r="E435"/>
    </row>
    <row r="436" spans="4:5" x14ac:dyDescent="0.3">
      <c r="D436"/>
      <c r="E436"/>
    </row>
    <row r="437" spans="4:5" x14ac:dyDescent="0.3">
      <c r="D437"/>
      <c r="E437"/>
    </row>
    <row r="438" spans="4:5" x14ac:dyDescent="0.3">
      <c r="D438"/>
      <c r="E438"/>
    </row>
    <row r="439" spans="4:5" x14ac:dyDescent="0.3">
      <c r="D439"/>
      <c r="E439"/>
    </row>
    <row r="440" spans="4:5" x14ac:dyDescent="0.3">
      <c r="D440"/>
      <c r="E440"/>
    </row>
    <row r="441" spans="4:5" x14ac:dyDescent="0.3">
      <c r="D441"/>
      <c r="E441"/>
    </row>
    <row r="442" spans="4:5" x14ac:dyDescent="0.3">
      <c r="D442"/>
      <c r="E442"/>
    </row>
    <row r="443" spans="4:5" x14ac:dyDescent="0.3">
      <c r="D443"/>
      <c r="E443"/>
    </row>
    <row r="444" spans="4:5" x14ac:dyDescent="0.3">
      <c r="D444"/>
      <c r="E444"/>
    </row>
    <row r="445" spans="4:5" x14ac:dyDescent="0.3">
      <c r="D445"/>
      <c r="E445"/>
    </row>
    <row r="446" spans="4:5" x14ac:dyDescent="0.3">
      <c r="D446"/>
      <c r="E446"/>
    </row>
    <row r="447" spans="4:5" x14ac:dyDescent="0.3">
      <c r="D447"/>
      <c r="E447"/>
    </row>
    <row r="448" spans="4:5" x14ac:dyDescent="0.3">
      <c r="D448"/>
      <c r="E448"/>
    </row>
    <row r="449" spans="4:5" x14ac:dyDescent="0.3">
      <c r="D449"/>
      <c r="E449"/>
    </row>
    <row r="450" spans="4:5" x14ac:dyDescent="0.3">
      <c r="D450"/>
      <c r="E450"/>
    </row>
    <row r="451" spans="4:5" x14ac:dyDescent="0.3">
      <c r="D451"/>
      <c r="E451"/>
    </row>
    <row r="452" spans="4:5" x14ac:dyDescent="0.3">
      <c r="D452"/>
      <c r="E452"/>
    </row>
    <row r="453" spans="4:5" x14ac:dyDescent="0.3">
      <c r="D453"/>
      <c r="E453"/>
    </row>
    <row r="454" spans="4:5" x14ac:dyDescent="0.3">
      <c r="D454"/>
      <c r="E454"/>
    </row>
    <row r="455" spans="4:5" x14ac:dyDescent="0.3">
      <c r="D455"/>
      <c r="E455"/>
    </row>
    <row r="456" spans="4:5" x14ac:dyDescent="0.3">
      <c r="D456"/>
      <c r="E456"/>
    </row>
    <row r="457" spans="4:5" x14ac:dyDescent="0.3">
      <c r="D457"/>
      <c r="E457"/>
    </row>
    <row r="458" spans="4:5" x14ac:dyDescent="0.3">
      <c r="D458"/>
      <c r="E458"/>
    </row>
    <row r="459" spans="4:5" x14ac:dyDescent="0.3">
      <c r="D459"/>
      <c r="E459"/>
    </row>
    <row r="460" spans="4:5" x14ac:dyDescent="0.3">
      <c r="D460"/>
      <c r="E460"/>
    </row>
    <row r="461" spans="4:5" x14ac:dyDescent="0.3">
      <c r="D461"/>
      <c r="E461"/>
    </row>
    <row r="462" spans="4:5" x14ac:dyDescent="0.3">
      <c r="D462"/>
      <c r="E462"/>
    </row>
    <row r="463" spans="4:5" x14ac:dyDescent="0.3">
      <c r="D463"/>
      <c r="E463"/>
    </row>
    <row r="464" spans="4:5" x14ac:dyDescent="0.3">
      <c r="D464"/>
      <c r="E464"/>
    </row>
    <row r="465" spans="4:5" x14ac:dyDescent="0.3">
      <c r="D465"/>
      <c r="E465"/>
    </row>
    <row r="466" spans="4:5" x14ac:dyDescent="0.3">
      <c r="D466"/>
      <c r="E466"/>
    </row>
    <row r="467" spans="4:5" x14ac:dyDescent="0.3">
      <c r="D467"/>
      <c r="E467"/>
    </row>
    <row r="468" spans="4:5" x14ac:dyDescent="0.3">
      <c r="D468"/>
      <c r="E468"/>
    </row>
    <row r="469" spans="4:5" x14ac:dyDescent="0.3">
      <c r="D469"/>
      <c r="E469"/>
    </row>
    <row r="470" spans="4:5" x14ac:dyDescent="0.3">
      <c r="D470"/>
      <c r="E470"/>
    </row>
    <row r="471" spans="4:5" x14ac:dyDescent="0.3">
      <c r="D471"/>
      <c r="E471"/>
    </row>
    <row r="472" spans="4:5" x14ac:dyDescent="0.3">
      <c r="D472"/>
      <c r="E472"/>
    </row>
    <row r="473" spans="4:5" x14ac:dyDescent="0.3">
      <c r="D473"/>
      <c r="E473"/>
    </row>
    <row r="474" spans="4:5" x14ac:dyDescent="0.3">
      <c r="D474"/>
      <c r="E474"/>
    </row>
    <row r="475" spans="4:5" x14ac:dyDescent="0.3">
      <c r="D475"/>
      <c r="E475"/>
    </row>
    <row r="476" spans="4:5" x14ac:dyDescent="0.3">
      <c r="D476"/>
      <c r="E476"/>
    </row>
    <row r="477" spans="4:5" x14ac:dyDescent="0.3">
      <c r="D477"/>
      <c r="E477"/>
    </row>
    <row r="478" spans="4:5" x14ac:dyDescent="0.3">
      <c r="D478"/>
      <c r="E478"/>
    </row>
    <row r="479" spans="4:5" x14ac:dyDescent="0.3">
      <c r="D479"/>
      <c r="E479"/>
    </row>
    <row r="480" spans="4:5" x14ac:dyDescent="0.3">
      <c r="D480"/>
      <c r="E480"/>
    </row>
    <row r="481" spans="4:5" x14ac:dyDescent="0.3">
      <c r="D481"/>
      <c r="E481"/>
    </row>
    <row r="482" spans="4:5" x14ac:dyDescent="0.3">
      <c r="D482"/>
      <c r="E482"/>
    </row>
    <row r="483" spans="4:5" x14ac:dyDescent="0.3">
      <c r="D483"/>
      <c r="E483"/>
    </row>
    <row r="484" spans="4:5" x14ac:dyDescent="0.3">
      <c r="D484"/>
      <c r="E484"/>
    </row>
    <row r="485" spans="4:5" x14ac:dyDescent="0.3">
      <c r="D485"/>
      <c r="E485"/>
    </row>
    <row r="486" spans="4:5" x14ac:dyDescent="0.3">
      <c r="D486"/>
      <c r="E486"/>
    </row>
    <row r="487" spans="4:5" x14ac:dyDescent="0.3">
      <c r="D487"/>
      <c r="E487"/>
    </row>
    <row r="488" spans="4:5" x14ac:dyDescent="0.3">
      <c r="D488"/>
      <c r="E488"/>
    </row>
    <row r="489" spans="4:5" x14ac:dyDescent="0.3">
      <c r="D489"/>
      <c r="E489"/>
    </row>
    <row r="490" spans="4:5" x14ac:dyDescent="0.3">
      <c r="D490"/>
      <c r="E490"/>
    </row>
    <row r="491" spans="4:5" x14ac:dyDescent="0.3">
      <c r="D491"/>
      <c r="E491"/>
    </row>
    <row r="492" spans="4:5" x14ac:dyDescent="0.3">
      <c r="D492"/>
      <c r="E492"/>
    </row>
    <row r="493" spans="4:5" x14ac:dyDescent="0.3">
      <c r="D493"/>
      <c r="E493"/>
    </row>
    <row r="494" spans="4:5" x14ac:dyDescent="0.3">
      <c r="D494"/>
      <c r="E494"/>
    </row>
    <row r="495" spans="4:5" x14ac:dyDescent="0.3">
      <c r="D495"/>
      <c r="E495"/>
    </row>
    <row r="496" spans="4:5" x14ac:dyDescent="0.3">
      <c r="D496"/>
      <c r="E496"/>
    </row>
    <row r="497" spans="4:5" x14ac:dyDescent="0.3">
      <c r="D497"/>
      <c r="E497"/>
    </row>
    <row r="498" spans="4:5" x14ac:dyDescent="0.3">
      <c r="D498"/>
      <c r="E498"/>
    </row>
    <row r="499" spans="4:5" x14ac:dyDescent="0.3">
      <c r="D499"/>
      <c r="E499"/>
    </row>
    <row r="500" spans="4:5" x14ac:dyDescent="0.3">
      <c r="D500"/>
      <c r="E500"/>
    </row>
    <row r="501" spans="4:5" x14ac:dyDescent="0.3">
      <c r="D501"/>
      <c r="E501"/>
    </row>
    <row r="502" spans="4:5" x14ac:dyDescent="0.3">
      <c r="D502"/>
      <c r="E502"/>
    </row>
    <row r="503" spans="4:5" x14ac:dyDescent="0.3">
      <c r="D503"/>
      <c r="E503"/>
    </row>
    <row r="504" spans="4:5" x14ac:dyDescent="0.3">
      <c r="D504"/>
      <c r="E504"/>
    </row>
    <row r="505" spans="4:5" x14ac:dyDescent="0.3">
      <c r="D505"/>
      <c r="E505"/>
    </row>
    <row r="506" spans="4:5" x14ac:dyDescent="0.3">
      <c r="D506"/>
      <c r="E506"/>
    </row>
    <row r="507" spans="4:5" x14ac:dyDescent="0.3">
      <c r="D507"/>
      <c r="E507"/>
    </row>
    <row r="508" spans="4:5" x14ac:dyDescent="0.3">
      <c r="D508"/>
      <c r="E508"/>
    </row>
    <row r="509" spans="4:5" x14ac:dyDescent="0.3">
      <c r="D509"/>
      <c r="E509"/>
    </row>
    <row r="510" spans="4:5" x14ac:dyDescent="0.3">
      <c r="D510"/>
      <c r="E510"/>
    </row>
    <row r="511" spans="4:5" x14ac:dyDescent="0.3">
      <c r="D511"/>
      <c r="E511"/>
    </row>
    <row r="512" spans="4:5" x14ac:dyDescent="0.3">
      <c r="D512"/>
      <c r="E512"/>
    </row>
    <row r="513" spans="4:5" x14ac:dyDescent="0.3">
      <c r="D513"/>
      <c r="E513"/>
    </row>
    <row r="514" spans="4:5" x14ac:dyDescent="0.3">
      <c r="D514"/>
      <c r="E514"/>
    </row>
    <row r="515" spans="4:5" x14ac:dyDescent="0.3">
      <c r="D515"/>
      <c r="E515"/>
    </row>
    <row r="516" spans="4:5" x14ac:dyDescent="0.3">
      <c r="D516"/>
      <c r="E516"/>
    </row>
    <row r="517" spans="4:5" x14ac:dyDescent="0.3">
      <c r="D517"/>
      <c r="E517"/>
    </row>
    <row r="518" spans="4:5" x14ac:dyDescent="0.3">
      <c r="D518"/>
      <c r="E518"/>
    </row>
    <row r="519" spans="4:5" x14ac:dyDescent="0.3">
      <c r="D519"/>
      <c r="E519"/>
    </row>
    <row r="520" spans="4:5" x14ac:dyDescent="0.3">
      <c r="D520"/>
      <c r="E520"/>
    </row>
    <row r="521" spans="4:5" x14ac:dyDescent="0.3">
      <c r="D521"/>
      <c r="E521"/>
    </row>
    <row r="522" spans="4:5" x14ac:dyDescent="0.3">
      <c r="D522"/>
      <c r="E522"/>
    </row>
    <row r="523" spans="4:5" x14ac:dyDescent="0.3">
      <c r="D523"/>
      <c r="E523"/>
    </row>
    <row r="524" spans="4:5" x14ac:dyDescent="0.3">
      <c r="D524"/>
      <c r="E524"/>
    </row>
    <row r="525" spans="4:5" x14ac:dyDescent="0.3">
      <c r="D525"/>
      <c r="E525"/>
    </row>
    <row r="526" spans="4:5" x14ac:dyDescent="0.3">
      <c r="D526"/>
      <c r="E526"/>
    </row>
    <row r="527" spans="4:5" x14ac:dyDescent="0.3">
      <c r="D527"/>
      <c r="E527"/>
    </row>
    <row r="528" spans="4:5" x14ac:dyDescent="0.3">
      <c r="D528"/>
      <c r="E528"/>
    </row>
    <row r="529" spans="4:5" x14ac:dyDescent="0.3">
      <c r="D529"/>
      <c r="E529"/>
    </row>
    <row r="530" spans="4:5" x14ac:dyDescent="0.3">
      <c r="D530"/>
      <c r="E530"/>
    </row>
    <row r="531" spans="4:5" x14ac:dyDescent="0.3">
      <c r="D531"/>
      <c r="E531"/>
    </row>
    <row r="532" spans="4:5" x14ac:dyDescent="0.3">
      <c r="D532"/>
      <c r="E532"/>
    </row>
    <row r="533" spans="4:5" x14ac:dyDescent="0.3">
      <c r="D533"/>
      <c r="E533"/>
    </row>
    <row r="534" spans="4:5" x14ac:dyDescent="0.3">
      <c r="D534"/>
      <c r="E534"/>
    </row>
    <row r="535" spans="4:5" x14ac:dyDescent="0.3">
      <c r="D535"/>
      <c r="E535"/>
    </row>
    <row r="536" spans="4:5" x14ac:dyDescent="0.3">
      <c r="D536"/>
      <c r="E536"/>
    </row>
    <row r="537" spans="4:5" x14ac:dyDescent="0.3">
      <c r="D537"/>
      <c r="E537"/>
    </row>
    <row r="538" spans="4:5" x14ac:dyDescent="0.3">
      <c r="D538"/>
      <c r="E538"/>
    </row>
    <row r="539" spans="4:5" x14ac:dyDescent="0.3">
      <c r="D539"/>
      <c r="E539"/>
    </row>
    <row r="540" spans="4:5" x14ac:dyDescent="0.3">
      <c r="D540"/>
      <c r="E540"/>
    </row>
    <row r="541" spans="4:5" x14ac:dyDescent="0.3">
      <c r="D541"/>
      <c r="E541"/>
    </row>
    <row r="542" spans="4:5" x14ac:dyDescent="0.3">
      <c r="D542"/>
      <c r="E542"/>
    </row>
    <row r="543" spans="4:5" x14ac:dyDescent="0.3">
      <c r="D543"/>
      <c r="E543"/>
    </row>
    <row r="544" spans="4:5" x14ac:dyDescent="0.3">
      <c r="D544"/>
      <c r="E544"/>
    </row>
    <row r="545" spans="4:5" x14ac:dyDescent="0.3">
      <c r="D545"/>
      <c r="E545"/>
    </row>
    <row r="546" spans="4:5" x14ac:dyDescent="0.3">
      <c r="D546"/>
      <c r="E546"/>
    </row>
    <row r="547" spans="4:5" x14ac:dyDescent="0.3">
      <c r="D547"/>
      <c r="E547"/>
    </row>
    <row r="548" spans="4:5" x14ac:dyDescent="0.3">
      <c r="D548"/>
      <c r="E548"/>
    </row>
    <row r="549" spans="4:5" x14ac:dyDescent="0.3">
      <c r="D549"/>
      <c r="E549"/>
    </row>
    <row r="550" spans="4:5" x14ac:dyDescent="0.3">
      <c r="D550"/>
      <c r="E550"/>
    </row>
    <row r="551" spans="4:5" x14ac:dyDescent="0.3">
      <c r="D551"/>
      <c r="E551"/>
    </row>
    <row r="552" spans="4:5" x14ac:dyDescent="0.3">
      <c r="D552"/>
      <c r="E552"/>
    </row>
    <row r="553" spans="4:5" x14ac:dyDescent="0.3">
      <c r="D553"/>
      <c r="E553"/>
    </row>
    <row r="554" spans="4:5" x14ac:dyDescent="0.3">
      <c r="D554"/>
      <c r="E554"/>
    </row>
    <row r="555" spans="4:5" x14ac:dyDescent="0.3">
      <c r="D555"/>
      <c r="E555"/>
    </row>
    <row r="556" spans="4:5" x14ac:dyDescent="0.3">
      <c r="D556"/>
      <c r="E556"/>
    </row>
    <row r="557" spans="4:5" x14ac:dyDescent="0.3">
      <c r="D557"/>
      <c r="E557"/>
    </row>
    <row r="558" spans="4:5" x14ac:dyDescent="0.3">
      <c r="D558"/>
      <c r="E558"/>
    </row>
    <row r="559" spans="4:5" x14ac:dyDescent="0.3">
      <c r="D559"/>
      <c r="E559"/>
    </row>
    <row r="560" spans="4:5" x14ac:dyDescent="0.3">
      <c r="D560"/>
      <c r="E560"/>
    </row>
    <row r="561" spans="4:5" x14ac:dyDescent="0.3">
      <c r="D561"/>
      <c r="E561"/>
    </row>
    <row r="562" spans="4:5" x14ac:dyDescent="0.3">
      <c r="D562"/>
      <c r="E562"/>
    </row>
    <row r="563" spans="4:5" x14ac:dyDescent="0.3">
      <c r="D563"/>
      <c r="E563"/>
    </row>
    <row r="564" spans="4:5" x14ac:dyDescent="0.3">
      <c r="D564"/>
      <c r="E564"/>
    </row>
    <row r="565" spans="4:5" x14ac:dyDescent="0.3">
      <c r="D565"/>
      <c r="E565"/>
    </row>
    <row r="566" spans="4:5" x14ac:dyDescent="0.3">
      <c r="D566"/>
      <c r="E566"/>
    </row>
    <row r="567" spans="4:5" x14ac:dyDescent="0.3">
      <c r="D567"/>
      <c r="E567"/>
    </row>
    <row r="568" spans="4:5" x14ac:dyDescent="0.3">
      <c r="D568"/>
      <c r="E568"/>
    </row>
    <row r="569" spans="4:5" x14ac:dyDescent="0.3">
      <c r="D569"/>
      <c r="E569"/>
    </row>
    <row r="570" spans="4:5" x14ac:dyDescent="0.3">
      <c r="D570"/>
      <c r="E570"/>
    </row>
    <row r="571" spans="4:5" x14ac:dyDescent="0.3">
      <c r="D571"/>
      <c r="E571"/>
    </row>
    <row r="572" spans="4:5" x14ac:dyDescent="0.3">
      <c r="D572"/>
      <c r="E572"/>
    </row>
    <row r="573" spans="4:5" x14ac:dyDescent="0.3">
      <c r="D573"/>
      <c r="E573"/>
    </row>
    <row r="574" spans="4:5" x14ac:dyDescent="0.3">
      <c r="D574"/>
      <c r="E574"/>
    </row>
    <row r="575" spans="4:5" x14ac:dyDescent="0.3">
      <c r="D575"/>
      <c r="E575"/>
    </row>
    <row r="576" spans="4:5" x14ac:dyDescent="0.3">
      <c r="D576"/>
      <c r="E576"/>
    </row>
    <row r="577" spans="4:5" x14ac:dyDescent="0.3">
      <c r="D577"/>
      <c r="E577"/>
    </row>
    <row r="578" spans="4:5" x14ac:dyDescent="0.3">
      <c r="D578"/>
      <c r="E578"/>
    </row>
    <row r="579" spans="4:5" x14ac:dyDescent="0.3">
      <c r="D579"/>
      <c r="E579"/>
    </row>
    <row r="580" spans="4:5" x14ac:dyDescent="0.3">
      <c r="D580"/>
      <c r="E580"/>
    </row>
    <row r="581" spans="4:5" x14ac:dyDescent="0.3">
      <c r="D581"/>
      <c r="E581"/>
    </row>
    <row r="582" spans="4:5" x14ac:dyDescent="0.3">
      <c r="D582"/>
      <c r="E582"/>
    </row>
    <row r="583" spans="4:5" x14ac:dyDescent="0.3">
      <c r="D583"/>
      <c r="E583"/>
    </row>
    <row r="584" spans="4:5" x14ac:dyDescent="0.3">
      <c r="D584"/>
      <c r="E584"/>
    </row>
    <row r="585" spans="4:5" x14ac:dyDescent="0.3">
      <c r="D585"/>
      <c r="E585"/>
    </row>
    <row r="586" spans="4:5" x14ac:dyDescent="0.3">
      <c r="D586"/>
      <c r="E586"/>
    </row>
    <row r="587" spans="4:5" x14ac:dyDescent="0.3">
      <c r="D587"/>
      <c r="E587"/>
    </row>
    <row r="588" spans="4:5" x14ac:dyDescent="0.3">
      <c r="D588"/>
      <c r="E588"/>
    </row>
    <row r="589" spans="4:5" x14ac:dyDescent="0.3">
      <c r="D589"/>
      <c r="E589"/>
    </row>
    <row r="590" spans="4:5" x14ac:dyDescent="0.3">
      <c r="D590"/>
      <c r="E590"/>
    </row>
  </sheetData>
  <mergeCells count="16">
    <mergeCell ref="AO24:AP24"/>
    <mergeCell ref="AO45:AR45"/>
    <mergeCell ref="AO67:AR67"/>
    <mergeCell ref="AO1:AQ1"/>
    <mergeCell ref="J1:L1"/>
    <mergeCell ref="J5:K5"/>
    <mergeCell ref="L6:M6"/>
    <mergeCell ref="J23:L23"/>
    <mergeCell ref="P5:Q5"/>
    <mergeCell ref="R6:S6"/>
    <mergeCell ref="AO3:AR3"/>
    <mergeCell ref="V5:W5"/>
    <mergeCell ref="X6:Y6"/>
    <mergeCell ref="AB5:AC5"/>
    <mergeCell ref="AD6:AE6"/>
    <mergeCell ref="AI1:AK1"/>
  </mergeCells>
  <pageMargins left="0.7" right="0.7" top="0.75" bottom="0.75" header="0.3" footer="0.3"/>
  <ignoredErrors>
    <ignoredError sqref="K25:K34 L26:L34 W25:X34 AC25:AD34" evalError="1"/>
    <ignoredError sqref="G4" formula="1"/>
  </ignoredErrors>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9ED4C-B379-45AF-9724-473A78DBD43D}">
  <dimension ref="A1:J7"/>
  <sheetViews>
    <sheetView workbookViewId="0">
      <selection activeCell="X7" sqref="X7"/>
    </sheetView>
  </sheetViews>
  <sheetFormatPr defaultRowHeight="14.4" x14ac:dyDescent="0.3"/>
  <cols>
    <col min="1" max="1" width="22.88671875" bestFit="1" customWidth="1"/>
    <col min="2" max="2" width="38.88671875" customWidth="1"/>
    <col min="3" max="3" width="8.77734375" customWidth="1"/>
    <col min="4" max="4" width="15.109375" customWidth="1"/>
    <col min="7" max="7" width="33.44140625" customWidth="1"/>
    <col min="8" max="8" width="38.5546875" customWidth="1"/>
    <col min="10" max="10" width="20.77734375" customWidth="1"/>
    <col min="13" max="13" width="30.5546875" bestFit="1" customWidth="1"/>
  </cols>
  <sheetData>
    <row r="1" spans="1:10" x14ac:dyDescent="0.3">
      <c r="A1" s="9" t="s">
        <v>1097</v>
      </c>
      <c r="B1" s="3"/>
      <c r="C1" s="3"/>
      <c r="D1" s="9" t="s">
        <v>1107</v>
      </c>
      <c r="E1" s="3"/>
      <c r="F1" s="3"/>
      <c r="G1" s="9" t="s">
        <v>1102</v>
      </c>
      <c r="H1" s="3"/>
      <c r="I1" s="9" t="s">
        <v>1108</v>
      </c>
      <c r="J1" s="3"/>
    </row>
    <row r="2" spans="1:10" x14ac:dyDescent="0.3">
      <c r="A2" s="3" t="s">
        <v>1098</v>
      </c>
      <c r="B2" s="3" t="s">
        <v>1109</v>
      </c>
      <c r="C2" s="3"/>
      <c r="D2">
        <v>650</v>
      </c>
      <c r="E2" s="3"/>
      <c r="F2" s="3"/>
      <c r="G2" s="3" t="s">
        <v>1103</v>
      </c>
      <c r="H2" s="3" t="s">
        <v>1113</v>
      </c>
      <c r="I2" s="3" t="s">
        <v>3</v>
      </c>
      <c r="J2" s="3" t="s">
        <v>1117</v>
      </c>
    </row>
    <row r="3" spans="1:10" x14ac:dyDescent="0.3">
      <c r="A3" s="3" t="s">
        <v>1099</v>
      </c>
      <c r="B3" s="3" t="s">
        <v>1110</v>
      </c>
      <c r="C3" s="3"/>
      <c r="D3" s="10">
        <v>700000</v>
      </c>
      <c r="E3" s="3"/>
      <c r="F3" s="3"/>
      <c r="G3" s="3" t="s">
        <v>1104</v>
      </c>
      <c r="H3" s="3" t="s">
        <v>1114</v>
      </c>
      <c r="I3" s="3"/>
      <c r="J3" s="3"/>
    </row>
    <row r="4" spans="1:10" x14ac:dyDescent="0.3">
      <c r="A4" s="3" t="s">
        <v>1100</v>
      </c>
      <c r="B4" s="3" t="s">
        <v>1111</v>
      </c>
      <c r="C4" s="3"/>
      <c r="D4" s="3">
        <v>5</v>
      </c>
      <c r="E4" s="3"/>
      <c r="F4" s="3"/>
      <c r="G4" s="3" t="s">
        <v>1105</v>
      </c>
      <c r="H4" s="3" t="s">
        <v>1115</v>
      </c>
      <c r="I4" s="3"/>
      <c r="J4" s="3"/>
    </row>
    <row r="5" spans="1:10" x14ac:dyDescent="0.3">
      <c r="A5" s="3" t="s">
        <v>1101</v>
      </c>
      <c r="B5" s="3" t="s">
        <v>1112</v>
      </c>
      <c r="C5" s="3"/>
      <c r="D5" s="3">
        <v>7</v>
      </c>
      <c r="E5" s="3"/>
      <c r="F5" s="3"/>
      <c r="G5" s="3" t="s">
        <v>1106</v>
      </c>
      <c r="H5" s="3" t="s">
        <v>1116</v>
      </c>
      <c r="I5" s="3"/>
      <c r="J5" s="3"/>
    </row>
    <row r="6" spans="1:10" x14ac:dyDescent="0.3">
      <c r="A6" s="3"/>
      <c r="B6" s="3"/>
      <c r="C6" s="3"/>
      <c r="D6" s="3"/>
      <c r="E6" s="3"/>
      <c r="F6" s="3"/>
      <c r="G6" s="3"/>
      <c r="H6" s="3"/>
      <c r="I6" s="3"/>
      <c r="J6" s="3"/>
    </row>
    <row r="7" spans="1:10" x14ac:dyDescent="0.3">
      <c r="A7" s="3"/>
      <c r="B7" s="3"/>
      <c r="C7" s="3"/>
      <c r="D7" s="3"/>
      <c r="E7" s="3"/>
      <c r="F7" s="3"/>
      <c r="G7" s="3"/>
      <c r="H7" s="3"/>
      <c r="I7" s="3"/>
      <c r="J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24C4-CAA9-4739-B175-E43AACD96302}">
  <dimension ref="A1:AE501"/>
  <sheetViews>
    <sheetView tabSelected="1" workbookViewId="0"/>
  </sheetViews>
  <sheetFormatPr defaultRowHeight="14.4" x14ac:dyDescent="0.3"/>
  <cols>
    <col min="1" max="1" width="11.44140625" bestFit="1" customWidth="1"/>
    <col min="2" max="2" width="16.33203125" bestFit="1" customWidth="1"/>
    <col min="3" max="3" width="15.77734375" bestFit="1" customWidth="1"/>
    <col min="4" max="4" width="13.77734375" bestFit="1" customWidth="1"/>
    <col min="5" max="5" width="6.44140625" bestFit="1" customWidth="1"/>
    <col min="6" max="6" width="14.88671875" bestFit="1" customWidth="1"/>
    <col min="7" max="7" width="13.44140625" bestFit="1" customWidth="1"/>
    <col min="8" max="8" width="13.109375" bestFit="1" customWidth="1"/>
    <col min="9" max="9" width="14.77734375" bestFit="1" customWidth="1"/>
    <col min="10" max="10" width="15.33203125" bestFit="1" customWidth="1"/>
    <col min="11" max="11" width="16.6640625" bestFit="1" customWidth="1"/>
    <col min="12" max="12" width="12.33203125" style="7" bestFit="1" customWidth="1"/>
    <col min="13" max="13" width="10.33203125" style="7" bestFit="1" customWidth="1"/>
    <col min="14" max="14" width="17" style="7" bestFit="1" customWidth="1"/>
    <col min="15" max="15" width="16.21875" style="7" bestFit="1" customWidth="1"/>
    <col min="16" max="16" width="16.109375" bestFit="1" customWidth="1"/>
    <col min="17" max="17" width="10.33203125" bestFit="1" customWidth="1"/>
    <col min="18" max="18" width="10.6640625" bestFit="1" customWidth="1"/>
    <col min="19" max="19" width="11" bestFit="1" customWidth="1"/>
    <col min="20" max="20" width="18.21875" bestFit="1" customWidth="1"/>
    <col min="22" max="22" width="10" style="7" bestFit="1" customWidth="1"/>
    <col min="23" max="23" width="14.6640625" bestFit="1" customWidth="1"/>
    <col min="27" max="27" width="17.6640625" bestFit="1" customWidth="1"/>
    <col min="28" max="28" width="12.77734375" bestFit="1" customWidth="1"/>
    <col min="29" max="29" width="16" customWidth="1"/>
    <col min="30" max="30" width="9.5546875" bestFit="1" customWidth="1"/>
    <col min="31" max="31" width="24.77734375" bestFit="1" customWidth="1"/>
  </cols>
  <sheetData>
    <row r="1" spans="1:31" x14ac:dyDescent="0.3">
      <c r="A1" s="1" t="s">
        <v>1072</v>
      </c>
      <c r="B1" s="1" t="s">
        <v>1069</v>
      </c>
      <c r="C1" s="1" t="s">
        <v>1070</v>
      </c>
      <c r="D1" s="1" t="s">
        <v>1071</v>
      </c>
      <c r="E1" s="1" t="s">
        <v>6</v>
      </c>
      <c r="F1" s="1" t="s">
        <v>1073</v>
      </c>
      <c r="G1" s="1" t="s">
        <v>0</v>
      </c>
      <c r="H1" s="1" t="s">
        <v>3</v>
      </c>
      <c r="I1" s="1" t="s">
        <v>1074</v>
      </c>
      <c r="J1" s="1" t="s">
        <v>4</v>
      </c>
      <c r="K1" s="1" t="s">
        <v>1068</v>
      </c>
      <c r="L1" s="5" t="s">
        <v>1064</v>
      </c>
      <c r="M1" s="5" t="s">
        <v>1063</v>
      </c>
      <c r="N1" s="5" t="s">
        <v>1065</v>
      </c>
      <c r="O1" s="5" t="s">
        <v>1066</v>
      </c>
      <c r="P1" s="1" t="s">
        <v>1067</v>
      </c>
      <c r="Q1" s="1" t="s">
        <v>5</v>
      </c>
      <c r="R1" s="1" t="s">
        <v>1</v>
      </c>
      <c r="S1" s="1" t="s">
        <v>2</v>
      </c>
      <c r="T1" s="1" t="s">
        <v>1062</v>
      </c>
      <c r="U1" s="2" t="s">
        <v>1088</v>
      </c>
      <c r="V1" s="8" t="s">
        <v>1089</v>
      </c>
      <c r="W1" s="2" t="s">
        <v>1090</v>
      </c>
      <c r="X1" s="2" t="s">
        <v>1091</v>
      </c>
      <c r="Y1" s="2" t="s">
        <v>1092</v>
      </c>
      <c r="Z1" s="2" t="s">
        <v>1093</v>
      </c>
      <c r="AA1" s="2" t="s">
        <v>1094</v>
      </c>
      <c r="AB1" s="2" t="s">
        <v>1095</v>
      </c>
      <c r="AC1" s="2" t="s">
        <v>1075</v>
      </c>
      <c r="AD1" s="2" t="s">
        <v>1061</v>
      </c>
      <c r="AE1" s="2" t="s">
        <v>1096</v>
      </c>
    </row>
    <row r="2" spans="1:31" x14ac:dyDescent="0.3">
      <c r="A2" s="3" t="s">
        <v>7</v>
      </c>
      <c r="B2" s="4">
        <v>45529</v>
      </c>
      <c r="C2" s="4">
        <v>45544</v>
      </c>
      <c r="D2" s="4">
        <v>37899</v>
      </c>
      <c r="E2" s="3">
        <v>22</v>
      </c>
      <c r="F2" s="3" t="s">
        <v>8</v>
      </c>
      <c r="G2" s="3" t="s">
        <v>9</v>
      </c>
      <c r="H2" s="3" t="s">
        <v>12</v>
      </c>
      <c r="I2" s="3" t="s">
        <v>13</v>
      </c>
      <c r="J2" s="3" t="s">
        <v>14</v>
      </c>
      <c r="K2" s="3" t="s">
        <v>15</v>
      </c>
      <c r="L2" s="6">
        <v>2622.27</v>
      </c>
      <c r="M2" s="6">
        <v>625.1</v>
      </c>
      <c r="N2" s="6">
        <v>1295.76</v>
      </c>
      <c r="O2" s="6">
        <v>10228.959999999999</v>
      </c>
      <c r="P2" s="3" t="s">
        <v>16</v>
      </c>
      <c r="Q2" s="3" t="s">
        <v>1076</v>
      </c>
      <c r="R2" s="3" t="s">
        <v>10</v>
      </c>
      <c r="S2" s="3" t="s">
        <v>11</v>
      </c>
      <c r="T2" s="3">
        <v>3</v>
      </c>
      <c r="U2" s="3">
        <f>CAPSTONE_PROJECT[[#This Row],[Discharge Date]]-CAPSTONE_PROJECT[[#This Row],[Admission Date]]</f>
        <v>15</v>
      </c>
      <c r="V2" s="6">
        <f>SUM(CAPSTONE_PROJECT[[#This Row],[Room Cost]:[Treatment Cost]])</f>
        <v>14772.09</v>
      </c>
      <c r="W2" s="6">
        <f t="shared" ref="W2:W65" si="0">V2/U2</f>
        <v>984.80600000000004</v>
      </c>
      <c r="X2" s="3" t="str">
        <f>TEXT(CAPSTONE_PROJECT[[#This Row],[Admission Date]],"mmmm")</f>
        <v>August</v>
      </c>
      <c r="Y2" s="3" t="str">
        <f>TEXT(CAPSTONE_PROJECT[[#This Row],[Admission Date]],"yyyy")</f>
        <v>2024</v>
      </c>
      <c r="Z2" s="3" t="str">
        <f>TEXT(CAPSTONE_PROJECT[[#This Row],[Admission Date]],"mmm yyyy")</f>
        <v>Aug 2024</v>
      </c>
      <c r="AA2" s="3" t="str">
        <f>TEXT(CAPSTONE_PROJECT[[#This Row],[Admission Date]],"dddd")</f>
        <v>Sunday</v>
      </c>
      <c r="AB2" s="3" t="str">
        <f>IF(CAPSTONE_PROJECT[[#This Row],[Age]]&lt;=34,"Young Adults",IF(CAPSTONE_PROJECT[[#This Row],[Age]]&lt;=59,"Adults","Elders"))</f>
        <v>Young Adults</v>
      </c>
      <c r="AC2" s="3" t="str">
        <f>_xlfn.XLOOKUP(CAPSTONE_PROJECT[[#This Row],[Patient ID]],'Lookup table'!A:A,'Lookup table'!B:B,,0)</f>
        <v>Ethan Wilson</v>
      </c>
      <c r="AD2" s="3" t="str">
        <f>_xlfn.XLOOKUP(CAPSTONE_PROJECT[[#This Row],[Patient ID]],'Lookup table'!A:A,'Lookup table'!C:C,,0)</f>
        <v>Male</v>
      </c>
      <c r="AE2" s="3" t="str">
        <f>IF(CAPSTONE_PROJECT[[#This Row],[Length of Stay]]&lt;=3,"Short Stay",IF(CAPSTONE_PROJECT[[#This Row],[Length of Stay]]&lt;=7,"Moderate Stay",IF(CAPSTONE_PROJECT[[#This Row],[Length of Stay]]&lt;=14,"Long Stay","Extended Stay")))</f>
        <v>Extended Stay</v>
      </c>
    </row>
    <row r="3" spans="1:31" x14ac:dyDescent="0.3">
      <c r="A3" s="3" t="s">
        <v>17</v>
      </c>
      <c r="B3" s="4">
        <v>45994</v>
      </c>
      <c r="C3" s="4">
        <v>45996</v>
      </c>
      <c r="D3" s="4">
        <v>16738</v>
      </c>
      <c r="E3" s="3">
        <v>80</v>
      </c>
      <c r="F3" s="3" t="s">
        <v>18</v>
      </c>
      <c r="G3" s="3" t="s">
        <v>9</v>
      </c>
      <c r="H3" s="3" t="s">
        <v>21</v>
      </c>
      <c r="I3" s="3" t="s">
        <v>22</v>
      </c>
      <c r="J3" s="3" t="s">
        <v>23</v>
      </c>
      <c r="K3" s="3" t="s">
        <v>24</v>
      </c>
      <c r="L3" s="6">
        <v>1558.08</v>
      </c>
      <c r="M3" s="6">
        <v>1656.97</v>
      </c>
      <c r="N3" s="6">
        <v>1052.71</v>
      </c>
      <c r="O3" s="6">
        <v>6599.48</v>
      </c>
      <c r="P3" s="3" t="s">
        <v>25</v>
      </c>
      <c r="Q3" s="3" t="s">
        <v>1077</v>
      </c>
      <c r="R3" s="3" t="s">
        <v>19</v>
      </c>
      <c r="S3" s="3" t="s">
        <v>20</v>
      </c>
      <c r="T3" s="3">
        <v>6</v>
      </c>
      <c r="U3" s="3">
        <f>CAPSTONE_PROJECT[[#This Row],[Discharge Date]]-CAPSTONE_PROJECT[[#This Row],[Admission Date]]</f>
        <v>2</v>
      </c>
      <c r="V3" s="6">
        <f>SUM(CAPSTONE_PROJECT[[#This Row],[Room Cost]:[Treatment Cost]])</f>
        <v>10867.24</v>
      </c>
      <c r="W3" s="6">
        <f t="shared" si="0"/>
        <v>5433.62</v>
      </c>
      <c r="X3" s="3" t="str">
        <f>TEXT(CAPSTONE_PROJECT[[#This Row],[Admission Date]],"mmmm")</f>
        <v>December</v>
      </c>
      <c r="Y3" s="3" t="str">
        <f>TEXT(CAPSTONE_PROJECT[[#This Row],[Admission Date]],"yyyy")</f>
        <v>2025</v>
      </c>
      <c r="Z3" s="3" t="str">
        <f>TEXT(CAPSTONE_PROJECT[[#This Row],[Admission Date]],"mmm yyyy")</f>
        <v>Dec 2025</v>
      </c>
      <c r="AA3" s="3" t="str">
        <f>TEXT(CAPSTONE_PROJECT[[#This Row],[Admission Date]],"dddd")</f>
        <v>Wednesday</v>
      </c>
      <c r="AB3" s="3" t="str">
        <f>IF(CAPSTONE_PROJECT[[#This Row],[Age]]&lt;=34,"Young Adults",IF(CAPSTONE_PROJECT[[#This Row],[Age]]&lt;=59,"Adults","Elders"))</f>
        <v>Elders</v>
      </c>
      <c r="AC3" s="3" t="str">
        <f>_xlfn.XLOOKUP(CAPSTONE_PROJECT[[#This Row],[Patient ID]],'Lookup table'!A:A,'Lookup table'!B:B,,0)</f>
        <v>Sarah Walker</v>
      </c>
      <c r="AD3" s="3" t="str">
        <f>_xlfn.XLOOKUP(CAPSTONE_PROJECT[[#This Row],[Patient ID]],'Lookup table'!A:A,'Lookup table'!C:C,,0)</f>
        <v>Female</v>
      </c>
      <c r="AE3" s="3" t="str">
        <f>IF(CAPSTONE_PROJECT[[#This Row],[Length of Stay]]&lt;=3,"Short Stay",IF(CAPSTONE_PROJECT[[#This Row],[Length of Stay]]&lt;=7,"Moderate Stay",IF(CAPSTONE_PROJECT[[#This Row],[Length of Stay]]&lt;=14,"Long Stay","Extended Stay")))</f>
        <v>Short Stay</v>
      </c>
    </row>
    <row r="4" spans="1:31" x14ac:dyDescent="0.3">
      <c r="A4" s="3" t="s">
        <v>26</v>
      </c>
      <c r="B4" s="4">
        <v>45785</v>
      </c>
      <c r="C4" s="4">
        <v>45795</v>
      </c>
      <c r="D4" s="4">
        <v>35863</v>
      </c>
      <c r="E4" s="3">
        <v>28</v>
      </c>
      <c r="F4" s="3" t="s">
        <v>8</v>
      </c>
      <c r="G4" s="3" t="s">
        <v>27</v>
      </c>
      <c r="H4" s="3" t="s">
        <v>29</v>
      </c>
      <c r="I4" s="3" t="s">
        <v>22</v>
      </c>
      <c r="J4" s="3" t="s">
        <v>30</v>
      </c>
      <c r="K4" s="3" t="s">
        <v>15</v>
      </c>
      <c r="L4" s="6">
        <v>3153.83</v>
      </c>
      <c r="M4" s="6">
        <v>521.57000000000005</v>
      </c>
      <c r="N4" s="6">
        <v>701.42</v>
      </c>
      <c r="O4" s="6">
        <v>14612.55</v>
      </c>
      <c r="P4" s="3" t="s">
        <v>31</v>
      </c>
      <c r="Q4" s="3" t="s">
        <v>1078</v>
      </c>
      <c r="R4" s="3" t="s">
        <v>10</v>
      </c>
      <c r="S4" s="3" t="s">
        <v>28</v>
      </c>
      <c r="T4" s="3">
        <v>4</v>
      </c>
      <c r="U4" s="3">
        <f>CAPSTONE_PROJECT[[#This Row],[Discharge Date]]-CAPSTONE_PROJECT[[#This Row],[Admission Date]]</f>
        <v>10</v>
      </c>
      <c r="V4" s="6">
        <f>SUM(CAPSTONE_PROJECT[[#This Row],[Room Cost]:[Treatment Cost]])</f>
        <v>18989.37</v>
      </c>
      <c r="W4" s="6">
        <f t="shared" si="0"/>
        <v>1898.9369999999999</v>
      </c>
      <c r="X4" s="3" t="str">
        <f>TEXT(CAPSTONE_PROJECT[[#This Row],[Admission Date]],"mmmm")</f>
        <v>May</v>
      </c>
      <c r="Y4" s="3" t="str">
        <f>TEXT(CAPSTONE_PROJECT[[#This Row],[Admission Date]],"yyyy")</f>
        <v>2025</v>
      </c>
      <c r="Z4" s="3" t="str">
        <f>TEXT(CAPSTONE_PROJECT[[#This Row],[Admission Date]],"mmm yyyy")</f>
        <v>May 2025</v>
      </c>
      <c r="AA4" s="3" t="str">
        <f>TEXT(CAPSTONE_PROJECT[[#This Row],[Admission Date]],"dddd")</f>
        <v>Thursday</v>
      </c>
      <c r="AB4" s="3" t="str">
        <f>IF(CAPSTONE_PROJECT[[#This Row],[Age]]&lt;=34,"Young Adults",IF(CAPSTONE_PROJECT[[#This Row],[Age]]&lt;=59,"Adults","Elders"))</f>
        <v>Young Adults</v>
      </c>
      <c r="AC4" s="3" t="str">
        <f>_xlfn.XLOOKUP(CAPSTONE_PROJECT[[#This Row],[Patient ID]],'Lookup table'!A:A,'Lookup table'!B:B,,0)</f>
        <v>James Jones</v>
      </c>
      <c r="AD4" s="3" t="str">
        <f>_xlfn.XLOOKUP(CAPSTONE_PROJECT[[#This Row],[Patient ID]],'Lookup table'!A:A,'Lookup table'!C:C,,0)</f>
        <v>Male</v>
      </c>
      <c r="AE4" s="3" t="str">
        <f>IF(CAPSTONE_PROJECT[[#This Row],[Length of Stay]]&lt;=3,"Short Stay",IF(CAPSTONE_PROJECT[[#This Row],[Length of Stay]]&lt;=7,"Moderate Stay",IF(CAPSTONE_PROJECT[[#This Row],[Length of Stay]]&lt;=14,"Long Stay","Extended Stay")))</f>
        <v>Long Stay</v>
      </c>
    </row>
    <row r="5" spans="1:31" x14ac:dyDescent="0.3">
      <c r="A5" s="3" t="s">
        <v>32</v>
      </c>
      <c r="B5" s="4">
        <v>45767</v>
      </c>
      <c r="C5" s="4">
        <v>45777</v>
      </c>
      <c r="D5" s="4">
        <v>31464</v>
      </c>
      <c r="E5" s="3">
        <v>40</v>
      </c>
      <c r="F5" s="3" t="s">
        <v>33</v>
      </c>
      <c r="G5" s="3" t="s">
        <v>34</v>
      </c>
      <c r="H5" s="3" t="s">
        <v>111</v>
      </c>
      <c r="I5" s="3" t="s">
        <v>37</v>
      </c>
      <c r="J5" s="3" t="s">
        <v>38</v>
      </c>
      <c r="K5" s="3" t="s">
        <v>15</v>
      </c>
      <c r="L5" s="6">
        <v>3156.73</v>
      </c>
      <c r="M5" s="6">
        <v>977.53</v>
      </c>
      <c r="N5" s="6">
        <v>1395.59</v>
      </c>
      <c r="O5" s="6">
        <v>5115.72</v>
      </c>
      <c r="P5" s="3" t="s">
        <v>31</v>
      </c>
      <c r="Q5" s="3" t="s">
        <v>1078</v>
      </c>
      <c r="R5" s="3" t="s">
        <v>35</v>
      </c>
      <c r="S5" s="3" t="s">
        <v>36</v>
      </c>
      <c r="T5" s="3">
        <v>2</v>
      </c>
      <c r="U5" s="3">
        <f>CAPSTONE_PROJECT[[#This Row],[Discharge Date]]-CAPSTONE_PROJECT[[#This Row],[Admission Date]]</f>
        <v>10</v>
      </c>
      <c r="V5" s="6">
        <f>SUM(CAPSTONE_PROJECT[[#This Row],[Room Cost]:[Treatment Cost]])</f>
        <v>10645.57</v>
      </c>
      <c r="W5" s="6">
        <f t="shared" si="0"/>
        <v>1064.557</v>
      </c>
      <c r="X5" s="3" t="str">
        <f>TEXT(CAPSTONE_PROJECT[[#This Row],[Admission Date]],"mmmm")</f>
        <v>April</v>
      </c>
      <c r="Y5" s="3" t="str">
        <f>TEXT(CAPSTONE_PROJECT[[#This Row],[Admission Date]],"yyyy")</f>
        <v>2025</v>
      </c>
      <c r="Z5" s="3" t="str">
        <f>TEXT(CAPSTONE_PROJECT[[#This Row],[Admission Date]],"mmm yyyy")</f>
        <v>Apr 2025</v>
      </c>
      <c r="AA5" s="3" t="str">
        <f>TEXT(CAPSTONE_PROJECT[[#This Row],[Admission Date]],"dddd")</f>
        <v>Sunday</v>
      </c>
      <c r="AB5" s="3" t="str">
        <f>IF(CAPSTONE_PROJECT[[#This Row],[Age]]&lt;=34,"Young Adults",IF(CAPSTONE_PROJECT[[#This Row],[Age]]&lt;=59,"Adults","Elders"))</f>
        <v>Adults</v>
      </c>
      <c r="AC5" s="3" t="str">
        <f>_xlfn.XLOOKUP(CAPSTONE_PROJECT[[#This Row],[Patient ID]],'Lookup table'!A:A,'Lookup table'!B:B,,0)</f>
        <v>Sophia Wilson</v>
      </c>
      <c r="AD5" s="3" t="str">
        <f>_xlfn.XLOOKUP(CAPSTONE_PROJECT[[#This Row],[Patient ID]],'Lookup table'!A:A,'Lookup table'!C:C,,0)</f>
        <v>Female</v>
      </c>
      <c r="AE5" s="3" t="str">
        <f>IF(CAPSTONE_PROJECT[[#This Row],[Length of Stay]]&lt;=3,"Short Stay",IF(CAPSTONE_PROJECT[[#This Row],[Length of Stay]]&lt;=7,"Moderate Stay",IF(CAPSTONE_PROJECT[[#This Row],[Length of Stay]]&lt;=14,"Long Stay","Extended Stay")))</f>
        <v>Long Stay</v>
      </c>
    </row>
    <row r="6" spans="1:31" x14ac:dyDescent="0.3">
      <c r="A6" s="3" t="s">
        <v>39</v>
      </c>
      <c r="B6" s="4">
        <v>45952</v>
      </c>
      <c r="C6" s="4">
        <v>45964</v>
      </c>
      <c r="D6" s="4">
        <v>32312</v>
      </c>
      <c r="E6" s="3">
        <v>37</v>
      </c>
      <c r="F6" s="3" t="s">
        <v>8</v>
      </c>
      <c r="G6" s="3" t="s">
        <v>40</v>
      </c>
      <c r="H6" s="3" t="s">
        <v>43</v>
      </c>
      <c r="I6" s="3" t="s">
        <v>37</v>
      </c>
      <c r="J6" s="3" t="s">
        <v>45</v>
      </c>
      <c r="K6" s="3" t="s">
        <v>24</v>
      </c>
      <c r="L6" s="6">
        <v>4982.28</v>
      </c>
      <c r="M6" s="6">
        <v>1827.2</v>
      </c>
      <c r="N6" s="6">
        <v>0</v>
      </c>
      <c r="O6" s="6">
        <v>0</v>
      </c>
      <c r="P6" s="3" t="s">
        <v>31</v>
      </c>
      <c r="Q6" s="3" t="s">
        <v>1076</v>
      </c>
      <c r="R6" s="3" t="s">
        <v>41</v>
      </c>
      <c r="S6" s="3" t="s">
        <v>42</v>
      </c>
      <c r="T6" s="3">
        <v>4</v>
      </c>
      <c r="U6" s="3">
        <f>CAPSTONE_PROJECT[[#This Row],[Discharge Date]]-CAPSTONE_PROJECT[[#This Row],[Admission Date]]</f>
        <v>12</v>
      </c>
      <c r="V6" s="6">
        <f>SUM(CAPSTONE_PROJECT[[#This Row],[Room Cost]:[Treatment Cost]])</f>
        <v>6809.48</v>
      </c>
      <c r="W6" s="6">
        <f t="shared" si="0"/>
        <v>567.45666666666659</v>
      </c>
      <c r="X6" s="3" t="str">
        <f>TEXT(CAPSTONE_PROJECT[[#This Row],[Admission Date]],"mmmm")</f>
        <v>October</v>
      </c>
      <c r="Y6" s="3" t="str">
        <f>TEXT(CAPSTONE_PROJECT[[#This Row],[Admission Date]],"yyyy")</f>
        <v>2025</v>
      </c>
      <c r="Z6" s="3" t="str">
        <f>TEXT(CAPSTONE_PROJECT[[#This Row],[Admission Date]],"mmm yyyy")</f>
        <v>Oct 2025</v>
      </c>
      <c r="AA6" s="3" t="str">
        <f>TEXT(CAPSTONE_PROJECT[[#This Row],[Admission Date]],"dddd")</f>
        <v>Wednesday</v>
      </c>
      <c r="AB6" s="3" t="str">
        <f>IF(CAPSTONE_PROJECT[[#This Row],[Age]]&lt;=34,"Young Adults",IF(CAPSTONE_PROJECT[[#This Row],[Age]]&lt;=59,"Adults","Elders"))</f>
        <v>Adults</v>
      </c>
      <c r="AC6" s="3" t="str">
        <f>_xlfn.XLOOKUP(CAPSTONE_PROJECT[[#This Row],[Patient ID]],'Lookup table'!A:A,'Lookup table'!B:B,,0)</f>
        <v>Ethan Taylor</v>
      </c>
      <c r="AD6" s="3" t="str">
        <f>_xlfn.XLOOKUP(CAPSTONE_PROJECT[[#This Row],[Patient ID]],'Lookup table'!A:A,'Lookup table'!C:C,,0)</f>
        <v>Male</v>
      </c>
      <c r="AE6" s="3" t="str">
        <f>IF(CAPSTONE_PROJECT[[#This Row],[Length of Stay]]&lt;=3,"Short Stay",IF(CAPSTONE_PROJECT[[#This Row],[Length of Stay]]&lt;=7,"Moderate Stay",IF(CAPSTONE_PROJECT[[#This Row],[Length of Stay]]&lt;=14,"Long Stay","Extended Stay")))</f>
        <v>Long Stay</v>
      </c>
    </row>
    <row r="7" spans="1:31" x14ac:dyDescent="0.3">
      <c r="A7" s="3" t="s">
        <v>46</v>
      </c>
      <c r="B7" s="4">
        <v>45968</v>
      </c>
      <c r="C7" s="4">
        <v>45969</v>
      </c>
      <c r="D7" s="4">
        <v>35128</v>
      </c>
      <c r="E7" s="3">
        <v>30</v>
      </c>
      <c r="F7" s="3" t="s">
        <v>47</v>
      </c>
      <c r="G7" s="3" t="s">
        <v>48</v>
      </c>
      <c r="H7" s="3" t="s">
        <v>114</v>
      </c>
      <c r="I7" s="3" t="s">
        <v>37</v>
      </c>
      <c r="J7" s="3" t="s">
        <v>38</v>
      </c>
      <c r="K7" s="3" t="s">
        <v>50</v>
      </c>
      <c r="L7" s="6">
        <v>4401.16</v>
      </c>
      <c r="M7" s="6">
        <v>1385.2</v>
      </c>
      <c r="N7" s="6">
        <v>2493.38</v>
      </c>
      <c r="O7" s="6">
        <v>10620.37</v>
      </c>
      <c r="P7" s="3" t="s">
        <v>51</v>
      </c>
      <c r="Q7" s="3" t="s">
        <v>1079</v>
      </c>
      <c r="R7" s="3" t="s">
        <v>19</v>
      </c>
      <c r="S7" s="3" t="s">
        <v>49</v>
      </c>
      <c r="T7" s="3">
        <v>3</v>
      </c>
      <c r="U7" s="3">
        <f>CAPSTONE_PROJECT[[#This Row],[Discharge Date]]-CAPSTONE_PROJECT[[#This Row],[Admission Date]]</f>
        <v>1</v>
      </c>
      <c r="V7" s="6">
        <f>SUM(CAPSTONE_PROJECT[[#This Row],[Room Cost]:[Treatment Cost]])</f>
        <v>18900.11</v>
      </c>
      <c r="W7" s="6">
        <f t="shared" si="0"/>
        <v>18900.11</v>
      </c>
      <c r="X7" s="3" t="str">
        <f>TEXT(CAPSTONE_PROJECT[[#This Row],[Admission Date]],"mmmm")</f>
        <v>November</v>
      </c>
      <c r="Y7" s="3" t="str">
        <f>TEXT(CAPSTONE_PROJECT[[#This Row],[Admission Date]],"yyyy")</f>
        <v>2025</v>
      </c>
      <c r="Z7" s="3" t="str">
        <f>TEXT(CAPSTONE_PROJECT[[#This Row],[Admission Date]],"mmm yyyy")</f>
        <v>Nov 2025</v>
      </c>
      <c r="AA7" s="3" t="str">
        <f>TEXT(CAPSTONE_PROJECT[[#This Row],[Admission Date]],"dddd")</f>
        <v>Friday</v>
      </c>
      <c r="AB7" s="3" t="str">
        <f>IF(CAPSTONE_PROJECT[[#This Row],[Age]]&lt;=34,"Young Adults",IF(CAPSTONE_PROJECT[[#This Row],[Age]]&lt;=59,"Adults","Elders"))</f>
        <v>Young Adults</v>
      </c>
      <c r="AC7" s="3" t="str">
        <f>_xlfn.XLOOKUP(CAPSTONE_PROJECT[[#This Row],[Patient ID]],'Lookup table'!A:A,'Lookup table'!B:B,,0)</f>
        <v>Charlotte Hall</v>
      </c>
      <c r="AD7" s="3" t="str">
        <f>_xlfn.XLOOKUP(CAPSTONE_PROJECT[[#This Row],[Patient ID]],'Lookup table'!A:A,'Lookup table'!C:C,,0)</f>
        <v>Female</v>
      </c>
      <c r="AE7" s="3" t="str">
        <f>IF(CAPSTONE_PROJECT[[#This Row],[Length of Stay]]&lt;=3,"Short Stay",IF(CAPSTONE_PROJECT[[#This Row],[Length of Stay]]&lt;=7,"Moderate Stay",IF(CAPSTONE_PROJECT[[#This Row],[Length of Stay]]&lt;=14,"Long Stay","Extended Stay")))</f>
        <v>Short Stay</v>
      </c>
    </row>
    <row r="8" spans="1:31" x14ac:dyDescent="0.3">
      <c r="A8" s="3" t="s">
        <v>52</v>
      </c>
      <c r="B8" s="4">
        <v>45994</v>
      </c>
      <c r="C8" s="4">
        <v>45998</v>
      </c>
      <c r="D8" s="4">
        <v>36355</v>
      </c>
      <c r="E8" s="3">
        <v>26</v>
      </c>
      <c r="F8" s="3" t="s">
        <v>8</v>
      </c>
      <c r="G8" s="3" t="s">
        <v>53</v>
      </c>
      <c r="H8" s="3" t="s">
        <v>1080</v>
      </c>
      <c r="I8" s="3" t="s">
        <v>13</v>
      </c>
      <c r="J8" s="3" t="s">
        <v>14</v>
      </c>
      <c r="K8" s="3" t="s">
        <v>50</v>
      </c>
      <c r="L8" s="6">
        <v>2012.38</v>
      </c>
      <c r="M8" s="6">
        <v>1736.67</v>
      </c>
      <c r="N8" s="6">
        <v>1429.83</v>
      </c>
      <c r="O8" s="6">
        <v>7997.55</v>
      </c>
      <c r="P8" s="3" t="s">
        <v>31</v>
      </c>
      <c r="Q8" s="3" t="s">
        <v>1077</v>
      </c>
      <c r="R8" s="3" t="s">
        <v>54</v>
      </c>
      <c r="S8" s="3" t="s">
        <v>55</v>
      </c>
      <c r="T8" s="3">
        <v>2</v>
      </c>
      <c r="U8" s="3">
        <f>CAPSTONE_PROJECT[[#This Row],[Discharge Date]]-CAPSTONE_PROJECT[[#This Row],[Admission Date]]</f>
        <v>4</v>
      </c>
      <c r="V8" s="6">
        <f>SUM(CAPSTONE_PROJECT[[#This Row],[Room Cost]:[Treatment Cost]])</f>
        <v>13176.43</v>
      </c>
      <c r="W8" s="6">
        <f t="shared" si="0"/>
        <v>3294.1075000000001</v>
      </c>
      <c r="X8" s="3" t="str">
        <f>TEXT(CAPSTONE_PROJECT[[#This Row],[Admission Date]],"mmmm")</f>
        <v>December</v>
      </c>
      <c r="Y8" s="3" t="str">
        <f>TEXT(CAPSTONE_PROJECT[[#This Row],[Admission Date]],"yyyy")</f>
        <v>2025</v>
      </c>
      <c r="Z8" s="3" t="str">
        <f>TEXT(CAPSTONE_PROJECT[[#This Row],[Admission Date]],"mmm yyyy")</f>
        <v>Dec 2025</v>
      </c>
      <c r="AA8" s="3" t="str">
        <f>TEXT(CAPSTONE_PROJECT[[#This Row],[Admission Date]],"dddd")</f>
        <v>Wednesday</v>
      </c>
      <c r="AB8" s="3" t="str">
        <f>IF(CAPSTONE_PROJECT[[#This Row],[Age]]&lt;=34,"Young Adults",IF(CAPSTONE_PROJECT[[#This Row],[Age]]&lt;=59,"Adults","Elders"))</f>
        <v>Young Adults</v>
      </c>
      <c r="AC8" s="3" t="str">
        <f>_xlfn.XLOOKUP(CAPSTONE_PROJECT[[#This Row],[Patient ID]],'Lookup table'!A:A,'Lookup table'!B:B,,0)</f>
        <v>John Brown</v>
      </c>
      <c r="AD8" s="3" t="str">
        <f>_xlfn.XLOOKUP(CAPSTONE_PROJECT[[#This Row],[Patient ID]],'Lookup table'!A:A,'Lookup table'!C:C,,0)</f>
        <v>Male</v>
      </c>
      <c r="AE8" s="3" t="str">
        <f>IF(CAPSTONE_PROJECT[[#This Row],[Length of Stay]]&lt;=3,"Short Stay",IF(CAPSTONE_PROJECT[[#This Row],[Length of Stay]]&lt;=7,"Moderate Stay",IF(CAPSTONE_PROJECT[[#This Row],[Length of Stay]]&lt;=14,"Long Stay","Extended Stay")))</f>
        <v>Moderate Stay</v>
      </c>
    </row>
    <row r="9" spans="1:31" x14ac:dyDescent="0.3">
      <c r="A9" s="3" t="s">
        <v>56</v>
      </c>
      <c r="B9" s="4">
        <v>45973</v>
      </c>
      <c r="C9" s="4">
        <v>45982</v>
      </c>
      <c r="D9" s="4">
        <v>23934</v>
      </c>
      <c r="E9" s="3">
        <v>60</v>
      </c>
      <c r="F9" s="3" t="s">
        <v>18</v>
      </c>
      <c r="G9" s="3" t="s">
        <v>57</v>
      </c>
      <c r="H9" s="3" t="s">
        <v>29</v>
      </c>
      <c r="I9" s="3" t="s">
        <v>37</v>
      </c>
      <c r="J9" s="3" t="s">
        <v>15</v>
      </c>
      <c r="K9" s="3" t="s">
        <v>15</v>
      </c>
      <c r="L9" s="6">
        <v>617.84</v>
      </c>
      <c r="M9" s="6">
        <v>1264.6199999999999</v>
      </c>
      <c r="N9" s="6">
        <v>333.12</v>
      </c>
      <c r="O9" s="6">
        <v>15637.84</v>
      </c>
      <c r="P9" s="3" t="s">
        <v>16</v>
      </c>
      <c r="Q9" s="3" t="s">
        <v>1081</v>
      </c>
      <c r="R9" s="3" t="s">
        <v>58</v>
      </c>
      <c r="S9" s="3" t="s">
        <v>59</v>
      </c>
      <c r="T9" s="3">
        <v>2</v>
      </c>
      <c r="U9" s="3">
        <f>CAPSTONE_PROJECT[[#This Row],[Discharge Date]]-CAPSTONE_PROJECT[[#This Row],[Admission Date]]</f>
        <v>9</v>
      </c>
      <c r="V9" s="6">
        <f>SUM(CAPSTONE_PROJECT[[#This Row],[Room Cost]:[Treatment Cost]])</f>
        <v>17853.419999999998</v>
      </c>
      <c r="W9" s="6">
        <f t="shared" si="0"/>
        <v>1983.7133333333331</v>
      </c>
      <c r="X9" s="3" t="str">
        <f>TEXT(CAPSTONE_PROJECT[[#This Row],[Admission Date]],"mmmm")</f>
        <v>November</v>
      </c>
      <c r="Y9" s="3" t="str">
        <f>TEXT(CAPSTONE_PROJECT[[#This Row],[Admission Date]],"yyyy")</f>
        <v>2025</v>
      </c>
      <c r="Z9" s="3" t="str">
        <f>TEXT(CAPSTONE_PROJECT[[#This Row],[Admission Date]],"mmm yyyy")</f>
        <v>Nov 2025</v>
      </c>
      <c r="AA9" s="3" t="str">
        <f>TEXT(CAPSTONE_PROJECT[[#This Row],[Admission Date]],"dddd")</f>
        <v>Wednesday</v>
      </c>
      <c r="AB9" s="3" t="str">
        <f>IF(CAPSTONE_PROJECT[[#This Row],[Age]]&lt;=34,"Young Adults",IF(CAPSTONE_PROJECT[[#This Row],[Age]]&lt;=59,"Adults","Elders"))</f>
        <v>Elders</v>
      </c>
      <c r="AC9" s="3" t="str">
        <f>_xlfn.XLOOKUP(CAPSTONE_PROJECT[[#This Row],[Patient ID]],'Lookup table'!A:A,'Lookup table'!B:B,,0)</f>
        <v>Emma Martin</v>
      </c>
      <c r="AD9" s="3" t="str">
        <f>_xlfn.XLOOKUP(CAPSTONE_PROJECT[[#This Row],[Patient ID]],'Lookup table'!A:A,'Lookup table'!C:C,,0)</f>
        <v>Female</v>
      </c>
      <c r="AE9" s="3" t="str">
        <f>IF(CAPSTONE_PROJECT[[#This Row],[Length of Stay]]&lt;=3,"Short Stay",IF(CAPSTONE_PROJECT[[#This Row],[Length of Stay]]&lt;=7,"Moderate Stay",IF(CAPSTONE_PROJECT[[#This Row],[Length of Stay]]&lt;=14,"Long Stay","Extended Stay")))</f>
        <v>Long Stay</v>
      </c>
    </row>
    <row r="10" spans="1:31" x14ac:dyDescent="0.3">
      <c r="A10" s="3" t="s">
        <v>60</v>
      </c>
      <c r="B10" s="4">
        <v>45521</v>
      </c>
      <c r="C10" s="4">
        <v>45525</v>
      </c>
      <c r="D10" s="4">
        <v>20044</v>
      </c>
      <c r="E10" s="3">
        <v>71</v>
      </c>
      <c r="F10" s="3" t="s">
        <v>47</v>
      </c>
      <c r="G10" s="3" t="s">
        <v>61</v>
      </c>
      <c r="H10" s="3" t="s">
        <v>29</v>
      </c>
      <c r="I10" s="3" t="s">
        <v>22</v>
      </c>
      <c r="J10" s="3" t="s">
        <v>64</v>
      </c>
      <c r="K10" s="3" t="s">
        <v>65</v>
      </c>
      <c r="L10" s="6">
        <v>4804.7299999999996</v>
      </c>
      <c r="M10" s="6">
        <v>169.09</v>
      </c>
      <c r="N10" s="6">
        <v>2423.62</v>
      </c>
      <c r="O10" s="6">
        <v>4341.8599999999997</v>
      </c>
      <c r="P10" s="3" t="s">
        <v>25</v>
      </c>
      <c r="Q10" s="3" t="s">
        <v>1081</v>
      </c>
      <c r="R10" s="3" t="s">
        <v>62</v>
      </c>
      <c r="S10" s="3" t="s">
        <v>63</v>
      </c>
      <c r="T10" s="3">
        <v>7</v>
      </c>
      <c r="U10" s="3">
        <f>CAPSTONE_PROJECT[[#This Row],[Discharge Date]]-CAPSTONE_PROJECT[[#This Row],[Admission Date]]</f>
        <v>4</v>
      </c>
      <c r="V10" s="6">
        <f>SUM(CAPSTONE_PROJECT[[#This Row],[Room Cost]:[Treatment Cost]])</f>
        <v>11739.3</v>
      </c>
      <c r="W10" s="6">
        <f t="shared" si="0"/>
        <v>2934.8249999999998</v>
      </c>
      <c r="X10" s="3" t="str">
        <f>TEXT(CAPSTONE_PROJECT[[#This Row],[Admission Date]],"mmmm")</f>
        <v>August</v>
      </c>
      <c r="Y10" s="3" t="str">
        <f>TEXT(CAPSTONE_PROJECT[[#This Row],[Admission Date]],"yyyy")</f>
        <v>2024</v>
      </c>
      <c r="Z10" s="3" t="str">
        <f>TEXT(CAPSTONE_PROJECT[[#This Row],[Admission Date]],"mmm yyyy")</f>
        <v>Aug 2024</v>
      </c>
      <c r="AA10" s="3" t="str">
        <f>TEXT(CAPSTONE_PROJECT[[#This Row],[Admission Date]],"dddd")</f>
        <v>Saturday</v>
      </c>
      <c r="AB10" s="3" t="str">
        <f>IF(CAPSTONE_PROJECT[[#This Row],[Age]]&lt;=34,"Young Adults",IF(CAPSTONE_PROJECT[[#This Row],[Age]]&lt;=59,"Adults","Elders"))</f>
        <v>Elders</v>
      </c>
      <c r="AC10" s="3" t="str">
        <f>_xlfn.XLOOKUP(CAPSTONE_PROJECT[[#This Row],[Patient ID]],'Lookup table'!A:A,'Lookup table'!B:B,,0)</f>
        <v>James Brown</v>
      </c>
      <c r="AD10" s="3" t="str">
        <f>_xlfn.XLOOKUP(CAPSTONE_PROJECT[[#This Row],[Patient ID]],'Lookup table'!A:A,'Lookup table'!C:C,,0)</f>
        <v>Male</v>
      </c>
      <c r="AE10" s="3" t="str">
        <f>IF(CAPSTONE_PROJECT[[#This Row],[Length of Stay]]&lt;=3,"Short Stay",IF(CAPSTONE_PROJECT[[#This Row],[Length of Stay]]&lt;=7,"Moderate Stay",IF(CAPSTONE_PROJECT[[#This Row],[Length of Stay]]&lt;=14,"Long Stay","Extended Stay")))</f>
        <v>Moderate Stay</v>
      </c>
    </row>
    <row r="11" spans="1:31" x14ac:dyDescent="0.3">
      <c r="A11" s="3" t="s">
        <v>66</v>
      </c>
      <c r="B11" s="4">
        <v>45677</v>
      </c>
      <c r="C11" s="4">
        <v>45691</v>
      </c>
      <c r="D11" s="4">
        <v>33854</v>
      </c>
      <c r="E11" s="3">
        <v>33</v>
      </c>
      <c r="F11" s="3" t="s">
        <v>47</v>
      </c>
      <c r="G11" s="3" t="s">
        <v>67</v>
      </c>
      <c r="H11" s="3" t="s">
        <v>1080</v>
      </c>
      <c r="I11" s="3" t="s">
        <v>44</v>
      </c>
      <c r="J11" s="3" t="s">
        <v>14</v>
      </c>
      <c r="K11" s="3" t="s">
        <v>15</v>
      </c>
      <c r="L11" s="6">
        <v>5006.66</v>
      </c>
      <c r="M11" s="6">
        <v>1401.42</v>
      </c>
      <c r="N11" s="6">
        <v>2433.62</v>
      </c>
      <c r="O11" s="6">
        <v>2599.25</v>
      </c>
      <c r="P11" s="3" t="s">
        <v>25</v>
      </c>
      <c r="Q11" s="3" t="s">
        <v>1081</v>
      </c>
      <c r="R11" s="3" t="s">
        <v>68</v>
      </c>
      <c r="S11" s="3" t="s">
        <v>69</v>
      </c>
      <c r="T11" s="3">
        <v>1</v>
      </c>
      <c r="U11" s="3">
        <f>CAPSTONE_PROJECT[[#This Row],[Discharge Date]]-CAPSTONE_PROJECT[[#This Row],[Admission Date]]</f>
        <v>14</v>
      </c>
      <c r="V11" s="6">
        <f>SUM(CAPSTONE_PROJECT[[#This Row],[Room Cost]:[Treatment Cost]])</f>
        <v>11440.95</v>
      </c>
      <c r="W11" s="6">
        <f t="shared" si="0"/>
        <v>817.21071428571429</v>
      </c>
      <c r="X11" s="3" t="str">
        <f>TEXT(CAPSTONE_PROJECT[[#This Row],[Admission Date]],"mmmm")</f>
        <v>January</v>
      </c>
      <c r="Y11" s="3" t="str">
        <f>TEXT(CAPSTONE_PROJECT[[#This Row],[Admission Date]],"yyyy")</f>
        <v>2025</v>
      </c>
      <c r="Z11" s="3" t="str">
        <f>TEXT(CAPSTONE_PROJECT[[#This Row],[Admission Date]],"mmm yyyy")</f>
        <v>Jan 2025</v>
      </c>
      <c r="AA11" s="3" t="str">
        <f>TEXT(CAPSTONE_PROJECT[[#This Row],[Admission Date]],"dddd")</f>
        <v>Monday</v>
      </c>
      <c r="AB11" s="3" t="str">
        <f>IF(CAPSTONE_PROJECT[[#This Row],[Age]]&lt;=34,"Young Adults",IF(CAPSTONE_PROJECT[[#This Row],[Age]]&lt;=59,"Adults","Elders"))</f>
        <v>Young Adults</v>
      </c>
      <c r="AC11" s="3" t="str">
        <f>_xlfn.XLOOKUP(CAPSTONE_PROJECT[[#This Row],[Patient ID]],'Lookup table'!A:A,'Lookup table'!B:B,,0)</f>
        <v>Emily Martin</v>
      </c>
      <c r="AD11" s="3" t="str">
        <f>_xlfn.XLOOKUP(CAPSTONE_PROJECT[[#This Row],[Patient ID]],'Lookup table'!A:A,'Lookup table'!C:C,,0)</f>
        <v>Female</v>
      </c>
      <c r="AE11" s="3" t="str">
        <f>IF(CAPSTONE_PROJECT[[#This Row],[Length of Stay]]&lt;=3,"Short Stay",IF(CAPSTONE_PROJECT[[#This Row],[Length of Stay]]&lt;=7,"Moderate Stay",IF(CAPSTONE_PROJECT[[#This Row],[Length of Stay]]&lt;=14,"Long Stay","Extended Stay")))</f>
        <v>Long Stay</v>
      </c>
    </row>
    <row r="12" spans="1:31" x14ac:dyDescent="0.3">
      <c r="A12" s="3" t="s">
        <v>70</v>
      </c>
      <c r="B12" s="4">
        <v>45501</v>
      </c>
      <c r="C12" s="4">
        <v>45511</v>
      </c>
      <c r="D12" s="4">
        <v>30317</v>
      </c>
      <c r="E12" s="3">
        <v>43</v>
      </c>
      <c r="F12" s="3" t="s">
        <v>18</v>
      </c>
      <c r="G12" s="3" t="s">
        <v>57</v>
      </c>
      <c r="H12" s="3" t="s">
        <v>72</v>
      </c>
      <c r="I12" s="3" t="s">
        <v>13</v>
      </c>
      <c r="J12" s="3" t="s">
        <v>73</v>
      </c>
      <c r="K12" s="3" t="s">
        <v>65</v>
      </c>
      <c r="L12" s="6">
        <v>3673.34</v>
      </c>
      <c r="M12" s="6">
        <v>1505.01</v>
      </c>
      <c r="N12" s="6">
        <v>1405</v>
      </c>
      <c r="O12" s="6">
        <v>14937.06</v>
      </c>
      <c r="P12" s="3" t="s">
        <v>25</v>
      </c>
      <c r="Q12" s="3" t="s">
        <v>1082</v>
      </c>
      <c r="R12" s="3" t="s">
        <v>35</v>
      </c>
      <c r="S12" s="3" t="s">
        <v>71</v>
      </c>
      <c r="T12" s="3">
        <v>8</v>
      </c>
      <c r="U12" s="3">
        <f>CAPSTONE_PROJECT[[#This Row],[Discharge Date]]-CAPSTONE_PROJECT[[#This Row],[Admission Date]]</f>
        <v>10</v>
      </c>
      <c r="V12" s="6">
        <f>SUM(CAPSTONE_PROJECT[[#This Row],[Room Cost]:[Treatment Cost]])</f>
        <v>21520.41</v>
      </c>
      <c r="W12" s="6">
        <f t="shared" si="0"/>
        <v>2152.0410000000002</v>
      </c>
      <c r="X12" s="3" t="str">
        <f>TEXT(CAPSTONE_PROJECT[[#This Row],[Admission Date]],"mmmm")</f>
        <v>July</v>
      </c>
      <c r="Y12" s="3" t="str">
        <f>TEXT(CAPSTONE_PROJECT[[#This Row],[Admission Date]],"yyyy")</f>
        <v>2024</v>
      </c>
      <c r="Z12" s="3" t="str">
        <f>TEXT(CAPSTONE_PROJECT[[#This Row],[Admission Date]],"mmm yyyy")</f>
        <v>Jul 2024</v>
      </c>
      <c r="AA12" s="3" t="str">
        <f>TEXT(CAPSTONE_PROJECT[[#This Row],[Admission Date]],"dddd")</f>
        <v>Sunday</v>
      </c>
      <c r="AB12" s="3" t="str">
        <f>IF(CAPSTONE_PROJECT[[#This Row],[Age]]&lt;=34,"Young Adults",IF(CAPSTONE_PROJECT[[#This Row],[Age]]&lt;=59,"Adults","Elders"))</f>
        <v>Adults</v>
      </c>
      <c r="AC12" s="3" t="str">
        <f>_xlfn.XLOOKUP(CAPSTONE_PROJECT[[#This Row],[Patient ID]],'Lookup table'!A:A,'Lookup table'!B:B,,0)</f>
        <v>Lucas Hall</v>
      </c>
      <c r="AD12" s="3" t="str">
        <f>_xlfn.XLOOKUP(CAPSTONE_PROJECT[[#This Row],[Patient ID]],'Lookup table'!A:A,'Lookup table'!C:C,,0)</f>
        <v>Male</v>
      </c>
      <c r="AE12" s="3" t="str">
        <f>IF(CAPSTONE_PROJECT[[#This Row],[Length of Stay]]&lt;=3,"Short Stay",IF(CAPSTONE_PROJECT[[#This Row],[Length of Stay]]&lt;=7,"Moderate Stay",IF(CAPSTONE_PROJECT[[#This Row],[Length of Stay]]&lt;=14,"Long Stay","Extended Stay")))</f>
        <v>Long Stay</v>
      </c>
    </row>
    <row r="13" spans="1:31" x14ac:dyDescent="0.3">
      <c r="A13" s="3" t="s">
        <v>74</v>
      </c>
      <c r="B13" s="4">
        <v>45467</v>
      </c>
      <c r="C13" s="4">
        <v>45487</v>
      </c>
      <c r="D13" s="4">
        <v>25579</v>
      </c>
      <c r="E13" s="3">
        <v>56</v>
      </c>
      <c r="F13" s="3" t="s">
        <v>8</v>
      </c>
      <c r="G13" s="3" t="s">
        <v>48</v>
      </c>
      <c r="H13" s="3" t="s">
        <v>1080</v>
      </c>
      <c r="I13" s="3" t="s">
        <v>37</v>
      </c>
      <c r="J13" s="3" t="s">
        <v>45</v>
      </c>
      <c r="K13" s="3" t="s">
        <v>24</v>
      </c>
      <c r="L13" s="6">
        <v>1332.63</v>
      </c>
      <c r="M13" s="6">
        <v>331.8</v>
      </c>
      <c r="N13" s="6">
        <v>1922.45</v>
      </c>
      <c r="O13" s="6">
        <v>13375.22</v>
      </c>
      <c r="P13" s="3" t="s">
        <v>31</v>
      </c>
      <c r="Q13" s="3" t="s">
        <v>1081</v>
      </c>
      <c r="R13" s="3" t="s">
        <v>75</v>
      </c>
      <c r="S13" s="3" t="s">
        <v>76</v>
      </c>
      <c r="T13" s="3">
        <v>4</v>
      </c>
      <c r="U13" s="3">
        <f>CAPSTONE_PROJECT[[#This Row],[Discharge Date]]-CAPSTONE_PROJECT[[#This Row],[Admission Date]]</f>
        <v>20</v>
      </c>
      <c r="V13" s="6">
        <f>SUM(CAPSTONE_PROJECT[[#This Row],[Room Cost]:[Treatment Cost]])</f>
        <v>16962.099999999999</v>
      </c>
      <c r="W13" s="6">
        <f t="shared" si="0"/>
        <v>848.1049999999999</v>
      </c>
      <c r="X13" s="3" t="str">
        <f>TEXT(CAPSTONE_PROJECT[[#This Row],[Admission Date]],"mmmm")</f>
        <v>June</v>
      </c>
      <c r="Y13" s="3" t="str">
        <f>TEXT(CAPSTONE_PROJECT[[#This Row],[Admission Date]],"yyyy")</f>
        <v>2024</v>
      </c>
      <c r="Z13" s="3" t="str">
        <f>TEXT(CAPSTONE_PROJECT[[#This Row],[Admission Date]],"mmm yyyy")</f>
        <v>Jun 2024</v>
      </c>
      <c r="AA13" s="3" t="str">
        <f>TEXT(CAPSTONE_PROJECT[[#This Row],[Admission Date]],"dddd")</f>
        <v>Monday</v>
      </c>
      <c r="AB13" s="3" t="str">
        <f>IF(CAPSTONE_PROJECT[[#This Row],[Age]]&lt;=34,"Young Adults",IF(CAPSTONE_PROJECT[[#This Row],[Age]]&lt;=59,"Adults","Elders"))</f>
        <v>Adults</v>
      </c>
      <c r="AC13" s="3" t="str">
        <f>_xlfn.XLOOKUP(CAPSTONE_PROJECT[[#This Row],[Patient ID]],'Lookup table'!A:A,'Lookup table'!B:B,,0)</f>
        <v>Olivia Wood</v>
      </c>
      <c r="AD13" s="3" t="str">
        <f>_xlfn.XLOOKUP(CAPSTONE_PROJECT[[#This Row],[Patient ID]],'Lookup table'!A:A,'Lookup table'!C:C,,0)</f>
        <v>Female</v>
      </c>
      <c r="AE13" s="3" t="str">
        <f>IF(CAPSTONE_PROJECT[[#This Row],[Length of Stay]]&lt;=3,"Short Stay",IF(CAPSTONE_PROJECT[[#This Row],[Length of Stay]]&lt;=7,"Moderate Stay",IF(CAPSTONE_PROJECT[[#This Row],[Length of Stay]]&lt;=14,"Long Stay","Extended Stay")))</f>
        <v>Extended Stay</v>
      </c>
    </row>
    <row r="14" spans="1:31" x14ac:dyDescent="0.3">
      <c r="A14" s="3" t="s">
        <v>77</v>
      </c>
      <c r="B14" s="4">
        <v>45473</v>
      </c>
      <c r="C14" s="4">
        <v>45489</v>
      </c>
      <c r="D14" s="4">
        <v>34276</v>
      </c>
      <c r="E14" s="3">
        <v>32</v>
      </c>
      <c r="F14" s="3" t="s">
        <v>8</v>
      </c>
      <c r="G14" s="3" t="s">
        <v>78</v>
      </c>
      <c r="H14" s="3" t="s">
        <v>1080</v>
      </c>
      <c r="I14" s="3" t="s">
        <v>22</v>
      </c>
      <c r="J14" s="3" t="s">
        <v>73</v>
      </c>
      <c r="K14" s="3" t="s">
        <v>65</v>
      </c>
      <c r="L14" s="6">
        <v>413.69</v>
      </c>
      <c r="M14" s="6">
        <v>1737.35</v>
      </c>
      <c r="N14" s="6">
        <v>2931.42</v>
      </c>
      <c r="O14" s="6">
        <v>6046.74</v>
      </c>
      <c r="P14" s="3" t="s">
        <v>16</v>
      </c>
      <c r="Q14" s="3" t="s">
        <v>1081</v>
      </c>
      <c r="R14" s="3" t="s">
        <v>68</v>
      </c>
      <c r="S14" s="3" t="s">
        <v>79</v>
      </c>
      <c r="T14" s="3">
        <v>10</v>
      </c>
      <c r="U14" s="3">
        <f>CAPSTONE_PROJECT[[#This Row],[Discharge Date]]-CAPSTONE_PROJECT[[#This Row],[Admission Date]]</f>
        <v>16</v>
      </c>
      <c r="V14" s="6">
        <f>SUM(CAPSTONE_PROJECT[[#This Row],[Room Cost]:[Treatment Cost]])</f>
        <v>11129.2</v>
      </c>
      <c r="W14" s="6">
        <f t="shared" si="0"/>
        <v>695.57500000000005</v>
      </c>
      <c r="X14" s="3" t="str">
        <f>TEXT(CAPSTONE_PROJECT[[#This Row],[Admission Date]],"mmmm")</f>
        <v>June</v>
      </c>
      <c r="Y14" s="3" t="str">
        <f>TEXT(CAPSTONE_PROJECT[[#This Row],[Admission Date]],"yyyy")</f>
        <v>2024</v>
      </c>
      <c r="Z14" s="3" t="str">
        <f>TEXT(CAPSTONE_PROJECT[[#This Row],[Admission Date]],"mmm yyyy")</f>
        <v>Jun 2024</v>
      </c>
      <c r="AA14" s="3" t="str">
        <f>TEXT(CAPSTONE_PROJECT[[#This Row],[Admission Date]],"dddd")</f>
        <v>Sunday</v>
      </c>
      <c r="AB14" s="3" t="str">
        <f>IF(CAPSTONE_PROJECT[[#This Row],[Age]]&lt;=34,"Young Adults",IF(CAPSTONE_PROJECT[[#This Row],[Age]]&lt;=59,"Adults","Elders"))</f>
        <v>Young Adults</v>
      </c>
      <c r="AC14" s="3" t="str">
        <f>_xlfn.XLOOKUP(CAPSTONE_PROJECT[[#This Row],[Patient ID]],'Lookup table'!A:A,'Lookup table'!B:B,,0)</f>
        <v>Benjamin Walker</v>
      </c>
      <c r="AD14" s="3" t="str">
        <f>_xlfn.XLOOKUP(CAPSTONE_PROJECT[[#This Row],[Patient ID]],'Lookup table'!A:A,'Lookup table'!C:C,,0)</f>
        <v>Male</v>
      </c>
      <c r="AE14" s="3" t="str">
        <f>IF(CAPSTONE_PROJECT[[#This Row],[Length of Stay]]&lt;=3,"Short Stay",IF(CAPSTONE_PROJECT[[#This Row],[Length of Stay]]&lt;=7,"Moderate Stay",IF(CAPSTONE_PROJECT[[#This Row],[Length of Stay]]&lt;=14,"Long Stay","Extended Stay")))</f>
        <v>Extended Stay</v>
      </c>
    </row>
    <row r="15" spans="1:31" x14ac:dyDescent="0.3">
      <c r="A15" s="3" t="s">
        <v>80</v>
      </c>
      <c r="B15" s="4">
        <v>45334</v>
      </c>
      <c r="C15" s="4">
        <v>45349</v>
      </c>
      <c r="D15" s="4">
        <v>27320</v>
      </c>
      <c r="E15" s="3">
        <v>51</v>
      </c>
      <c r="F15" s="3" t="s">
        <v>47</v>
      </c>
      <c r="G15" s="3" t="s">
        <v>57</v>
      </c>
      <c r="H15" s="3" t="s">
        <v>21</v>
      </c>
      <c r="I15" s="3" t="s">
        <v>44</v>
      </c>
      <c r="J15" s="3" t="s">
        <v>64</v>
      </c>
      <c r="K15" s="3" t="s">
        <v>24</v>
      </c>
      <c r="L15" s="6">
        <v>2938.89</v>
      </c>
      <c r="M15" s="6">
        <v>166.46</v>
      </c>
      <c r="N15" s="6">
        <v>2118.09</v>
      </c>
      <c r="O15" s="6">
        <v>7255.77</v>
      </c>
      <c r="P15" s="3" t="s">
        <v>16</v>
      </c>
      <c r="Q15" s="3" t="s">
        <v>1081</v>
      </c>
      <c r="R15" s="3" t="s">
        <v>41</v>
      </c>
      <c r="S15" s="3" t="s">
        <v>81</v>
      </c>
      <c r="T15" s="3">
        <v>1</v>
      </c>
      <c r="U15" s="3">
        <f>CAPSTONE_PROJECT[[#This Row],[Discharge Date]]-CAPSTONE_PROJECT[[#This Row],[Admission Date]]</f>
        <v>15</v>
      </c>
      <c r="V15" s="6">
        <f>SUM(CAPSTONE_PROJECT[[#This Row],[Room Cost]:[Treatment Cost]])</f>
        <v>12479.210000000001</v>
      </c>
      <c r="W15" s="6">
        <f t="shared" si="0"/>
        <v>831.9473333333334</v>
      </c>
      <c r="X15" s="3" t="str">
        <f>TEXT(CAPSTONE_PROJECT[[#This Row],[Admission Date]],"mmmm")</f>
        <v>February</v>
      </c>
      <c r="Y15" s="3" t="str">
        <f>TEXT(CAPSTONE_PROJECT[[#This Row],[Admission Date]],"yyyy")</f>
        <v>2024</v>
      </c>
      <c r="Z15" s="3" t="str">
        <f>TEXT(CAPSTONE_PROJECT[[#This Row],[Admission Date]],"mmm yyyy")</f>
        <v>Feb 2024</v>
      </c>
      <c r="AA15" s="3" t="str">
        <f>TEXT(CAPSTONE_PROJECT[[#This Row],[Admission Date]],"dddd")</f>
        <v>Monday</v>
      </c>
      <c r="AB15" s="3" t="str">
        <f>IF(CAPSTONE_PROJECT[[#This Row],[Age]]&lt;=34,"Young Adults",IF(CAPSTONE_PROJECT[[#This Row],[Age]]&lt;=59,"Adults","Elders"))</f>
        <v>Adults</v>
      </c>
      <c r="AC15" s="3" t="str">
        <f>_xlfn.XLOOKUP(CAPSTONE_PROJECT[[#This Row],[Patient ID]],'Lookup table'!A:A,'Lookup table'!B:B,,0)</f>
        <v>Lily Brown</v>
      </c>
      <c r="AD15" s="3" t="str">
        <f>_xlfn.XLOOKUP(CAPSTONE_PROJECT[[#This Row],[Patient ID]],'Lookup table'!A:A,'Lookup table'!C:C,,0)</f>
        <v>Female</v>
      </c>
      <c r="AE15" s="3" t="str">
        <f>IF(CAPSTONE_PROJECT[[#This Row],[Length of Stay]]&lt;=3,"Short Stay",IF(CAPSTONE_PROJECT[[#This Row],[Length of Stay]]&lt;=7,"Moderate Stay",IF(CAPSTONE_PROJECT[[#This Row],[Length of Stay]]&lt;=14,"Long Stay","Extended Stay")))</f>
        <v>Extended Stay</v>
      </c>
    </row>
    <row r="16" spans="1:31" x14ac:dyDescent="0.3">
      <c r="A16" s="3" t="s">
        <v>82</v>
      </c>
      <c r="B16" s="4">
        <v>45986</v>
      </c>
      <c r="C16" s="4">
        <v>45999</v>
      </c>
      <c r="D16" s="4">
        <v>24156</v>
      </c>
      <c r="E16" s="3">
        <v>60</v>
      </c>
      <c r="F16" s="3" t="s">
        <v>33</v>
      </c>
      <c r="G16" s="3" t="s">
        <v>78</v>
      </c>
      <c r="H16" s="3" t="s">
        <v>12</v>
      </c>
      <c r="I16" s="3" t="s">
        <v>22</v>
      </c>
      <c r="J16" s="3" t="s">
        <v>23</v>
      </c>
      <c r="K16" s="3" t="s">
        <v>65</v>
      </c>
      <c r="L16" s="6">
        <v>4301.18</v>
      </c>
      <c r="M16" s="6">
        <v>777.44</v>
      </c>
      <c r="N16" s="6">
        <v>1423.15</v>
      </c>
      <c r="O16" s="6">
        <v>11754.46</v>
      </c>
      <c r="P16" s="3" t="s">
        <v>51</v>
      </c>
      <c r="Q16" s="3" t="s">
        <v>1079</v>
      </c>
      <c r="R16" s="3" t="s">
        <v>54</v>
      </c>
      <c r="S16" s="3" t="s">
        <v>83</v>
      </c>
      <c r="T16" s="3">
        <v>3</v>
      </c>
      <c r="U16" s="3">
        <f>CAPSTONE_PROJECT[[#This Row],[Discharge Date]]-CAPSTONE_PROJECT[[#This Row],[Admission Date]]</f>
        <v>13</v>
      </c>
      <c r="V16" s="6">
        <f>SUM(CAPSTONE_PROJECT[[#This Row],[Room Cost]:[Treatment Cost]])</f>
        <v>18256.23</v>
      </c>
      <c r="W16" s="6">
        <f t="shared" si="0"/>
        <v>1404.3253846153846</v>
      </c>
      <c r="X16" s="3" t="str">
        <f>TEXT(CAPSTONE_PROJECT[[#This Row],[Admission Date]],"mmmm")</f>
        <v>November</v>
      </c>
      <c r="Y16" s="3" t="str">
        <f>TEXT(CAPSTONE_PROJECT[[#This Row],[Admission Date]],"yyyy")</f>
        <v>2025</v>
      </c>
      <c r="Z16" s="3" t="str">
        <f>TEXT(CAPSTONE_PROJECT[[#This Row],[Admission Date]],"mmm yyyy")</f>
        <v>Nov 2025</v>
      </c>
      <c r="AA16" s="3" t="str">
        <f>TEXT(CAPSTONE_PROJECT[[#This Row],[Admission Date]],"dddd")</f>
        <v>Tuesday</v>
      </c>
      <c r="AB16" s="3" t="str">
        <f>IF(CAPSTONE_PROJECT[[#This Row],[Age]]&lt;=34,"Young Adults",IF(CAPSTONE_PROJECT[[#This Row],[Age]]&lt;=59,"Adults","Elders"))</f>
        <v>Elders</v>
      </c>
      <c r="AC16" s="3" t="str">
        <f>_xlfn.XLOOKUP(CAPSTONE_PROJECT[[#This Row],[Patient ID]],'Lookup table'!A:A,'Lookup table'!B:B,,0)</f>
        <v>Henry White</v>
      </c>
      <c r="AD16" s="3" t="str">
        <f>_xlfn.XLOOKUP(CAPSTONE_PROJECT[[#This Row],[Patient ID]],'Lookup table'!A:A,'Lookup table'!C:C,,0)</f>
        <v>Male</v>
      </c>
      <c r="AE16" s="3" t="str">
        <f>IF(CAPSTONE_PROJECT[[#This Row],[Length of Stay]]&lt;=3,"Short Stay",IF(CAPSTONE_PROJECT[[#This Row],[Length of Stay]]&lt;=7,"Moderate Stay",IF(CAPSTONE_PROJECT[[#This Row],[Length of Stay]]&lt;=14,"Long Stay","Extended Stay")))</f>
        <v>Long Stay</v>
      </c>
    </row>
    <row r="17" spans="1:31" x14ac:dyDescent="0.3">
      <c r="A17" s="3" t="s">
        <v>84</v>
      </c>
      <c r="B17" s="4">
        <v>45523</v>
      </c>
      <c r="C17" s="4">
        <v>45528</v>
      </c>
      <c r="D17" s="4">
        <v>38571</v>
      </c>
      <c r="E17" s="3">
        <v>20</v>
      </c>
      <c r="F17" s="3" t="s">
        <v>18</v>
      </c>
      <c r="G17" s="3" t="s">
        <v>61</v>
      </c>
      <c r="H17" s="3" t="s">
        <v>114</v>
      </c>
      <c r="I17" s="3" t="s">
        <v>44</v>
      </c>
      <c r="J17" s="3" t="s">
        <v>38</v>
      </c>
      <c r="K17" s="3" t="s">
        <v>15</v>
      </c>
      <c r="L17" s="6">
        <v>2141.96</v>
      </c>
      <c r="M17" s="6">
        <v>1284.25</v>
      </c>
      <c r="N17" s="6">
        <v>2206.09</v>
      </c>
      <c r="O17" s="6">
        <v>7144.36</v>
      </c>
      <c r="P17" s="3" t="s">
        <v>1083</v>
      </c>
      <c r="Q17" s="3" t="s">
        <v>1084</v>
      </c>
      <c r="R17" s="3" t="s">
        <v>10</v>
      </c>
      <c r="S17" s="3" t="s">
        <v>85</v>
      </c>
      <c r="T17" s="3">
        <v>9</v>
      </c>
      <c r="U17" s="3">
        <f>CAPSTONE_PROJECT[[#This Row],[Discharge Date]]-CAPSTONE_PROJECT[[#This Row],[Admission Date]]</f>
        <v>5</v>
      </c>
      <c r="V17" s="6">
        <f>SUM(CAPSTONE_PROJECT[[#This Row],[Room Cost]:[Treatment Cost]])</f>
        <v>12776.66</v>
      </c>
      <c r="W17" s="6">
        <f t="shared" si="0"/>
        <v>2555.3319999999999</v>
      </c>
      <c r="X17" s="3" t="str">
        <f>TEXT(CAPSTONE_PROJECT[[#This Row],[Admission Date]],"mmmm")</f>
        <v>August</v>
      </c>
      <c r="Y17" s="3" t="str">
        <f>TEXT(CAPSTONE_PROJECT[[#This Row],[Admission Date]],"yyyy")</f>
        <v>2024</v>
      </c>
      <c r="Z17" s="3" t="str">
        <f>TEXT(CAPSTONE_PROJECT[[#This Row],[Admission Date]],"mmm yyyy")</f>
        <v>Aug 2024</v>
      </c>
      <c r="AA17" s="3" t="str">
        <f>TEXT(CAPSTONE_PROJECT[[#This Row],[Admission Date]],"dddd")</f>
        <v>Monday</v>
      </c>
      <c r="AB17" s="3" t="str">
        <f>IF(CAPSTONE_PROJECT[[#This Row],[Age]]&lt;=34,"Young Adults",IF(CAPSTONE_PROJECT[[#This Row],[Age]]&lt;=59,"Adults","Elders"))</f>
        <v>Young Adults</v>
      </c>
      <c r="AC17" s="3" t="str">
        <f>_xlfn.XLOOKUP(CAPSTONE_PROJECT[[#This Row],[Patient ID]],'Lookup table'!A:A,'Lookup table'!B:B,,0)</f>
        <v>Ella Hall</v>
      </c>
      <c r="AD17" s="3" t="str">
        <f>_xlfn.XLOOKUP(CAPSTONE_PROJECT[[#This Row],[Patient ID]],'Lookup table'!A:A,'Lookup table'!C:C,,0)</f>
        <v>Female</v>
      </c>
      <c r="AE17" s="3" t="str">
        <f>IF(CAPSTONE_PROJECT[[#This Row],[Length of Stay]]&lt;=3,"Short Stay",IF(CAPSTONE_PROJECT[[#This Row],[Length of Stay]]&lt;=7,"Moderate Stay",IF(CAPSTONE_PROJECT[[#This Row],[Length of Stay]]&lt;=14,"Long Stay","Extended Stay")))</f>
        <v>Moderate Stay</v>
      </c>
    </row>
    <row r="18" spans="1:31" x14ac:dyDescent="0.3">
      <c r="A18" s="3" t="s">
        <v>86</v>
      </c>
      <c r="B18" s="4">
        <v>45772</v>
      </c>
      <c r="C18" s="4">
        <v>45779</v>
      </c>
      <c r="D18" s="4">
        <v>28955</v>
      </c>
      <c r="E18" s="3">
        <v>47</v>
      </c>
      <c r="F18" s="3" t="s">
        <v>18</v>
      </c>
      <c r="G18" s="3" t="s">
        <v>61</v>
      </c>
      <c r="H18" s="3" t="s">
        <v>29</v>
      </c>
      <c r="I18" s="3" t="s">
        <v>37</v>
      </c>
      <c r="J18" s="3" t="s">
        <v>14</v>
      </c>
      <c r="K18" s="3" t="s">
        <v>65</v>
      </c>
      <c r="L18" s="6">
        <v>3870.53</v>
      </c>
      <c r="M18" s="6">
        <v>362.55</v>
      </c>
      <c r="N18" s="6">
        <v>2017.94</v>
      </c>
      <c r="O18" s="6">
        <v>13162.31</v>
      </c>
      <c r="P18" s="3" t="s">
        <v>16</v>
      </c>
      <c r="Q18" s="3" t="s">
        <v>1085</v>
      </c>
      <c r="R18" s="3" t="s">
        <v>41</v>
      </c>
      <c r="S18" s="3" t="s">
        <v>87</v>
      </c>
      <c r="T18" s="3">
        <v>7</v>
      </c>
      <c r="U18" s="3">
        <f>CAPSTONE_PROJECT[[#This Row],[Discharge Date]]-CAPSTONE_PROJECT[[#This Row],[Admission Date]]</f>
        <v>7</v>
      </c>
      <c r="V18" s="6">
        <f>SUM(CAPSTONE_PROJECT[[#This Row],[Room Cost]:[Treatment Cost]])</f>
        <v>19413.330000000002</v>
      </c>
      <c r="W18" s="6">
        <f t="shared" si="0"/>
        <v>2773.3328571428574</v>
      </c>
      <c r="X18" s="3" t="str">
        <f>TEXT(CAPSTONE_PROJECT[[#This Row],[Admission Date]],"mmmm")</f>
        <v>April</v>
      </c>
      <c r="Y18" s="3" t="str">
        <f>TEXT(CAPSTONE_PROJECT[[#This Row],[Admission Date]],"yyyy")</f>
        <v>2025</v>
      </c>
      <c r="Z18" s="3" t="str">
        <f>TEXT(CAPSTONE_PROJECT[[#This Row],[Admission Date]],"mmm yyyy")</f>
        <v>Apr 2025</v>
      </c>
      <c r="AA18" s="3" t="str">
        <f>TEXT(CAPSTONE_PROJECT[[#This Row],[Admission Date]],"dddd")</f>
        <v>Friday</v>
      </c>
      <c r="AB18" s="3" t="str">
        <f>IF(CAPSTONE_PROJECT[[#This Row],[Age]]&lt;=34,"Young Adults",IF(CAPSTONE_PROJECT[[#This Row],[Age]]&lt;=59,"Adults","Elders"))</f>
        <v>Adults</v>
      </c>
      <c r="AC18" s="3" t="str">
        <f>_xlfn.XLOOKUP(CAPSTONE_PROJECT[[#This Row],[Patient ID]],'Lookup table'!A:A,'Lookup table'!B:B,,0)</f>
        <v>Noah Walker</v>
      </c>
      <c r="AD18" s="3" t="str">
        <f>_xlfn.XLOOKUP(CAPSTONE_PROJECT[[#This Row],[Patient ID]],'Lookup table'!A:A,'Lookup table'!C:C,,0)</f>
        <v>Male</v>
      </c>
      <c r="AE18" s="3" t="str">
        <f>IF(CAPSTONE_PROJECT[[#This Row],[Length of Stay]]&lt;=3,"Short Stay",IF(CAPSTONE_PROJECT[[#This Row],[Length of Stay]]&lt;=7,"Moderate Stay",IF(CAPSTONE_PROJECT[[#This Row],[Length of Stay]]&lt;=14,"Long Stay","Extended Stay")))</f>
        <v>Moderate Stay</v>
      </c>
    </row>
    <row r="19" spans="1:31" x14ac:dyDescent="0.3">
      <c r="A19" s="3" t="s">
        <v>88</v>
      </c>
      <c r="B19" s="4">
        <v>45319</v>
      </c>
      <c r="C19" s="4">
        <v>45333</v>
      </c>
      <c r="D19" s="4">
        <v>35654</v>
      </c>
      <c r="E19" s="3">
        <v>28</v>
      </c>
      <c r="F19" s="3" t="s">
        <v>8</v>
      </c>
      <c r="G19" s="3" t="s">
        <v>78</v>
      </c>
      <c r="H19" s="3" t="s">
        <v>43</v>
      </c>
      <c r="I19" s="3" t="s">
        <v>13</v>
      </c>
      <c r="J19" s="3" t="s">
        <v>38</v>
      </c>
      <c r="K19" s="3" t="s">
        <v>65</v>
      </c>
      <c r="L19" s="6">
        <v>1949.5</v>
      </c>
      <c r="M19" s="6">
        <v>1190.01</v>
      </c>
      <c r="N19" s="6">
        <v>421.49</v>
      </c>
      <c r="O19" s="6">
        <v>1817</v>
      </c>
      <c r="P19" s="3" t="s">
        <v>16</v>
      </c>
      <c r="Q19" s="3" t="s">
        <v>1078</v>
      </c>
      <c r="R19" s="3" t="s">
        <v>41</v>
      </c>
      <c r="S19" s="3" t="s">
        <v>89</v>
      </c>
      <c r="T19" s="3">
        <v>1</v>
      </c>
      <c r="U19" s="3">
        <f>CAPSTONE_PROJECT[[#This Row],[Discharge Date]]-CAPSTONE_PROJECT[[#This Row],[Admission Date]]</f>
        <v>14</v>
      </c>
      <c r="V19" s="6">
        <f>SUM(CAPSTONE_PROJECT[[#This Row],[Room Cost]:[Treatment Cost]])</f>
        <v>5378</v>
      </c>
      <c r="W19" s="6">
        <f t="shared" si="0"/>
        <v>384.14285714285717</v>
      </c>
      <c r="X19" s="3" t="str">
        <f>TEXT(CAPSTONE_PROJECT[[#This Row],[Admission Date]],"mmmm")</f>
        <v>January</v>
      </c>
      <c r="Y19" s="3" t="str">
        <f>TEXT(CAPSTONE_PROJECT[[#This Row],[Admission Date]],"yyyy")</f>
        <v>2024</v>
      </c>
      <c r="Z19" s="3" t="str">
        <f>TEXT(CAPSTONE_PROJECT[[#This Row],[Admission Date]],"mmm yyyy")</f>
        <v>Jan 2024</v>
      </c>
      <c r="AA19" s="3" t="str">
        <f>TEXT(CAPSTONE_PROJECT[[#This Row],[Admission Date]],"dddd")</f>
        <v>Sunday</v>
      </c>
      <c r="AB19" s="3" t="str">
        <f>IF(CAPSTONE_PROJECT[[#This Row],[Age]]&lt;=34,"Young Adults",IF(CAPSTONE_PROJECT[[#This Row],[Age]]&lt;=59,"Adults","Elders"))</f>
        <v>Young Adults</v>
      </c>
      <c r="AC19" s="3" t="str">
        <f>_xlfn.XLOOKUP(CAPSTONE_PROJECT[[#This Row],[Patient ID]],'Lookup table'!A:A,'Lookup table'!B:B,,0)</f>
        <v>Sophia Martin</v>
      </c>
      <c r="AD19" s="3" t="str">
        <f>_xlfn.XLOOKUP(CAPSTONE_PROJECT[[#This Row],[Patient ID]],'Lookup table'!A:A,'Lookup table'!C:C,,0)</f>
        <v>Female</v>
      </c>
      <c r="AE19" s="3" t="str">
        <f>IF(CAPSTONE_PROJECT[[#This Row],[Length of Stay]]&lt;=3,"Short Stay",IF(CAPSTONE_PROJECT[[#This Row],[Length of Stay]]&lt;=7,"Moderate Stay",IF(CAPSTONE_PROJECT[[#This Row],[Length of Stay]]&lt;=14,"Long Stay","Extended Stay")))</f>
        <v>Long Stay</v>
      </c>
    </row>
    <row r="20" spans="1:31" x14ac:dyDescent="0.3">
      <c r="A20" s="3" t="s">
        <v>90</v>
      </c>
      <c r="B20" s="4">
        <v>45600</v>
      </c>
      <c r="C20" s="4">
        <v>45604</v>
      </c>
      <c r="D20" s="4">
        <v>34462</v>
      </c>
      <c r="E20" s="3">
        <v>32</v>
      </c>
      <c r="F20" s="3" t="s">
        <v>18</v>
      </c>
      <c r="G20" s="3" t="s">
        <v>48</v>
      </c>
      <c r="H20" s="3" t="s">
        <v>43</v>
      </c>
      <c r="I20" s="3" t="s">
        <v>44</v>
      </c>
      <c r="J20" s="3" t="s">
        <v>15</v>
      </c>
      <c r="K20" s="3" t="s">
        <v>65</v>
      </c>
      <c r="L20" s="6">
        <v>749.34</v>
      </c>
      <c r="M20" s="6">
        <v>1159.3699999999999</v>
      </c>
      <c r="N20" s="6">
        <v>318.08999999999997</v>
      </c>
      <c r="O20" s="6">
        <v>10050.65</v>
      </c>
      <c r="P20" s="3" t="s">
        <v>16</v>
      </c>
      <c r="Q20" s="3" t="s">
        <v>1086</v>
      </c>
      <c r="R20" s="3" t="s">
        <v>41</v>
      </c>
      <c r="S20" s="3" t="s">
        <v>91</v>
      </c>
      <c r="T20" s="3">
        <v>3</v>
      </c>
      <c r="U20" s="3">
        <f>CAPSTONE_PROJECT[[#This Row],[Discharge Date]]-CAPSTONE_PROJECT[[#This Row],[Admission Date]]</f>
        <v>4</v>
      </c>
      <c r="V20" s="6">
        <f>SUM(CAPSTONE_PROJECT[[#This Row],[Room Cost]:[Treatment Cost]])</f>
        <v>12277.45</v>
      </c>
      <c r="W20" s="6">
        <f t="shared" si="0"/>
        <v>3069.3625000000002</v>
      </c>
      <c r="X20" s="3" t="str">
        <f>TEXT(CAPSTONE_PROJECT[[#This Row],[Admission Date]],"mmmm")</f>
        <v>November</v>
      </c>
      <c r="Y20" s="3" t="str">
        <f>TEXT(CAPSTONE_PROJECT[[#This Row],[Admission Date]],"yyyy")</f>
        <v>2024</v>
      </c>
      <c r="Z20" s="3" t="str">
        <f>TEXT(CAPSTONE_PROJECT[[#This Row],[Admission Date]],"mmm yyyy")</f>
        <v>Nov 2024</v>
      </c>
      <c r="AA20" s="3" t="str">
        <f>TEXT(CAPSTONE_PROJECT[[#This Row],[Admission Date]],"dddd")</f>
        <v>Monday</v>
      </c>
      <c r="AB20" s="3" t="str">
        <f>IF(CAPSTONE_PROJECT[[#This Row],[Age]]&lt;=34,"Young Adults",IF(CAPSTONE_PROJECT[[#This Row],[Age]]&lt;=59,"Adults","Elders"))</f>
        <v>Young Adults</v>
      </c>
      <c r="AC20" s="3" t="str">
        <f>_xlfn.XLOOKUP(CAPSTONE_PROJECT[[#This Row],[Patient ID]],'Lookup table'!A:A,'Lookup table'!B:B,,0)</f>
        <v>Henry Thompson</v>
      </c>
      <c r="AD20" s="3" t="str">
        <f>_xlfn.XLOOKUP(CAPSTONE_PROJECT[[#This Row],[Patient ID]],'Lookup table'!A:A,'Lookup table'!C:C,,0)</f>
        <v>Male</v>
      </c>
      <c r="AE20" s="3" t="str">
        <f>IF(CAPSTONE_PROJECT[[#This Row],[Length of Stay]]&lt;=3,"Short Stay",IF(CAPSTONE_PROJECT[[#This Row],[Length of Stay]]&lt;=7,"Moderate Stay",IF(CAPSTONE_PROJECT[[#This Row],[Length of Stay]]&lt;=14,"Long Stay","Extended Stay")))</f>
        <v>Moderate Stay</v>
      </c>
    </row>
    <row r="21" spans="1:31" x14ac:dyDescent="0.3">
      <c r="A21" s="3" t="s">
        <v>92</v>
      </c>
      <c r="B21" s="4">
        <v>45942</v>
      </c>
      <c r="C21" s="4">
        <v>45955</v>
      </c>
      <c r="D21" s="4">
        <v>36740</v>
      </c>
      <c r="E21" s="3">
        <v>25</v>
      </c>
      <c r="F21" s="3" t="s">
        <v>47</v>
      </c>
      <c r="G21" s="3" t="s">
        <v>34</v>
      </c>
      <c r="H21" s="3" t="s">
        <v>29</v>
      </c>
      <c r="I21" s="3" t="s">
        <v>13</v>
      </c>
      <c r="J21" s="3" t="s">
        <v>38</v>
      </c>
      <c r="K21" s="3" t="s">
        <v>50</v>
      </c>
      <c r="L21" s="6">
        <v>3852.7</v>
      </c>
      <c r="M21" s="6">
        <v>434.19</v>
      </c>
      <c r="N21" s="6">
        <v>1486.11</v>
      </c>
      <c r="O21" s="6">
        <v>2249.0500000000002</v>
      </c>
      <c r="P21" s="3" t="s">
        <v>31</v>
      </c>
      <c r="Q21" s="3" t="s">
        <v>1086</v>
      </c>
      <c r="R21" s="3" t="s">
        <v>35</v>
      </c>
      <c r="S21" s="3" t="s">
        <v>93</v>
      </c>
      <c r="T21" s="3">
        <v>2</v>
      </c>
      <c r="U21" s="3">
        <f>CAPSTONE_PROJECT[[#This Row],[Discharge Date]]-CAPSTONE_PROJECT[[#This Row],[Admission Date]]</f>
        <v>13</v>
      </c>
      <c r="V21" s="6">
        <f>SUM(CAPSTONE_PROJECT[[#This Row],[Room Cost]:[Treatment Cost]])</f>
        <v>8022.0499999999993</v>
      </c>
      <c r="W21" s="6">
        <f t="shared" si="0"/>
        <v>617.08076923076919</v>
      </c>
      <c r="X21" s="3" t="str">
        <f>TEXT(CAPSTONE_PROJECT[[#This Row],[Admission Date]],"mmmm")</f>
        <v>October</v>
      </c>
      <c r="Y21" s="3" t="str">
        <f>TEXT(CAPSTONE_PROJECT[[#This Row],[Admission Date]],"yyyy")</f>
        <v>2025</v>
      </c>
      <c r="Z21" s="3" t="str">
        <f>TEXT(CAPSTONE_PROJECT[[#This Row],[Admission Date]],"mmm yyyy")</f>
        <v>Oct 2025</v>
      </c>
      <c r="AA21" s="3" t="str">
        <f>TEXT(CAPSTONE_PROJECT[[#This Row],[Admission Date]],"dddd")</f>
        <v>Sunday</v>
      </c>
      <c r="AB21" s="3" t="str">
        <f>IF(CAPSTONE_PROJECT[[#This Row],[Age]]&lt;=34,"Young Adults",IF(CAPSTONE_PROJECT[[#This Row],[Age]]&lt;=59,"Adults","Elders"))</f>
        <v>Young Adults</v>
      </c>
      <c r="AC21" s="3" t="str">
        <f>_xlfn.XLOOKUP(CAPSTONE_PROJECT[[#This Row],[Patient ID]],'Lookup table'!A:A,'Lookup table'!B:B,,0)</f>
        <v>Emma Taylor</v>
      </c>
      <c r="AD21" s="3" t="str">
        <f>_xlfn.XLOOKUP(CAPSTONE_PROJECT[[#This Row],[Patient ID]],'Lookup table'!A:A,'Lookup table'!C:C,,0)</f>
        <v>Female</v>
      </c>
      <c r="AE21" s="3" t="str">
        <f>IF(CAPSTONE_PROJECT[[#This Row],[Length of Stay]]&lt;=3,"Short Stay",IF(CAPSTONE_PROJECT[[#This Row],[Length of Stay]]&lt;=7,"Moderate Stay",IF(CAPSTONE_PROJECT[[#This Row],[Length of Stay]]&lt;=14,"Long Stay","Extended Stay")))</f>
        <v>Long Stay</v>
      </c>
    </row>
    <row r="22" spans="1:31" x14ac:dyDescent="0.3">
      <c r="A22" s="3" t="s">
        <v>94</v>
      </c>
      <c r="B22" s="4">
        <v>45699</v>
      </c>
      <c r="C22" s="4">
        <v>45717</v>
      </c>
      <c r="D22" s="4">
        <v>23879</v>
      </c>
      <c r="E22" s="3">
        <v>61</v>
      </c>
      <c r="F22" s="3" t="s">
        <v>8</v>
      </c>
      <c r="G22" s="3" t="s">
        <v>53</v>
      </c>
      <c r="H22" s="3" t="s">
        <v>1080</v>
      </c>
      <c r="I22" s="3" t="s">
        <v>13</v>
      </c>
      <c r="J22" s="3" t="s">
        <v>64</v>
      </c>
      <c r="K22" s="3" t="s">
        <v>24</v>
      </c>
      <c r="L22" s="6">
        <v>3584.89</v>
      </c>
      <c r="M22" s="6">
        <v>1302.75</v>
      </c>
      <c r="N22" s="6">
        <v>1256.7</v>
      </c>
      <c r="O22" s="6">
        <v>13708.61</v>
      </c>
      <c r="P22" s="3" t="s">
        <v>51</v>
      </c>
      <c r="Q22" s="3" t="s">
        <v>1079</v>
      </c>
      <c r="R22" s="3" t="s">
        <v>10</v>
      </c>
      <c r="S22" s="3" t="s">
        <v>95</v>
      </c>
      <c r="T22" s="3">
        <v>1</v>
      </c>
      <c r="U22" s="3">
        <f>CAPSTONE_PROJECT[[#This Row],[Discharge Date]]-CAPSTONE_PROJECT[[#This Row],[Admission Date]]</f>
        <v>18</v>
      </c>
      <c r="V22" s="6">
        <f>SUM(CAPSTONE_PROJECT[[#This Row],[Room Cost]:[Treatment Cost]])</f>
        <v>19852.95</v>
      </c>
      <c r="W22" s="6">
        <f t="shared" si="0"/>
        <v>1102.9416666666666</v>
      </c>
      <c r="X22" s="3" t="str">
        <f>TEXT(CAPSTONE_PROJECT[[#This Row],[Admission Date]],"mmmm")</f>
        <v>February</v>
      </c>
      <c r="Y22" s="3" t="str">
        <f>TEXT(CAPSTONE_PROJECT[[#This Row],[Admission Date]],"yyyy")</f>
        <v>2025</v>
      </c>
      <c r="Z22" s="3" t="str">
        <f>TEXT(CAPSTONE_PROJECT[[#This Row],[Admission Date]],"mmm yyyy")</f>
        <v>Feb 2025</v>
      </c>
      <c r="AA22" s="3" t="str">
        <f>TEXT(CAPSTONE_PROJECT[[#This Row],[Admission Date]],"dddd")</f>
        <v>Tuesday</v>
      </c>
      <c r="AB22" s="3" t="str">
        <f>IF(CAPSTONE_PROJECT[[#This Row],[Age]]&lt;=34,"Young Adults",IF(CAPSTONE_PROJECT[[#This Row],[Age]]&lt;=59,"Adults","Elders"))</f>
        <v>Elders</v>
      </c>
      <c r="AC22" s="3" t="str">
        <f>_xlfn.XLOOKUP(CAPSTONE_PROJECT[[#This Row],[Patient ID]],'Lookup table'!A:A,'Lookup table'!B:B,,0)</f>
        <v>Oliver Wilson</v>
      </c>
      <c r="AD22" s="3" t="str">
        <f>_xlfn.XLOOKUP(CAPSTONE_PROJECT[[#This Row],[Patient ID]],'Lookup table'!A:A,'Lookup table'!C:C,,0)</f>
        <v>Male</v>
      </c>
      <c r="AE22" s="3" t="str">
        <f>IF(CAPSTONE_PROJECT[[#This Row],[Length of Stay]]&lt;=3,"Short Stay",IF(CAPSTONE_PROJECT[[#This Row],[Length of Stay]]&lt;=7,"Moderate Stay",IF(CAPSTONE_PROJECT[[#This Row],[Length of Stay]]&lt;=14,"Long Stay","Extended Stay")))</f>
        <v>Extended Stay</v>
      </c>
    </row>
    <row r="23" spans="1:31" x14ac:dyDescent="0.3">
      <c r="A23" s="3" t="s">
        <v>96</v>
      </c>
      <c r="B23" s="4">
        <v>45627</v>
      </c>
      <c r="C23" s="4">
        <v>45637</v>
      </c>
      <c r="D23" s="4">
        <v>23776</v>
      </c>
      <c r="E23" s="3">
        <v>61</v>
      </c>
      <c r="F23" s="3" t="s">
        <v>33</v>
      </c>
      <c r="G23" s="3" t="s">
        <v>67</v>
      </c>
      <c r="H23" s="3" t="s">
        <v>12</v>
      </c>
      <c r="I23" s="3" t="s">
        <v>44</v>
      </c>
      <c r="J23" s="3" t="s">
        <v>73</v>
      </c>
      <c r="K23" s="3" t="s">
        <v>15</v>
      </c>
      <c r="L23" s="6">
        <v>2110.85</v>
      </c>
      <c r="M23" s="6">
        <v>788.11</v>
      </c>
      <c r="N23" s="6">
        <v>2919.39</v>
      </c>
      <c r="O23" s="6">
        <v>1196.23</v>
      </c>
      <c r="P23" s="3" t="s">
        <v>1083</v>
      </c>
      <c r="Q23" s="3" t="s">
        <v>1086</v>
      </c>
      <c r="R23" s="3" t="s">
        <v>58</v>
      </c>
      <c r="S23" s="3" t="s">
        <v>97</v>
      </c>
      <c r="T23" s="3">
        <v>8</v>
      </c>
      <c r="U23" s="3">
        <f>CAPSTONE_PROJECT[[#This Row],[Discharge Date]]-CAPSTONE_PROJECT[[#This Row],[Admission Date]]</f>
        <v>10</v>
      </c>
      <c r="V23" s="6">
        <f>SUM(CAPSTONE_PROJECT[[#This Row],[Room Cost]:[Treatment Cost]])</f>
        <v>7014.58</v>
      </c>
      <c r="W23" s="6">
        <f t="shared" si="0"/>
        <v>701.45799999999997</v>
      </c>
      <c r="X23" s="3" t="str">
        <f>TEXT(CAPSTONE_PROJECT[[#This Row],[Admission Date]],"mmmm")</f>
        <v>December</v>
      </c>
      <c r="Y23" s="3" t="str">
        <f>TEXT(CAPSTONE_PROJECT[[#This Row],[Admission Date]],"yyyy")</f>
        <v>2024</v>
      </c>
      <c r="Z23" s="3" t="str">
        <f>TEXT(CAPSTONE_PROJECT[[#This Row],[Admission Date]],"mmm yyyy")</f>
        <v>Dec 2024</v>
      </c>
      <c r="AA23" s="3" t="str">
        <f>TEXT(CAPSTONE_PROJECT[[#This Row],[Admission Date]],"dddd")</f>
        <v>Sunday</v>
      </c>
      <c r="AB23" s="3" t="str">
        <f>IF(CAPSTONE_PROJECT[[#This Row],[Age]]&lt;=34,"Young Adults",IF(CAPSTONE_PROJECT[[#This Row],[Age]]&lt;=59,"Adults","Elders"))</f>
        <v>Elders</v>
      </c>
      <c r="AC23" s="3" t="str">
        <f>_xlfn.XLOOKUP(CAPSTONE_PROJECT[[#This Row],[Patient ID]],'Lookup table'!A:A,'Lookup table'!B:B,,0)</f>
        <v>Grace Evans</v>
      </c>
      <c r="AD23" s="3" t="str">
        <f>_xlfn.XLOOKUP(CAPSTONE_PROJECT[[#This Row],[Patient ID]],'Lookup table'!A:A,'Lookup table'!C:C,,0)</f>
        <v>Female</v>
      </c>
      <c r="AE23" s="3" t="str">
        <f>IF(CAPSTONE_PROJECT[[#This Row],[Length of Stay]]&lt;=3,"Short Stay",IF(CAPSTONE_PROJECT[[#This Row],[Length of Stay]]&lt;=7,"Moderate Stay",IF(CAPSTONE_PROJECT[[#This Row],[Length of Stay]]&lt;=14,"Long Stay","Extended Stay")))</f>
        <v>Long Stay</v>
      </c>
    </row>
    <row r="24" spans="1:31" x14ac:dyDescent="0.3">
      <c r="A24" s="3" t="s">
        <v>98</v>
      </c>
      <c r="B24" s="4">
        <v>45672</v>
      </c>
      <c r="C24" s="4">
        <v>45687</v>
      </c>
      <c r="D24" s="4">
        <v>32367</v>
      </c>
      <c r="E24" s="3">
        <v>37</v>
      </c>
      <c r="F24" s="3" t="s">
        <v>33</v>
      </c>
      <c r="G24" s="3" t="s">
        <v>57</v>
      </c>
      <c r="H24" s="3" t="s">
        <v>100</v>
      </c>
      <c r="I24" s="3" t="s">
        <v>22</v>
      </c>
      <c r="J24" s="3" t="s">
        <v>38</v>
      </c>
      <c r="K24" s="3" t="s">
        <v>65</v>
      </c>
      <c r="L24" s="6">
        <v>3820.27</v>
      </c>
      <c r="M24" s="6">
        <v>1502.26</v>
      </c>
      <c r="N24" s="6">
        <v>1401.96</v>
      </c>
      <c r="O24" s="6">
        <v>3575.83</v>
      </c>
      <c r="P24" s="3" t="s">
        <v>16</v>
      </c>
      <c r="Q24" s="3" t="s">
        <v>1076</v>
      </c>
      <c r="R24" s="3" t="s">
        <v>19</v>
      </c>
      <c r="S24" s="3" t="s">
        <v>99</v>
      </c>
      <c r="T24" s="3">
        <v>5</v>
      </c>
      <c r="U24" s="3">
        <f>CAPSTONE_PROJECT[[#This Row],[Discharge Date]]-CAPSTONE_PROJECT[[#This Row],[Admission Date]]</f>
        <v>15</v>
      </c>
      <c r="V24" s="6">
        <f>SUM(CAPSTONE_PROJECT[[#This Row],[Room Cost]:[Treatment Cost]])</f>
        <v>10300.32</v>
      </c>
      <c r="W24" s="6">
        <f t="shared" si="0"/>
        <v>686.68799999999999</v>
      </c>
      <c r="X24" s="3" t="str">
        <f>TEXT(CAPSTONE_PROJECT[[#This Row],[Admission Date]],"mmmm")</f>
        <v>January</v>
      </c>
      <c r="Y24" s="3" t="str">
        <f>TEXT(CAPSTONE_PROJECT[[#This Row],[Admission Date]],"yyyy")</f>
        <v>2025</v>
      </c>
      <c r="Z24" s="3" t="str">
        <f>TEXT(CAPSTONE_PROJECT[[#This Row],[Admission Date]],"mmm yyyy")</f>
        <v>Jan 2025</v>
      </c>
      <c r="AA24" s="3" t="str">
        <f>TEXT(CAPSTONE_PROJECT[[#This Row],[Admission Date]],"dddd")</f>
        <v>Wednesday</v>
      </c>
      <c r="AB24" s="3" t="str">
        <f>IF(CAPSTONE_PROJECT[[#This Row],[Age]]&lt;=34,"Young Adults",IF(CAPSTONE_PROJECT[[#This Row],[Age]]&lt;=59,"Adults","Elders"))</f>
        <v>Adults</v>
      </c>
      <c r="AC24" s="3" t="str">
        <f>_xlfn.XLOOKUP(CAPSTONE_PROJECT[[#This Row],[Patient ID]],'Lookup table'!A:A,'Lookup table'!B:B,,0)</f>
        <v>Benjamin Z Walker</v>
      </c>
      <c r="AD24" s="3" t="str">
        <f>_xlfn.XLOOKUP(CAPSTONE_PROJECT[[#This Row],[Patient ID]],'Lookup table'!A:A,'Lookup table'!C:C,,0)</f>
        <v>Male</v>
      </c>
      <c r="AE24" s="3" t="str">
        <f>IF(CAPSTONE_PROJECT[[#This Row],[Length of Stay]]&lt;=3,"Short Stay",IF(CAPSTONE_PROJECT[[#This Row],[Length of Stay]]&lt;=7,"Moderate Stay",IF(CAPSTONE_PROJECT[[#This Row],[Length of Stay]]&lt;=14,"Long Stay","Extended Stay")))</f>
        <v>Extended Stay</v>
      </c>
    </row>
    <row r="25" spans="1:31" x14ac:dyDescent="0.3">
      <c r="A25" s="3" t="s">
        <v>101</v>
      </c>
      <c r="B25" s="4">
        <v>45358</v>
      </c>
      <c r="C25" s="4">
        <v>45376</v>
      </c>
      <c r="D25" s="4">
        <v>31951</v>
      </c>
      <c r="E25" s="3">
        <v>38</v>
      </c>
      <c r="F25" s="3" t="s">
        <v>18</v>
      </c>
      <c r="G25" s="3" t="s">
        <v>78</v>
      </c>
      <c r="H25" s="3" t="s">
        <v>104</v>
      </c>
      <c r="I25" s="3" t="s">
        <v>22</v>
      </c>
      <c r="J25" s="3" t="s">
        <v>38</v>
      </c>
      <c r="K25" s="3" t="s">
        <v>50</v>
      </c>
      <c r="L25" s="6">
        <v>668.93</v>
      </c>
      <c r="M25" s="6">
        <v>1523.94</v>
      </c>
      <c r="N25" s="6">
        <v>3035.96</v>
      </c>
      <c r="O25" s="6">
        <v>11410.25</v>
      </c>
      <c r="P25" s="3" t="s">
        <v>51</v>
      </c>
      <c r="Q25" s="3" t="s">
        <v>1079</v>
      </c>
      <c r="R25" s="3" t="s">
        <v>102</v>
      </c>
      <c r="S25" s="3" t="s">
        <v>103</v>
      </c>
      <c r="T25" s="3">
        <v>3</v>
      </c>
      <c r="U25" s="3">
        <f>CAPSTONE_PROJECT[[#This Row],[Discharge Date]]-CAPSTONE_PROJECT[[#This Row],[Admission Date]]</f>
        <v>18</v>
      </c>
      <c r="V25" s="6">
        <f>SUM(CAPSTONE_PROJECT[[#This Row],[Room Cost]:[Treatment Cost]])</f>
        <v>16639.080000000002</v>
      </c>
      <c r="W25" s="6">
        <f t="shared" si="0"/>
        <v>924.39333333333343</v>
      </c>
      <c r="X25" s="3" t="str">
        <f>TEXT(CAPSTONE_PROJECT[[#This Row],[Admission Date]],"mmmm")</f>
        <v>March</v>
      </c>
      <c r="Y25" s="3" t="str">
        <f>TEXT(CAPSTONE_PROJECT[[#This Row],[Admission Date]],"yyyy")</f>
        <v>2024</v>
      </c>
      <c r="Z25" s="3" t="str">
        <f>TEXT(CAPSTONE_PROJECT[[#This Row],[Admission Date]],"mmm yyyy")</f>
        <v>Mar 2024</v>
      </c>
      <c r="AA25" s="3" t="str">
        <f>TEXT(CAPSTONE_PROJECT[[#This Row],[Admission Date]],"dddd")</f>
        <v>Thursday</v>
      </c>
      <c r="AB25" s="3" t="str">
        <f>IF(CAPSTONE_PROJECT[[#This Row],[Age]]&lt;=34,"Young Adults",IF(CAPSTONE_PROJECT[[#This Row],[Age]]&lt;=59,"Adults","Elders"))</f>
        <v>Adults</v>
      </c>
      <c r="AC25" s="3" t="str">
        <f>_xlfn.XLOOKUP(CAPSTONE_PROJECT[[#This Row],[Patient ID]],'Lookup table'!A:A,'Lookup table'!B:B,,0)</f>
        <v>Sarah Wood</v>
      </c>
      <c r="AD25" s="3" t="str">
        <f>_xlfn.XLOOKUP(CAPSTONE_PROJECT[[#This Row],[Patient ID]],'Lookup table'!A:A,'Lookup table'!C:C,,0)</f>
        <v>Female</v>
      </c>
      <c r="AE25" s="3" t="str">
        <f>IF(CAPSTONE_PROJECT[[#This Row],[Length of Stay]]&lt;=3,"Short Stay",IF(CAPSTONE_PROJECT[[#This Row],[Length of Stay]]&lt;=7,"Moderate Stay",IF(CAPSTONE_PROJECT[[#This Row],[Length of Stay]]&lt;=14,"Long Stay","Extended Stay")))</f>
        <v>Extended Stay</v>
      </c>
    </row>
    <row r="26" spans="1:31" x14ac:dyDescent="0.3">
      <c r="A26" s="3" t="s">
        <v>105</v>
      </c>
      <c r="B26" s="4">
        <v>45420</v>
      </c>
      <c r="C26" s="4">
        <v>45431</v>
      </c>
      <c r="D26" s="4">
        <v>35706</v>
      </c>
      <c r="E26" s="3">
        <v>28</v>
      </c>
      <c r="F26" s="3" t="s">
        <v>33</v>
      </c>
      <c r="G26" s="3" t="s">
        <v>57</v>
      </c>
      <c r="H26" s="3" t="s">
        <v>100</v>
      </c>
      <c r="I26" s="3" t="s">
        <v>44</v>
      </c>
      <c r="J26" s="3" t="s">
        <v>64</v>
      </c>
      <c r="K26" s="3" t="s">
        <v>24</v>
      </c>
      <c r="L26" s="6">
        <v>771.06</v>
      </c>
      <c r="M26" s="6">
        <v>1367.82</v>
      </c>
      <c r="N26" s="6">
        <v>662.8</v>
      </c>
      <c r="O26" s="6">
        <v>9895.93</v>
      </c>
      <c r="P26" s="3" t="s">
        <v>25</v>
      </c>
      <c r="Q26" s="3" t="s">
        <v>1076</v>
      </c>
      <c r="R26" s="3" t="s">
        <v>58</v>
      </c>
      <c r="S26" s="3" t="s">
        <v>106</v>
      </c>
      <c r="T26" s="3">
        <v>9</v>
      </c>
      <c r="U26" s="3">
        <f>CAPSTONE_PROJECT[[#This Row],[Discharge Date]]-CAPSTONE_PROJECT[[#This Row],[Admission Date]]</f>
        <v>11</v>
      </c>
      <c r="V26" s="6">
        <f>SUM(CAPSTONE_PROJECT[[#This Row],[Room Cost]:[Treatment Cost]])</f>
        <v>12697.61</v>
      </c>
      <c r="W26" s="6">
        <f t="shared" si="0"/>
        <v>1154.328181818182</v>
      </c>
      <c r="X26" s="3" t="str">
        <f>TEXT(CAPSTONE_PROJECT[[#This Row],[Admission Date]],"mmmm")</f>
        <v>May</v>
      </c>
      <c r="Y26" s="3" t="str">
        <f>TEXT(CAPSTONE_PROJECT[[#This Row],[Admission Date]],"yyyy")</f>
        <v>2024</v>
      </c>
      <c r="Z26" s="3" t="str">
        <f>TEXT(CAPSTONE_PROJECT[[#This Row],[Admission Date]],"mmm yyyy")</f>
        <v>May 2024</v>
      </c>
      <c r="AA26" s="3" t="str">
        <f>TEXT(CAPSTONE_PROJECT[[#This Row],[Admission Date]],"dddd")</f>
        <v>Wednesday</v>
      </c>
      <c r="AB26" s="3" t="str">
        <f>IF(CAPSTONE_PROJECT[[#This Row],[Age]]&lt;=34,"Young Adults",IF(CAPSTONE_PROJECT[[#This Row],[Age]]&lt;=59,"Adults","Elders"))</f>
        <v>Young Adults</v>
      </c>
      <c r="AC26" s="3" t="str">
        <f>_xlfn.XLOOKUP(CAPSTONE_PROJECT[[#This Row],[Patient ID]],'Lookup table'!A:A,'Lookup table'!B:B,,0)</f>
        <v>Samuel Wilson</v>
      </c>
      <c r="AD26" s="3" t="str">
        <f>_xlfn.XLOOKUP(CAPSTONE_PROJECT[[#This Row],[Patient ID]],'Lookup table'!A:A,'Lookup table'!C:C,,0)</f>
        <v>Male</v>
      </c>
      <c r="AE26" s="3" t="str">
        <f>IF(CAPSTONE_PROJECT[[#This Row],[Length of Stay]]&lt;=3,"Short Stay",IF(CAPSTONE_PROJECT[[#This Row],[Length of Stay]]&lt;=7,"Moderate Stay",IF(CAPSTONE_PROJECT[[#This Row],[Length of Stay]]&lt;=14,"Long Stay","Extended Stay")))</f>
        <v>Long Stay</v>
      </c>
    </row>
    <row r="27" spans="1:31" x14ac:dyDescent="0.3">
      <c r="A27" s="3" t="s">
        <v>107</v>
      </c>
      <c r="B27" s="4">
        <v>45838</v>
      </c>
      <c r="C27" s="4">
        <v>45841</v>
      </c>
      <c r="D27" s="4">
        <v>31187</v>
      </c>
      <c r="E27" s="3">
        <v>41</v>
      </c>
      <c r="F27" s="3" t="s">
        <v>47</v>
      </c>
      <c r="G27" s="3" t="s">
        <v>27</v>
      </c>
      <c r="H27" s="3" t="s">
        <v>104</v>
      </c>
      <c r="I27" s="3" t="s">
        <v>13</v>
      </c>
      <c r="J27" s="3" t="s">
        <v>73</v>
      </c>
      <c r="K27" s="3" t="s">
        <v>24</v>
      </c>
      <c r="L27" s="6">
        <v>4080.49</v>
      </c>
      <c r="M27" s="6">
        <v>1707.25</v>
      </c>
      <c r="N27" s="6">
        <v>816.87</v>
      </c>
      <c r="O27" s="6">
        <v>11973.65</v>
      </c>
      <c r="P27" s="3" t="s">
        <v>51</v>
      </c>
      <c r="Q27" s="3" t="s">
        <v>1082</v>
      </c>
      <c r="R27" s="3" t="s">
        <v>58</v>
      </c>
      <c r="S27" s="3" t="s">
        <v>108</v>
      </c>
      <c r="T27" s="3">
        <v>10</v>
      </c>
      <c r="U27" s="3">
        <f>CAPSTONE_PROJECT[[#This Row],[Discharge Date]]-CAPSTONE_PROJECT[[#This Row],[Admission Date]]</f>
        <v>3</v>
      </c>
      <c r="V27" s="6">
        <f>SUM(CAPSTONE_PROJECT[[#This Row],[Room Cost]:[Treatment Cost]])</f>
        <v>18578.259999999998</v>
      </c>
      <c r="W27" s="6">
        <f t="shared" si="0"/>
        <v>6192.7533333333331</v>
      </c>
      <c r="X27" s="3" t="str">
        <f>TEXT(CAPSTONE_PROJECT[[#This Row],[Admission Date]],"mmmm")</f>
        <v>June</v>
      </c>
      <c r="Y27" s="3" t="str">
        <f>TEXT(CAPSTONE_PROJECT[[#This Row],[Admission Date]],"yyyy")</f>
        <v>2025</v>
      </c>
      <c r="Z27" s="3" t="str">
        <f>TEXT(CAPSTONE_PROJECT[[#This Row],[Admission Date]],"mmm yyyy")</f>
        <v>Jun 2025</v>
      </c>
      <c r="AA27" s="3" t="str">
        <f>TEXT(CAPSTONE_PROJECT[[#This Row],[Admission Date]],"dddd")</f>
        <v>Monday</v>
      </c>
      <c r="AB27" s="3" t="str">
        <f>IF(CAPSTONE_PROJECT[[#This Row],[Age]]&lt;=34,"Young Adults",IF(CAPSTONE_PROJECT[[#This Row],[Age]]&lt;=59,"Adults","Elders"))</f>
        <v>Adults</v>
      </c>
      <c r="AC27" s="3" t="str">
        <f>_xlfn.XLOOKUP(CAPSTONE_PROJECT[[#This Row],[Patient ID]],'Lookup table'!A:A,'Lookup table'!B:B,,0)</f>
        <v>Freya Green</v>
      </c>
      <c r="AD27" s="3" t="str">
        <f>_xlfn.XLOOKUP(CAPSTONE_PROJECT[[#This Row],[Patient ID]],'Lookup table'!A:A,'Lookup table'!C:C,,0)</f>
        <v>Female</v>
      </c>
      <c r="AE27" s="3" t="str">
        <f>IF(CAPSTONE_PROJECT[[#This Row],[Length of Stay]]&lt;=3,"Short Stay",IF(CAPSTONE_PROJECT[[#This Row],[Length of Stay]]&lt;=7,"Moderate Stay",IF(CAPSTONE_PROJECT[[#This Row],[Length of Stay]]&lt;=14,"Long Stay","Extended Stay")))</f>
        <v>Short Stay</v>
      </c>
    </row>
    <row r="28" spans="1:31" x14ac:dyDescent="0.3">
      <c r="A28" s="3" t="s">
        <v>109</v>
      </c>
      <c r="B28" s="4">
        <v>45453</v>
      </c>
      <c r="C28" s="4">
        <v>45468</v>
      </c>
      <c r="D28" s="4">
        <v>18234</v>
      </c>
      <c r="E28" s="3">
        <v>76</v>
      </c>
      <c r="F28" s="3" t="s">
        <v>18</v>
      </c>
      <c r="G28" s="3" t="s">
        <v>34</v>
      </c>
      <c r="H28" s="3" t="s">
        <v>111</v>
      </c>
      <c r="I28" s="3" t="s">
        <v>37</v>
      </c>
      <c r="J28" s="3" t="s">
        <v>30</v>
      </c>
      <c r="K28" s="3" t="s">
        <v>50</v>
      </c>
      <c r="L28" s="6">
        <v>2571.54</v>
      </c>
      <c r="M28" s="6">
        <v>1819.77</v>
      </c>
      <c r="N28" s="6">
        <v>1416.15</v>
      </c>
      <c r="O28" s="6">
        <v>2904.81</v>
      </c>
      <c r="P28" s="3" t="s">
        <v>51</v>
      </c>
      <c r="Q28" s="3" t="s">
        <v>1082</v>
      </c>
      <c r="R28" s="3" t="s">
        <v>35</v>
      </c>
      <c r="S28" s="3" t="s">
        <v>110</v>
      </c>
      <c r="T28" s="3">
        <v>6</v>
      </c>
      <c r="U28" s="3">
        <f>CAPSTONE_PROJECT[[#This Row],[Discharge Date]]-CAPSTONE_PROJECT[[#This Row],[Admission Date]]</f>
        <v>15</v>
      </c>
      <c r="V28" s="6">
        <f>SUM(CAPSTONE_PROJECT[[#This Row],[Room Cost]:[Treatment Cost]])</f>
        <v>8712.2699999999986</v>
      </c>
      <c r="W28" s="6">
        <f t="shared" si="0"/>
        <v>580.81799999999987</v>
      </c>
      <c r="X28" s="3" t="str">
        <f>TEXT(CAPSTONE_PROJECT[[#This Row],[Admission Date]],"mmmm")</f>
        <v>June</v>
      </c>
      <c r="Y28" s="3" t="str">
        <f>TEXT(CAPSTONE_PROJECT[[#This Row],[Admission Date]],"yyyy")</f>
        <v>2024</v>
      </c>
      <c r="Z28" s="3" t="str">
        <f>TEXT(CAPSTONE_PROJECT[[#This Row],[Admission Date]],"mmm yyyy")</f>
        <v>Jun 2024</v>
      </c>
      <c r="AA28" s="3" t="str">
        <f>TEXT(CAPSTONE_PROJECT[[#This Row],[Admission Date]],"dddd")</f>
        <v>Monday</v>
      </c>
      <c r="AB28" s="3" t="str">
        <f>IF(CAPSTONE_PROJECT[[#This Row],[Age]]&lt;=34,"Young Adults",IF(CAPSTONE_PROJECT[[#This Row],[Age]]&lt;=59,"Adults","Elders"))</f>
        <v>Elders</v>
      </c>
      <c r="AC28" s="3" t="str">
        <f>_xlfn.XLOOKUP(CAPSTONE_PROJECT[[#This Row],[Patient ID]],'Lookup table'!A:A,'Lookup table'!B:B,,0)</f>
        <v>Michael Robinson</v>
      </c>
      <c r="AD28" s="3" t="str">
        <f>_xlfn.XLOOKUP(CAPSTONE_PROJECT[[#This Row],[Patient ID]],'Lookup table'!A:A,'Lookup table'!C:C,,0)</f>
        <v>Male</v>
      </c>
      <c r="AE28" s="3" t="str">
        <f>IF(CAPSTONE_PROJECT[[#This Row],[Length of Stay]]&lt;=3,"Short Stay",IF(CAPSTONE_PROJECT[[#This Row],[Length of Stay]]&lt;=7,"Moderate Stay",IF(CAPSTONE_PROJECT[[#This Row],[Length of Stay]]&lt;=14,"Long Stay","Extended Stay")))</f>
        <v>Extended Stay</v>
      </c>
    </row>
    <row r="29" spans="1:31" x14ac:dyDescent="0.3">
      <c r="A29" s="3" t="s">
        <v>112</v>
      </c>
      <c r="B29" s="4">
        <v>45612</v>
      </c>
      <c r="C29" s="4">
        <v>45619</v>
      </c>
      <c r="D29" s="4">
        <v>35600</v>
      </c>
      <c r="E29" s="3">
        <v>28</v>
      </c>
      <c r="F29" s="3" t="s">
        <v>18</v>
      </c>
      <c r="G29" s="3" t="s">
        <v>61</v>
      </c>
      <c r="H29" s="3" t="s">
        <v>114</v>
      </c>
      <c r="I29" s="3" t="s">
        <v>13</v>
      </c>
      <c r="J29" s="3" t="s">
        <v>30</v>
      </c>
      <c r="K29" s="3" t="s">
        <v>65</v>
      </c>
      <c r="L29" s="6">
        <v>1285.25</v>
      </c>
      <c r="M29" s="6">
        <v>1527.29</v>
      </c>
      <c r="N29" s="6">
        <v>1362.74</v>
      </c>
      <c r="O29" s="6">
        <v>14487.5</v>
      </c>
      <c r="P29" s="3" t="s">
        <v>16</v>
      </c>
      <c r="Q29" s="3" t="s">
        <v>1079</v>
      </c>
      <c r="R29" s="3" t="s">
        <v>75</v>
      </c>
      <c r="S29" s="3" t="s">
        <v>113</v>
      </c>
      <c r="T29" s="3">
        <v>2</v>
      </c>
      <c r="U29" s="3">
        <f>CAPSTONE_PROJECT[[#This Row],[Discharge Date]]-CAPSTONE_PROJECT[[#This Row],[Admission Date]]</f>
        <v>7</v>
      </c>
      <c r="V29" s="6">
        <f>SUM(CAPSTONE_PROJECT[[#This Row],[Room Cost]:[Treatment Cost]])</f>
        <v>18662.78</v>
      </c>
      <c r="W29" s="6">
        <f t="shared" si="0"/>
        <v>2666.1114285714284</v>
      </c>
      <c r="X29" s="3" t="str">
        <f>TEXT(CAPSTONE_PROJECT[[#This Row],[Admission Date]],"mmmm")</f>
        <v>November</v>
      </c>
      <c r="Y29" s="3" t="str">
        <f>TEXT(CAPSTONE_PROJECT[[#This Row],[Admission Date]],"yyyy")</f>
        <v>2024</v>
      </c>
      <c r="Z29" s="3" t="str">
        <f>TEXT(CAPSTONE_PROJECT[[#This Row],[Admission Date]],"mmm yyyy")</f>
        <v>Nov 2024</v>
      </c>
      <c r="AA29" s="3" t="str">
        <f>TEXT(CAPSTONE_PROJECT[[#This Row],[Admission Date]],"dddd")</f>
        <v>Saturday</v>
      </c>
      <c r="AB29" s="3" t="str">
        <f>IF(CAPSTONE_PROJECT[[#This Row],[Age]]&lt;=34,"Young Adults",IF(CAPSTONE_PROJECT[[#This Row],[Age]]&lt;=59,"Adults","Elders"))</f>
        <v>Young Adults</v>
      </c>
      <c r="AC29" s="3" t="str">
        <f>_xlfn.XLOOKUP(CAPSTONE_PROJECT[[#This Row],[Patient ID]],'Lookup table'!A:A,'Lookup table'!B:B,,0)</f>
        <v>Chloe Evans</v>
      </c>
      <c r="AD29" s="3" t="str">
        <f>_xlfn.XLOOKUP(CAPSTONE_PROJECT[[#This Row],[Patient ID]],'Lookup table'!A:A,'Lookup table'!C:C,,0)</f>
        <v>Female</v>
      </c>
      <c r="AE29" s="3" t="str">
        <f>IF(CAPSTONE_PROJECT[[#This Row],[Length of Stay]]&lt;=3,"Short Stay",IF(CAPSTONE_PROJECT[[#This Row],[Length of Stay]]&lt;=7,"Moderate Stay",IF(CAPSTONE_PROJECT[[#This Row],[Length of Stay]]&lt;=14,"Long Stay","Extended Stay")))</f>
        <v>Moderate Stay</v>
      </c>
    </row>
    <row r="30" spans="1:31" x14ac:dyDescent="0.3">
      <c r="A30" s="3" t="s">
        <v>115</v>
      </c>
      <c r="B30" s="4">
        <v>45875</v>
      </c>
      <c r="C30" s="4">
        <v>45893</v>
      </c>
      <c r="D30" s="4">
        <v>17350</v>
      </c>
      <c r="E30" s="3">
        <v>78</v>
      </c>
      <c r="F30" s="3" t="s">
        <v>47</v>
      </c>
      <c r="G30" s="3" t="s">
        <v>78</v>
      </c>
      <c r="H30" s="3" t="s">
        <v>72</v>
      </c>
      <c r="I30" s="3" t="s">
        <v>44</v>
      </c>
      <c r="J30" s="3" t="s">
        <v>45</v>
      </c>
      <c r="K30" s="3" t="s">
        <v>15</v>
      </c>
      <c r="L30" s="6">
        <v>431.7</v>
      </c>
      <c r="M30" s="6">
        <v>742.2</v>
      </c>
      <c r="N30" s="6">
        <v>2160.04</v>
      </c>
      <c r="O30" s="6">
        <v>8733.25</v>
      </c>
      <c r="P30" s="3" t="s">
        <v>16</v>
      </c>
      <c r="Q30" s="3" t="s">
        <v>1078</v>
      </c>
      <c r="R30" s="3" t="s">
        <v>19</v>
      </c>
      <c r="S30" s="3" t="s">
        <v>116</v>
      </c>
      <c r="T30" s="3">
        <v>9</v>
      </c>
      <c r="U30" s="3">
        <f>CAPSTONE_PROJECT[[#This Row],[Discharge Date]]-CAPSTONE_PROJECT[[#This Row],[Admission Date]]</f>
        <v>18</v>
      </c>
      <c r="V30" s="6">
        <f>SUM(CAPSTONE_PROJECT[[#This Row],[Room Cost]:[Treatment Cost]])</f>
        <v>12067.19</v>
      </c>
      <c r="W30" s="6">
        <f t="shared" si="0"/>
        <v>670.3994444444445</v>
      </c>
      <c r="X30" s="3" t="str">
        <f>TEXT(CAPSTONE_PROJECT[[#This Row],[Admission Date]],"mmmm")</f>
        <v>August</v>
      </c>
      <c r="Y30" s="3" t="str">
        <f>TEXT(CAPSTONE_PROJECT[[#This Row],[Admission Date]],"yyyy")</f>
        <v>2025</v>
      </c>
      <c r="Z30" s="3" t="str">
        <f>TEXT(CAPSTONE_PROJECT[[#This Row],[Admission Date]],"mmm yyyy")</f>
        <v>Aug 2025</v>
      </c>
      <c r="AA30" s="3" t="str">
        <f>TEXT(CAPSTONE_PROJECT[[#This Row],[Admission Date]],"dddd")</f>
        <v>Wednesday</v>
      </c>
      <c r="AB30" s="3" t="str">
        <f>IF(CAPSTONE_PROJECT[[#This Row],[Age]]&lt;=34,"Young Adults",IF(CAPSTONE_PROJECT[[#This Row],[Age]]&lt;=59,"Adults","Elders"))</f>
        <v>Elders</v>
      </c>
      <c r="AC30" s="3" t="str">
        <f>_xlfn.XLOOKUP(CAPSTONE_PROJECT[[#This Row],[Patient ID]],'Lookup table'!A:A,'Lookup table'!B:B,,0)</f>
        <v>Benjamin Martin</v>
      </c>
      <c r="AD30" s="3" t="str">
        <f>_xlfn.XLOOKUP(CAPSTONE_PROJECT[[#This Row],[Patient ID]],'Lookup table'!A:A,'Lookup table'!C:C,,0)</f>
        <v>Male</v>
      </c>
      <c r="AE30" s="3" t="str">
        <f>IF(CAPSTONE_PROJECT[[#This Row],[Length of Stay]]&lt;=3,"Short Stay",IF(CAPSTONE_PROJECT[[#This Row],[Length of Stay]]&lt;=7,"Moderate Stay",IF(CAPSTONE_PROJECT[[#This Row],[Length of Stay]]&lt;=14,"Long Stay","Extended Stay")))</f>
        <v>Extended Stay</v>
      </c>
    </row>
    <row r="31" spans="1:31" x14ac:dyDescent="0.3">
      <c r="A31" s="3" t="s">
        <v>117</v>
      </c>
      <c r="B31" s="4">
        <v>45627</v>
      </c>
      <c r="C31" s="4">
        <v>45647</v>
      </c>
      <c r="D31" s="4">
        <v>30564</v>
      </c>
      <c r="E31" s="3">
        <v>42</v>
      </c>
      <c r="F31" s="3" t="s">
        <v>47</v>
      </c>
      <c r="G31" s="3" t="s">
        <v>34</v>
      </c>
      <c r="H31" s="3" t="s">
        <v>29</v>
      </c>
      <c r="I31" s="3" t="s">
        <v>37</v>
      </c>
      <c r="J31" s="3" t="s">
        <v>38</v>
      </c>
      <c r="K31" s="3" t="s">
        <v>50</v>
      </c>
      <c r="L31" s="6">
        <v>4052.05</v>
      </c>
      <c r="M31" s="6">
        <v>1344.06</v>
      </c>
      <c r="N31" s="6">
        <v>2514.64</v>
      </c>
      <c r="O31" s="6">
        <v>12370.36</v>
      </c>
      <c r="P31" s="3" t="s">
        <v>25</v>
      </c>
      <c r="Q31" s="3" t="s">
        <v>1085</v>
      </c>
      <c r="R31" s="3" t="s">
        <v>75</v>
      </c>
      <c r="S31" s="3" t="s">
        <v>118</v>
      </c>
      <c r="T31" s="3">
        <v>9</v>
      </c>
      <c r="U31" s="3">
        <f>CAPSTONE_PROJECT[[#This Row],[Discharge Date]]-CAPSTONE_PROJECT[[#This Row],[Admission Date]]</f>
        <v>20</v>
      </c>
      <c r="V31" s="6">
        <f>SUM(CAPSTONE_PROJECT[[#This Row],[Room Cost]:[Treatment Cost]])</f>
        <v>20281.11</v>
      </c>
      <c r="W31" s="6">
        <f t="shared" si="0"/>
        <v>1014.0555000000001</v>
      </c>
      <c r="X31" s="3" t="str">
        <f>TEXT(CAPSTONE_PROJECT[[#This Row],[Admission Date]],"mmmm")</f>
        <v>December</v>
      </c>
      <c r="Y31" s="3" t="str">
        <f>TEXT(CAPSTONE_PROJECT[[#This Row],[Admission Date]],"yyyy")</f>
        <v>2024</v>
      </c>
      <c r="Z31" s="3" t="str">
        <f>TEXT(CAPSTONE_PROJECT[[#This Row],[Admission Date]],"mmm yyyy")</f>
        <v>Dec 2024</v>
      </c>
      <c r="AA31" s="3" t="str">
        <f>TEXT(CAPSTONE_PROJECT[[#This Row],[Admission Date]],"dddd")</f>
        <v>Sunday</v>
      </c>
      <c r="AB31" s="3" t="str">
        <f>IF(CAPSTONE_PROJECT[[#This Row],[Age]]&lt;=34,"Young Adults",IF(CAPSTONE_PROJECT[[#This Row],[Age]]&lt;=59,"Adults","Elders"))</f>
        <v>Adults</v>
      </c>
      <c r="AC31" s="3" t="str">
        <f>_xlfn.XLOOKUP(CAPSTONE_PROJECT[[#This Row],[Patient ID]],'Lookup table'!A:A,'Lookup table'!B:B,,0)</f>
        <v>Ella Taylor</v>
      </c>
      <c r="AD31" s="3" t="str">
        <f>_xlfn.XLOOKUP(CAPSTONE_PROJECT[[#This Row],[Patient ID]],'Lookup table'!A:A,'Lookup table'!C:C,,0)</f>
        <v>Female</v>
      </c>
      <c r="AE31" s="3" t="str">
        <f>IF(CAPSTONE_PROJECT[[#This Row],[Length of Stay]]&lt;=3,"Short Stay",IF(CAPSTONE_PROJECT[[#This Row],[Length of Stay]]&lt;=7,"Moderate Stay",IF(CAPSTONE_PROJECT[[#This Row],[Length of Stay]]&lt;=14,"Long Stay","Extended Stay")))</f>
        <v>Extended Stay</v>
      </c>
    </row>
    <row r="32" spans="1:31" x14ac:dyDescent="0.3">
      <c r="A32" s="3" t="s">
        <v>119</v>
      </c>
      <c r="B32" s="4">
        <v>45324</v>
      </c>
      <c r="C32" s="4">
        <v>45343</v>
      </c>
      <c r="D32" s="4">
        <v>35742</v>
      </c>
      <c r="E32" s="3">
        <v>28</v>
      </c>
      <c r="F32" s="3" t="s">
        <v>47</v>
      </c>
      <c r="G32" s="3" t="s">
        <v>48</v>
      </c>
      <c r="H32" s="3" t="s">
        <v>100</v>
      </c>
      <c r="I32" s="3" t="s">
        <v>13</v>
      </c>
      <c r="J32" s="3" t="s">
        <v>15</v>
      </c>
      <c r="K32" s="3" t="s">
        <v>50</v>
      </c>
      <c r="L32" s="6">
        <v>2958.63</v>
      </c>
      <c r="M32" s="6">
        <v>1442.6</v>
      </c>
      <c r="N32" s="6">
        <v>711.3</v>
      </c>
      <c r="O32" s="6">
        <v>8943.1200000000008</v>
      </c>
      <c r="P32" s="3" t="s">
        <v>16</v>
      </c>
      <c r="Q32" s="3" t="s">
        <v>1081</v>
      </c>
      <c r="R32" s="3" t="s">
        <v>41</v>
      </c>
      <c r="S32" s="3" t="s">
        <v>120</v>
      </c>
      <c r="T32" s="3">
        <v>4</v>
      </c>
      <c r="U32" s="3">
        <f>CAPSTONE_PROJECT[[#This Row],[Discharge Date]]-CAPSTONE_PROJECT[[#This Row],[Admission Date]]</f>
        <v>19</v>
      </c>
      <c r="V32" s="6">
        <f>SUM(CAPSTONE_PROJECT[[#This Row],[Room Cost]:[Treatment Cost]])</f>
        <v>14055.650000000001</v>
      </c>
      <c r="W32" s="6">
        <f t="shared" si="0"/>
        <v>739.77105263157898</v>
      </c>
      <c r="X32" s="3" t="str">
        <f>TEXT(CAPSTONE_PROJECT[[#This Row],[Admission Date]],"mmmm")</f>
        <v>February</v>
      </c>
      <c r="Y32" s="3" t="str">
        <f>TEXT(CAPSTONE_PROJECT[[#This Row],[Admission Date]],"yyyy")</f>
        <v>2024</v>
      </c>
      <c r="Z32" s="3" t="str">
        <f>TEXT(CAPSTONE_PROJECT[[#This Row],[Admission Date]],"mmm yyyy")</f>
        <v>Feb 2024</v>
      </c>
      <c r="AA32" s="3" t="str">
        <f>TEXT(CAPSTONE_PROJECT[[#This Row],[Admission Date]],"dddd")</f>
        <v>Friday</v>
      </c>
      <c r="AB32" s="3" t="str">
        <f>IF(CAPSTONE_PROJECT[[#This Row],[Age]]&lt;=34,"Young Adults",IF(CAPSTONE_PROJECT[[#This Row],[Age]]&lt;=59,"Adults","Elders"))</f>
        <v>Young Adults</v>
      </c>
      <c r="AC32" s="3" t="str">
        <f>_xlfn.XLOOKUP(CAPSTONE_PROJECT[[#This Row],[Patient ID]],'Lookup table'!A:A,'Lookup table'!B:B,,0)</f>
        <v>John Jones</v>
      </c>
      <c r="AD32" s="3" t="str">
        <f>_xlfn.XLOOKUP(CAPSTONE_PROJECT[[#This Row],[Patient ID]],'Lookup table'!A:A,'Lookup table'!C:C,,0)</f>
        <v>Male</v>
      </c>
      <c r="AE32" s="3" t="str">
        <f>IF(CAPSTONE_PROJECT[[#This Row],[Length of Stay]]&lt;=3,"Short Stay",IF(CAPSTONE_PROJECT[[#This Row],[Length of Stay]]&lt;=7,"Moderate Stay",IF(CAPSTONE_PROJECT[[#This Row],[Length of Stay]]&lt;=14,"Long Stay","Extended Stay")))</f>
        <v>Extended Stay</v>
      </c>
    </row>
    <row r="33" spans="1:31" x14ac:dyDescent="0.3">
      <c r="A33" s="3" t="s">
        <v>121</v>
      </c>
      <c r="B33" s="4">
        <v>45863</v>
      </c>
      <c r="C33" s="4">
        <v>45873</v>
      </c>
      <c r="D33" s="4">
        <v>20919</v>
      </c>
      <c r="E33" s="3">
        <v>69</v>
      </c>
      <c r="F33" s="3" t="s">
        <v>8</v>
      </c>
      <c r="G33" s="3" t="s">
        <v>67</v>
      </c>
      <c r="H33" s="3" t="s">
        <v>72</v>
      </c>
      <c r="I33" s="3" t="s">
        <v>22</v>
      </c>
      <c r="J33" s="3" t="s">
        <v>23</v>
      </c>
      <c r="K33" s="3" t="s">
        <v>65</v>
      </c>
      <c r="L33" s="6">
        <v>781.64</v>
      </c>
      <c r="M33" s="6">
        <v>957.8</v>
      </c>
      <c r="N33" s="6">
        <v>2957.73</v>
      </c>
      <c r="O33" s="6">
        <v>6167.31</v>
      </c>
      <c r="P33" s="3" t="s">
        <v>25</v>
      </c>
      <c r="Q33" s="3" t="s">
        <v>1085</v>
      </c>
      <c r="R33" s="3" t="s">
        <v>19</v>
      </c>
      <c r="S33" s="3" t="s">
        <v>122</v>
      </c>
      <c r="T33" s="3">
        <v>8</v>
      </c>
      <c r="U33" s="3">
        <f>CAPSTONE_PROJECT[[#This Row],[Discharge Date]]-CAPSTONE_PROJECT[[#This Row],[Admission Date]]</f>
        <v>10</v>
      </c>
      <c r="V33" s="6">
        <f>SUM(CAPSTONE_PROJECT[[#This Row],[Room Cost]:[Treatment Cost]])</f>
        <v>10864.48</v>
      </c>
      <c r="W33" s="6">
        <f t="shared" si="0"/>
        <v>1086.4479999999999</v>
      </c>
      <c r="X33" s="3" t="str">
        <f>TEXT(CAPSTONE_PROJECT[[#This Row],[Admission Date]],"mmmm")</f>
        <v>July</v>
      </c>
      <c r="Y33" s="3" t="str">
        <f>TEXT(CAPSTONE_PROJECT[[#This Row],[Admission Date]],"yyyy")</f>
        <v>2025</v>
      </c>
      <c r="Z33" s="3" t="str">
        <f>TEXT(CAPSTONE_PROJECT[[#This Row],[Admission Date]],"mmm yyyy")</f>
        <v>Jul 2025</v>
      </c>
      <c r="AA33" s="3" t="str">
        <f>TEXT(CAPSTONE_PROJECT[[#This Row],[Admission Date]],"dddd")</f>
        <v>Friday</v>
      </c>
      <c r="AB33" s="3" t="str">
        <f>IF(CAPSTONE_PROJECT[[#This Row],[Age]]&lt;=34,"Young Adults",IF(CAPSTONE_PROJECT[[#This Row],[Age]]&lt;=59,"Adults","Elders"))</f>
        <v>Elders</v>
      </c>
      <c r="AC33" s="3" t="str">
        <f>_xlfn.XLOOKUP(CAPSTONE_PROJECT[[#This Row],[Patient ID]],'Lookup table'!A:A,'Lookup table'!B:B,,0)</f>
        <v>Lily Robinson</v>
      </c>
      <c r="AD33" s="3" t="str">
        <f>_xlfn.XLOOKUP(CAPSTONE_PROJECT[[#This Row],[Patient ID]],'Lookup table'!A:A,'Lookup table'!C:C,,0)</f>
        <v>Female</v>
      </c>
      <c r="AE33" s="3" t="str">
        <f>IF(CAPSTONE_PROJECT[[#This Row],[Length of Stay]]&lt;=3,"Short Stay",IF(CAPSTONE_PROJECT[[#This Row],[Length of Stay]]&lt;=7,"Moderate Stay",IF(CAPSTONE_PROJECT[[#This Row],[Length of Stay]]&lt;=14,"Long Stay","Extended Stay")))</f>
        <v>Long Stay</v>
      </c>
    </row>
    <row r="34" spans="1:31" x14ac:dyDescent="0.3">
      <c r="A34" s="3" t="s">
        <v>123</v>
      </c>
      <c r="B34" s="4">
        <v>45867</v>
      </c>
      <c r="C34" s="4">
        <v>45876</v>
      </c>
      <c r="D34" s="4">
        <v>21072</v>
      </c>
      <c r="E34" s="3">
        <v>68</v>
      </c>
      <c r="F34" s="3" t="s">
        <v>8</v>
      </c>
      <c r="G34" s="3" t="s">
        <v>48</v>
      </c>
      <c r="H34" s="3" t="s">
        <v>114</v>
      </c>
      <c r="I34" s="3" t="s">
        <v>44</v>
      </c>
      <c r="J34" s="3" t="s">
        <v>15</v>
      </c>
      <c r="K34" s="3" t="s">
        <v>15</v>
      </c>
      <c r="L34" s="6">
        <v>2485.12</v>
      </c>
      <c r="M34" s="6">
        <v>1344.96</v>
      </c>
      <c r="N34" s="6">
        <v>1048.08</v>
      </c>
      <c r="O34" s="6">
        <v>11357.46</v>
      </c>
      <c r="P34" s="3" t="s">
        <v>51</v>
      </c>
      <c r="Q34" s="3" t="s">
        <v>1082</v>
      </c>
      <c r="R34" s="3" t="s">
        <v>68</v>
      </c>
      <c r="S34" s="3" t="s">
        <v>124</v>
      </c>
      <c r="T34" s="3">
        <v>9</v>
      </c>
      <c r="U34" s="3">
        <f>CAPSTONE_PROJECT[[#This Row],[Discharge Date]]-CAPSTONE_PROJECT[[#This Row],[Admission Date]]</f>
        <v>9</v>
      </c>
      <c r="V34" s="6">
        <f>SUM(CAPSTONE_PROJECT[[#This Row],[Room Cost]:[Treatment Cost]])</f>
        <v>16235.619999999999</v>
      </c>
      <c r="W34" s="6">
        <f t="shared" si="0"/>
        <v>1803.9577777777777</v>
      </c>
      <c r="X34" s="3" t="str">
        <f>TEXT(CAPSTONE_PROJECT[[#This Row],[Admission Date]],"mmmm")</f>
        <v>July</v>
      </c>
      <c r="Y34" s="3" t="str">
        <f>TEXT(CAPSTONE_PROJECT[[#This Row],[Admission Date]],"yyyy")</f>
        <v>2025</v>
      </c>
      <c r="Z34" s="3" t="str">
        <f>TEXT(CAPSTONE_PROJECT[[#This Row],[Admission Date]],"mmm yyyy")</f>
        <v>Jul 2025</v>
      </c>
      <c r="AA34" s="3" t="str">
        <f>TEXT(CAPSTONE_PROJECT[[#This Row],[Admission Date]],"dddd")</f>
        <v>Tuesday</v>
      </c>
      <c r="AB34" s="3" t="str">
        <f>IF(CAPSTONE_PROJECT[[#This Row],[Age]]&lt;=34,"Young Adults",IF(CAPSTONE_PROJECT[[#This Row],[Age]]&lt;=59,"Adults","Elders"))</f>
        <v>Elders</v>
      </c>
      <c r="AC34" s="3" t="str">
        <f>_xlfn.XLOOKUP(CAPSTONE_PROJECT[[#This Row],[Patient ID]],'Lookup table'!A:A,'Lookup table'!B:B,,0)</f>
        <v>Michael Jones</v>
      </c>
      <c r="AD34" s="3" t="str">
        <f>_xlfn.XLOOKUP(CAPSTONE_PROJECT[[#This Row],[Patient ID]],'Lookup table'!A:A,'Lookup table'!C:C,,0)</f>
        <v>Male</v>
      </c>
      <c r="AE34" s="3" t="str">
        <f>IF(CAPSTONE_PROJECT[[#This Row],[Length of Stay]]&lt;=3,"Short Stay",IF(CAPSTONE_PROJECT[[#This Row],[Length of Stay]]&lt;=7,"Moderate Stay",IF(CAPSTONE_PROJECT[[#This Row],[Length of Stay]]&lt;=14,"Long Stay","Extended Stay")))</f>
        <v>Long Stay</v>
      </c>
    </row>
    <row r="35" spans="1:31" x14ac:dyDescent="0.3">
      <c r="A35" s="3" t="s">
        <v>125</v>
      </c>
      <c r="B35" s="4">
        <v>45330</v>
      </c>
      <c r="C35" s="4">
        <v>45336</v>
      </c>
      <c r="D35" s="4">
        <v>29213</v>
      </c>
      <c r="E35" s="3">
        <v>46</v>
      </c>
      <c r="F35" s="3" t="s">
        <v>47</v>
      </c>
      <c r="G35" s="3" t="s">
        <v>126</v>
      </c>
      <c r="H35" s="3" t="s">
        <v>111</v>
      </c>
      <c r="I35" s="3" t="s">
        <v>13</v>
      </c>
      <c r="J35" s="3" t="s">
        <v>38</v>
      </c>
      <c r="K35" s="3" t="s">
        <v>15</v>
      </c>
      <c r="L35" s="6">
        <v>1055.07</v>
      </c>
      <c r="M35" s="6">
        <v>1539.95</v>
      </c>
      <c r="N35" s="6">
        <v>1754.8</v>
      </c>
      <c r="O35" s="6">
        <v>5162.8100000000004</v>
      </c>
      <c r="P35" s="3" t="s">
        <v>31</v>
      </c>
      <c r="Q35" s="3" t="s">
        <v>1086</v>
      </c>
      <c r="R35" s="3" t="s">
        <v>62</v>
      </c>
      <c r="S35" s="3" t="s">
        <v>127</v>
      </c>
      <c r="T35" s="3">
        <v>3</v>
      </c>
      <c r="U35" s="3">
        <f>CAPSTONE_PROJECT[[#This Row],[Discharge Date]]-CAPSTONE_PROJECT[[#This Row],[Admission Date]]</f>
        <v>6</v>
      </c>
      <c r="V35" s="6">
        <f>SUM(CAPSTONE_PROJECT[[#This Row],[Room Cost]:[Treatment Cost]])</f>
        <v>9512.630000000001</v>
      </c>
      <c r="W35" s="6">
        <f t="shared" si="0"/>
        <v>1585.4383333333335</v>
      </c>
      <c r="X35" s="3" t="str">
        <f>TEXT(CAPSTONE_PROJECT[[#This Row],[Admission Date]],"mmmm")</f>
        <v>February</v>
      </c>
      <c r="Y35" s="3" t="str">
        <f>TEXT(CAPSTONE_PROJECT[[#This Row],[Admission Date]],"yyyy")</f>
        <v>2024</v>
      </c>
      <c r="Z35" s="3" t="str">
        <f>TEXT(CAPSTONE_PROJECT[[#This Row],[Admission Date]],"mmm yyyy")</f>
        <v>Feb 2024</v>
      </c>
      <c r="AA35" s="3" t="str">
        <f>TEXT(CAPSTONE_PROJECT[[#This Row],[Admission Date]],"dddd")</f>
        <v>Thursday</v>
      </c>
      <c r="AB35" s="3" t="str">
        <f>IF(CAPSTONE_PROJECT[[#This Row],[Age]]&lt;=34,"Young Adults",IF(CAPSTONE_PROJECT[[#This Row],[Age]]&lt;=59,"Adults","Elders"))</f>
        <v>Adults</v>
      </c>
      <c r="AC35" s="3" t="str">
        <f>_xlfn.XLOOKUP(CAPSTONE_PROJECT[[#This Row],[Patient ID]],'Lookup table'!A:A,'Lookup table'!B:B,,0)</f>
        <v>Chloe Wilson</v>
      </c>
      <c r="AD35" s="3" t="str">
        <f>_xlfn.XLOOKUP(CAPSTONE_PROJECT[[#This Row],[Patient ID]],'Lookup table'!A:A,'Lookup table'!C:C,,0)</f>
        <v>Female</v>
      </c>
      <c r="AE35" s="3" t="str">
        <f>IF(CAPSTONE_PROJECT[[#This Row],[Length of Stay]]&lt;=3,"Short Stay",IF(CAPSTONE_PROJECT[[#This Row],[Length of Stay]]&lt;=7,"Moderate Stay",IF(CAPSTONE_PROJECT[[#This Row],[Length of Stay]]&lt;=14,"Long Stay","Extended Stay")))</f>
        <v>Moderate Stay</v>
      </c>
    </row>
    <row r="36" spans="1:31" x14ac:dyDescent="0.3">
      <c r="A36" s="3" t="s">
        <v>128</v>
      </c>
      <c r="B36" s="4">
        <v>45594</v>
      </c>
      <c r="C36" s="4">
        <v>45613</v>
      </c>
      <c r="D36" s="4">
        <v>16782</v>
      </c>
      <c r="E36" s="3">
        <v>80</v>
      </c>
      <c r="F36" s="3" t="s">
        <v>33</v>
      </c>
      <c r="G36" s="3" t="s">
        <v>34</v>
      </c>
      <c r="H36" s="3" t="s">
        <v>72</v>
      </c>
      <c r="I36" s="3" t="s">
        <v>22</v>
      </c>
      <c r="J36" s="3" t="s">
        <v>64</v>
      </c>
      <c r="K36" s="3" t="s">
        <v>65</v>
      </c>
      <c r="L36" s="6">
        <v>2041.21</v>
      </c>
      <c r="M36" s="6">
        <v>285.27</v>
      </c>
      <c r="N36" s="6">
        <v>1852.53</v>
      </c>
      <c r="O36" s="6">
        <v>5438.68</v>
      </c>
      <c r="P36" s="3" t="s">
        <v>16</v>
      </c>
      <c r="Q36" s="3" t="s">
        <v>1085</v>
      </c>
      <c r="R36" s="3" t="s">
        <v>102</v>
      </c>
      <c r="S36" s="3" t="s">
        <v>129</v>
      </c>
      <c r="T36" s="3">
        <v>2</v>
      </c>
      <c r="U36" s="3">
        <f>CAPSTONE_PROJECT[[#This Row],[Discharge Date]]-CAPSTONE_PROJECT[[#This Row],[Admission Date]]</f>
        <v>19</v>
      </c>
      <c r="V36" s="6">
        <f>SUM(CAPSTONE_PROJECT[[#This Row],[Room Cost]:[Treatment Cost]])</f>
        <v>9617.69</v>
      </c>
      <c r="W36" s="6">
        <f t="shared" si="0"/>
        <v>506.19421052631583</v>
      </c>
      <c r="X36" s="3" t="str">
        <f>TEXT(CAPSTONE_PROJECT[[#This Row],[Admission Date]],"mmmm")</f>
        <v>October</v>
      </c>
      <c r="Y36" s="3" t="str">
        <f>TEXT(CAPSTONE_PROJECT[[#This Row],[Admission Date]],"yyyy")</f>
        <v>2024</v>
      </c>
      <c r="Z36" s="3" t="str">
        <f>TEXT(CAPSTONE_PROJECT[[#This Row],[Admission Date]],"mmm yyyy")</f>
        <v>Oct 2024</v>
      </c>
      <c r="AA36" s="3" t="str">
        <f>TEXT(CAPSTONE_PROJECT[[#This Row],[Admission Date]],"dddd")</f>
        <v>Tuesday</v>
      </c>
      <c r="AB36" s="3" t="str">
        <f>IF(CAPSTONE_PROJECT[[#This Row],[Age]]&lt;=34,"Young Adults",IF(CAPSTONE_PROJECT[[#This Row],[Age]]&lt;=59,"Adults","Elders"))</f>
        <v>Elders</v>
      </c>
      <c r="AC36" s="3" t="str">
        <f>_xlfn.XLOOKUP(CAPSTONE_PROJECT[[#This Row],[Patient ID]],'Lookup table'!A:A,'Lookup table'!B:B,,0)</f>
        <v>Oliver Walker</v>
      </c>
      <c r="AD36" s="3" t="str">
        <f>_xlfn.XLOOKUP(CAPSTONE_PROJECT[[#This Row],[Patient ID]],'Lookup table'!A:A,'Lookup table'!C:C,,0)</f>
        <v>Male</v>
      </c>
      <c r="AE36" s="3" t="str">
        <f>IF(CAPSTONE_PROJECT[[#This Row],[Length of Stay]]&lt;=3,"Short Stay",IF(CAPSTONE_PROJECT[[#This Row],[Length of Stay]]&lt;=7,"Moderate Stay",IF(CAPSTONE_PROJECT[[#This Row],[Length of Stay]]&lt;=14,"Long Stay","Extended Stay")))</f>
        <v>Extended Stay</v>
      </c>
    </row>
    <row r="37" spans="1:31" x14ac:dyDescent="0.3">
      <c r="A37" s="3" t="s">
        <v>130</v>
      </c>
      <c r="B37" s="4">
        <v>45610</v>
      </c>
      <c r="C37" s="4">
        <v>45614</v>
      </c>
      <c r="D37" s="4">
        <v>32409</v>
      </c>
      <c r="E37" s="3">
        <v>37</v>
      </c>
      <c r="F37" s="3" t="s">
        <v>18</v>
      </c>
      <c r="G37" s="3" t="s">
        <v>40</v>
      </c>
      <c r="H37" s="3" t="s">
        <v>12</v>
      </c>
      <c r="I37" s="3" t="s">
        <v>22</v>
      </c>
      <c r="J37" s="3" t="s">
        <v>14</v>
      </c>
      <c r="K37" s="3" t="s">
        <v>65</v>
      </c>
      <c r="L37" s="6">
        <v>4260.22</v>
      </c>
      <c r="M37" s="6">
        <v>1126.49</v>
      </c>
      <c r="N37" s="6">
        <v>2023.32</v>
      </c>
      <c r="O37" s="6">
        <v>2339.77</v>
      </c>
      <c r="P37" s="3" t="s">
        <v>51</v>
      </c>
      <c r="Q37" s="3" t="s">
        <v>1078</v>
      </c>
      <c r="R37" s="3" t="s">
        <v>54</v>
      </c>
      <c r="S37" s="3" t="s">
        <v>131</v>
      </c>
      <c r="T37" s="3">
        <v>10</v>
      </c>
      <c r="U37" s="3">
        <f>CAPSTONE_PROJECT[[#This Row],[Discharge Date]]-CAPSTONE_PROJECT[[#This Row],[Admission Date]]</f>
        <v>4</v>
      </c>
      <c r="V37" s="6">
        <f>SUM(CAPSTONE_PROJECT[[#This Row],[Room Cost]:[Treatment Cost]])</f>
        <v>9749.7999999999993</v>
      </c>
      <c r="W37" s="6">
        <f t="shared" si="0"/>
        <v>2437.4499999999998</v>
      </c>
      <c r="X37" s="3" t="str">
        <f>TEXT(CAPSTONE_PROJECT[[#This Row],[Admission Date]],"mmmm")</f>
        <v>November</v>
      </c>
      <c r="Y37" s="3" t="str">
        <f>TEXT(CAPSTONE_PROJECT[[#This Row],[Admission Date]],"yyyy")</f>
        <v>2024</v>
      </c>
      <c r="Z37" s="3" t="str">
        <f>TEXT(CAPSTONE_PROJECT[[#This Row],[Admission Date]],"mmm yyyy")</f>
        <v>Nov 2024</v>
      </c>
      <c r="AA37" s="3" t="str">
        <f>TEXT(CAPSTONE_PROJECT[[#This Row],[Admission Date]],"dddd")</f>
        <v>Thursday</v>
      </c>
      <c r="AB37" s="3" t="str">
        <f>IF(CAPSTONE_PROJECT[[#This Row],[Age]]&lt;=34,"Young Adults",IF(CAPSTONE_PROJECT[[#This Row],[Age]]&lt;=59,"Adults","Elders"))</f>
        <v>Adults</v>
      </c>
      <c r="AC37" s="3" t="str">
        <f>_xlfn.XLOOKUP(CAPSTONE_PROJECT[[#This Row],[Patient ID]],'Lookup table'!A:A,'Lookup table'!B:B,,0)</f>
        <v>Mia Evans</v>
      </c>
      <c r="AD37" s="3" t="str">
        <f>_xlfn.XLOOKUP(CAPSTONE_PROJECT[[#This Row],[Patient ID]],'Lookup table'!A:A,'Lookup table'!C:C,,0)</f>
        <v>Female</v>
      </c>
      <c r="AE37" s="3" t="str">
        <f>IF(CAPSTONE_PROJECT[[#This Row],[Length of Stay]]&lt;=3,"Short Stay",IF(CAPSTONE_PROJECT[[#This Row],[Length of Stay]]&lt;=7,"Moderate Stay",IF(CAPSTONE_PROJECT[[#This Row],[Length of Stay]]&lt;=14,"Long Stay","Extended Stay")))</f>
        <v>Moderate Stay</v>
      </c>
    </row>
    <row r="38" spans="1:31" x14ac:dyDescent="0.3">
      <c r="A38" s="3" t="s">
        <v>132</v>
      </c>
      <c r="B38" s="4">
        <v>45889</v>
      </c>
      <c r="C38" s="4">
        <v>45905</v>
      </c>
      <c r="D38" s="4">
        <v>19305</v>
      </c>
      <c r="E38" s="3">
        <v>73</v>
      </c>
      <c r="F38" s="3" t="s">
        <v>8</v>
      </c>
      <c r="G38" s="3" t="s">
        <v>48</v>
      </c>
      <c r="H38" s="3" t="s">
        <v>100</v>
      </c>
      <c r="I38" s="3" t="s">
        <v>37</v>
      </c>
      <c r="J38" s="3" t="s">
        <v>73</v>
      </c>
      <c r="K38" s="3" t="s">
        <v>24</v>
      </c>
      <c r="L38" s="6">
        <v>686.46</v>
      </c>
      <c r="M38" s="6">
        <v>210.31</v>
      </c>
      <c r="N38" s="6">
        <v>1920.19</v>
      </c>
      <c r="O38" s="6">
        <v>12038.76</v>
      </c>
      <c r="P38" s="3" t="s">
        <v>31</v>
      </c>
      <c r="Q38" s="3" t="s">
        <v>1087</v>
      </c>
      <c r="R38" s="3" t="s">
        <v>58</v>
      </c>
      <c r="S38" s="3" t="s">
        <v>133</v>
      </c>
      <c r="T38" s="3">
        <v>7</v>
      </c>
      <c r="U38" s="3">
        <f>CAPSTONE_PROJECT[[#This Row],[Discharge Date]]-CAPSTONE_PROJECT[[#This Row],[Admission Date]]</f>
        <v>16</v>
      </c>
      <c r="V38" s="6">
        <f>SUM(CAPSTONE_PROJECT[[#This Row],[Room Cost]:[Treatment Cost]])</f>
        <v>14855.720000000001</v>
      </c>
      <c r="W38" s="6">
        <f t="shared" si="0"/>
        <v>928.48250000000007</v>
      </c>
      <c r="X38" s="3" t="str">
        <f>TEXT(CAPSTONE_PROJECT[[#This Row],[Admission Date]],"mmmm")</f>
        <v>August</v>
      </c>
      <c r="Y38" s="3" t="str">
        <f>TEXT(CAPSTONE_PROJECT[[#This Row],[Admission Date]],"yyyy")</f>
        <v>2025</v>
      </c>
      <c r="Z38" s="3" t="str">
        <f>TEXT(CAPSTONE_PROJECT[[#This Row],[Admission Date]],"mmm yyyy")</f>
        <v>Aug 2025</v>
      </c>
      <c r="AA38" s="3" t="str">
        <f>TEXT(CAPSTONE_PROJECT[[#This Row],[Admission Date]],"dddd")</f>
        <v>Wednesday</v>
      </c>
      <c r="AB38" s="3" t="str">
        <f>IF(CAPSTONE_PROJECT[[#This Row],[Age]]&lt;=34,"Young Adults",IF(CAPSTONE_PROJECT[[#This Row],[Age]]&lt;=59,"Adults","Elders"))</f>
        <v>Elders</v>
      </c>
      <c r="AC38" s="3" t="str">
        <f>_xlfn.XLOOKUP(CAPSTONE_PROJECT[[#This Row],[Patient ID]],'Lookup table'!A:A,'Lookup table'!B:B,,0)</f>
        <v>David Evans</v>
      </c>
      <c r="AD38" s="3" t="str">
        <f>_xlfn.XLOOKUP(CAPSTONE_PROJECT[[#This Row],[Patient ID]],'Lookup table'!A:A,'Lookup table'!C:C,,0)</f>
        <v>Male</v>
      </c>
      <c r="AE38" s="3" t="str">
        <f>IF(CAPSTONE_PROJECT[[#This Row],[Length of Stay]]&lt;=3,"Short Stay",IF(CAPSTONE_PROJECT[[#This Row],[Length of Stay]]&lt;=7,"Moderate Stay",IF(CAPSTONE_PROJECT[[#This Row],[Length of Stay]]&lt;=14,"Long Stay","Extended Stay")))</f>
        <v>Extended Stay</v>
      </c>
    </row>
    <row r="39" spans="1:31" x14ac:dyDescent="0.3">
      <c r="A39" s="3" t="s">
        <v>134</v>
      </c>
      <c r="B39" s="4">
        <v>45430</v>
      </c>
      <c r="C39" s="4">
        <v>45444</v>
      </c>
      <c r="D39" s="4">
        <v>23198</v>
      </c>
      <c r="E39" s="3">
        <v>62</v>
      </c>
      <c r="F39" s="3" t="s">
        <v>33</v>
      </c>
      <c r="G39" s="3" t="s">
        <v>57</v>
      </c>
      <c r="H39" s="3" t="s">
        <v>29</v>
      </c>
      <c r="I39" s="3" t="s">
        <v>13</v>
      </c>
      <c r="J39" s="3" t="s">
        <v>15</v>
      </c>
      <c r="K39" s="3" t="s">
        <v>50</v>
      </c>
      <c r="L39" s="6">
        <v>2376.85</v>
      </c>
      <c r="M39" s="6">
        <v>1848.25</v>
      </c>
      <c r="N39" s="6">
        <v>1596.02</v>
      </c>
      <c r="O39" s="6">
        <v>8392.16</v>
      </c>
      <c r="P39" s="3" t="s">
        <v>16</v>
      </c>
      <c r="Q39" s="3" t="s">
        <v>1076</v>
      </c>
      <c r="R39" s="3" t="s">
        <v>41</v>
      </c>
      <c r="S39" s="3" t="s">
        <v>135</v>
      </c>
      <c r="T39" s="3">
        <v>9</v>
      </c>
      <c r="U39" s="3">
        <f>CAPSTONE_PROJECT[[#This Row],[Discharge Date]]-CAPSTONE_PROJECT[[#This Row],[Admission Date]]</f>
        <v>14</v>
      </c>
      <c r="V39" s="6">
        <f>SUM(CAPSTONE_PROJECT[[#This Row],[Room Cost]:[Treatment Cost]])</f>
        <v>14213.28</v>
      </c>
      <c r="W39" s="6">
        <f t="shared" si="0"/>
        <v>1015.2342857142858</v>
      </c>
      <c r="X39" s="3" t="str">
        <f>TEXT(CAPSTONE_PROJECT[[#This Row],[Admission Date]],"mmmm")</f>
        <v>May</v>
      </c>
      <c r="Y39" s="3" t="str">
        <f>TEXT(CAPSTONE_PROJECT[[#This Row],[Admission Date]],"yyyy")</f>
        <v>2024</v>
      </c>
      <c r="Z39" s="3" t="str">
        <f>TEXT(CAPSTONE_PROJECT[[#This Row],[Admission Date]],"mmm yyyy")</f>
        <v>May 2024</v>
      </c>
      <c r="AA39" s="3" t="str">
        <f>TEXT(CAPSTONE_PROJECT[[#This Row],[Admission Date]],"dddd")</f>
        <v>Saturday</v>
      </c>
      <c r="AB39" s="3" t="str">
        <f>IF(CAPSTONE_PROJECT[[#This Row],[Age]]&lt;=34,"Young Adults",IF(CAPSTONE_PROJECT[[#This Row],[Age]]&lt;=59,"Adults","Elders"))</f>
        <v>Elders</v>
      </c>
      <c r="AC39" s="3" t="str">
        <f>_xlfn.XLOOKUP(CAPSTONE_PROJECT[[#This Row],[Patient ID]],'Lookup table'!A:A,'Lookup table'!B:B,,0)</f>
        <v>Grace Martin</v>
      </c>
      <c r="AD39" s="3" t="str">
        <f>_xlfn.XLOOKUP(CAPSTONE_PROJECT[[#This Row],[Patient ID]],'Lookup table'!A:A,'Lookup table'!C:C,,0)</f>
        <v>Female</v>
      </c>
      <c r="AE39" s="3" t="str">
        <f>IF(CAPSTONE_PROJECT[[#This Row],[Length of Stay]]&lt;=3,"Short Stay",IF(CAPSTONE_PROJECT[[#This Row],[Length of Stay]]&lt;=7,"Moderate Stay",IF(CAPSTONE_PROJECT[[#This Row],[Length of Stay]]&lt;=14,"Long Stay","Extended Stay")))</f>
        <v>Long Stay</v>
      </c>
    </row>
    <row r="40" spans="1:31" x14ac:dyDescent="0.3">
      <c r="A40" s="3" t="s">
        <v>136</v>
      </c>
      <c r="B40" s="4">
        <v>45921</v>
      </c>
      <c r="C40" s="4">
        <v>45922</v>
      </c>
      <c r="D40" s="4">
        <v>35383</v>
      </c>
      <c r="E40" s="3">
        <v>29</v>
      </c>
      <c r="F40" s="3" t="s">
        <v>18</v>
      </c>
      <c r="G40" s="3" t="s">
        <v>126</v>
      </c>
      <c r="H40" s="3" t="s">
        <v>72</v>
      </c>
      <c r="I40" s="3" t="s">
        <v>22</v>
      </c>
      <c r="J40" s="3" t="s">
        <v>64</v>
      </c>
      <c r="K40" s="3" t="s">
        <v>24</v>
      </c>
      <c r="L40" s="6">
        <v>4392.1000000000004</v>
      </c>
      <c r="M40" s="6">
        <v>648.76</v>
      </c>
      <c r="N40" s="6">
        <v>1937.78</v>
      </c>
      <c r="O40" s="6">
        <v>14999.26</v>
      </c>
      <c r="P40" s="3" t="s">
        <v>31</v>
      </c>
      <c r="Q40" s="3" t="s">
        <v>1076</v>
      </c>
      <c r="R40" s="3" t="s">
        <v>41</v>
      </c>
      <c r="S40" s="3" t="s">
        <v>137</v>
      </c>
      <c r="T40" s="3">
        <v>2</v>
      </c>
      <c r="U40" s="3">
        <f>CAPSTONE_PROJECT[[#This Row],[Discharge Date]]-CAPSTONE_PROJECT[[#This Row],[Admission Date]]</f>
        <v>1</v>
      </c>
      <c r="V40" s="6">
        <f>SUM(CAPSTONE_PROJECT[[#This Row],[Room Cost]:[Treatment Cost]])</f>
        <v>21977.9</v>
      </c>
      <c r="W40" s="6">
        <f t="shared" si="0"/>
        <v>21977.9</v>
      </c>
      <c r="X40" s="3" t="str">
        <f>TEXT(CAPSTONE_PROJECT[[#This Row],[Admission Date]],"mmmm")</f>
        <v>September</v>
      </c>
      <c r="Y40" s="3" t="str">
        <f>TEXT(CAPSTONE_PROJECT[[#This Row],[Admission Date]],"yyyy")</f>
        <v>2025</v>
      </c>
      <c r="Z40" s="3" t="str">
        <f>TEXT(CAPSTONE_PROJECT[[#This Row],[Admission Date]],"mmm yyyy")</f>
        <v>Sep 2025</v>
      </c>
      <c r="AA40" s="3" t="str">
        <f>TEXT(CAPSTONE_PROJECT[[#This Row],[Admission Date]],"dddd")</f>
        <v>Sunday</v>
      </c>
      <c r="AB40" s="3" t="str">
        <f>IF(CAPSTONE_PROJECT[[#This Row],[Age]]&lt;=34,"Young Adults",IF(CAPSTONE_PROJECT[[#This Row],[Age]]&lt;=59,"Adults","Elders"))</f>
        <v>Young Adults</v>
      </c>
      <c r="AC40" s="3" t="str">
        <f>_xlfn.XLOOKUP(CAPSTONE_PROJECT[[#This Row],[Patient ID]],'Lookup table'!A:A,'Lookup table'!B:B,,0)</f>
        <v>Ethan Walker</v>
      </c>
      <c r="AD40" s="3" t="str">
        <f>_xlfn.XLOOKUP(CAPSTONE_PROJECT[[#This Row],[Patient ID]],'Lookup table'!A:A,'Lookup table'!C:C,,0)</f>
        <v>Male</v>
      </c>
      <c r="AE40" s="3" t="str">
        <f>IF(CAPSTONE_PROJECT[[#This Row],[Length of Stay]]&lt;=3,"Short Stay",IF(CAPSTONE_PROJECT[[#This Row],[Length of Stay]]&lt;=7,"Moderate Stay",IF(CAPSTONE_PROJECT[[#This Row],[Length of Stay]]&lt;=14,"Long Stay","Extended Stay")))</f>
        <v>Short Stay</v>
      </c>
    </row>
    <row r="41" spans="1:31" x14ac:dyDescent="0.3">
      <c r="A41" s="3" t="s">
        <v>138</v>
      </c>
      <c r="B41" s="4">
        <v>45644</v>
      </c>
      <c r="C41" s="4">
        <v>45657</v>
      </c>
      <c r="D41" s="4">
        <v>29435</v>
      </c>
      <c r="E41" s="3">
        <v>45</v>
      </c>
      <c r="F41" s="3" t="s">
        <v>18</v>
      </c>
      <c r="G41" s="3" t="s">
        <v>139</v>
      </c>
      <c r="H41" s="3" t="s">
        <v>104</v>
      </c>
      <c r="I41" s="3" t="s">
        <v>44</v>
      </c>
      <c r="J41" s="3" t="s">
        <v>15</v>
      </c>
      <c r="K41" s="3" t="s">
        <v>24</v>
      </c>
      <c r="L41" s="6">
        <v>839.22</v>
      </c>
      <c r="M41" s="6">
        <v>1772.55</v>
      </c>
      <c r="N41" s="6">
        <v>1315.65</v>
      </c>
      <c r="O41" s="6">
        <v>4161.26</v>
      </c>
      <c r="P41" s="3" t="s">
        <v>51</v>
      </c>
      <c r="Q41" s="3" t="s">
        <v>1076</v>
      </c>
      <c r="R41" s="3" t="s">
        <v>58</v>
      </c>
      <c r="S41" s="3" t="s">
        <v>140</v>
      </c>
      <c r="T41" s="3">
        <v>9</v>
      </c>
      <c r="U41" s="3">
        <f>CAPSTONE_PROJECT[[#This Row],[Discharge Date]]-CAPSTONE_PROJECT[[#This Row],[Admission Date]]</f>
        <v>13</v>
      </c>
      <c r="V41" s="6">
        <f>SUM(CAPSTONE_PROJECT[[#This Row],[Room Cost]:[Treatment Cost]])</f>
        <v>8088.68</v>
      </c>
      <c r="W41" s="6">
        <f t="shared" si="0"/>
        <v>622.20615384615382</v>
      </c>
      <c r="X41" s="3" t="str">
        <f>TEXT(CAPSTONE_PROJECT[[#This Row],[Admission Date]],"mmmm")</f>
        <v>December</v>
      </c>
      <c r="Y41" s="3" t="str">
        <f>TEXT(CAPSTONE_PROJECT[[#This Row],[Admission Date]],"yyyy")</f>
        <v>2024</v>
      </c>
      <c r="Z41" s="3" t="str">
        <f>TEXT(CAPSTONE_PROJECT[[#This Row],[Admission Date]],"mmm yyyy")</f>
        <v>Dec 2024</v>
      </c>
      <c r="AA41" s="3" t="str">
        <f>TEXT(CAPSTONE_PROJECT[[#This Row],[Admission Date]],"dddd")</f>
        <v>Wednesday</v>
      </c>
      <c r="AB41" s="3" t="str">
        <f>IF(CAPSTONE_PROJECT[[#This Row],[Age]]&lt;=34,"Young Adults",IF(CAPSTONE_PROJECT[[#This Row],[Age]]&lt;=59,"Adults","Elders"))</f>
        <v>Adults</v>
      </c>
      <c r="AC41" s="3" t="str">
        <f>_xlfn.XLOOKUP(CAPSTONE_PROJECT[[#This Row],[Patient ID]],'Lookup table'!A:A,'Lookup table'!B:B,,0)</f>
        <v>Ella T Taylor</v>
      </c>
      <c r="AD41" s="3" t="str">
        <f>_xlfn.XLOOKUP(CAPSTONE_PROJECT[[#This Row],[Patient ID]],'Lookup table'!A:A,'Lookup table'!C:C,,0)</f>
        <v>Female</v>
      </c>
      <c r="AE41" s="3" t="str">
        <f>IF(CAPSTONE_PROJECT[[#This Row],[Length of Stay]]&lt;=3,"Short Stay",IF(CAPSTONE_PROJECT[[#This Row],[Length of Stay]]&lt;=7,"Moderate Stay",IF(CAPSTONE_PROJECT[[#This Row],[Length of Stay]]&lt;=14,"Long Stay","Extended Stay")))</f>
        <v>Long Stay</v>
      </c>
    </row>
    <row r="42" spans="1:31" x14ac:dyDescent="0.3">
      <c r="A42" s="3" t="s">
        <v>141</v>
      </c>
      <c r="B42" s="4">
        <v>45911</v>
      </c>
      <c r="C42" s="4">
        <v>45931</v>
      </c>
      <c r="D42" s="4">
        <v>22849</v>
      </c>
      <c r="E42" s="3">
        <v>63</v>
      </c>
      <c r="F42" s="3" t="s">
        <v>18</v>
      </c>
      <c r="G42" s="3" t="s">
        <v>48</v>
      </c>
      <c r="H42" s="3" t="s">
        <v>43</v>
      </c>
      <c r="I42" s="3" t="s">
        <v>22</v>
      </c>
      <c r="J42" s="3" t="s">
        <v>30</v>
      </c>
      <c r="K42" s="3" t="s">
        <v>15</v>
      </c>
      <c r="L42" s="6">
        <v>2652.16</v>
      </c>
      <c r="M42" s="6">
        <v>1114.1400000000001</v>
      </c>
      <c r="N42" s="6">
        <v>2033.89</v>
      </c>
      <c r="O42" s="6">
        <v>9891.7199999999993</v>
      </c>
      <c r="P42" s="3" t="s">
        <v>51</v>
      </c>
      <c r="Q42" s="3" t="s">
        <v>1087</v>
      </c>
      <c r="R42" s="3" t="s">
        <v>19</v>
      </c>
      <c r="S42" s="3" t="s">
        <v>142</v>
      </c>
      <c r="T42" s="3">
        <v>6</v>
      </c>
      <c r="U42" s="3">
        <f>CAPSTONE_PROJECT[[#This Row],[Discharge Date]]-CAPSTONE_PROJECT[[#This Row],[Admission Date]]</f>
        <v>20</v>
      </c>
      <c r="V42" s="6">
        <f>SUM(CAPSTONE_PROJECT[[#This Row],[Room Cost]:[Treatment Cost]])</f>
        <v>15691.91</v>
      </c>
      <c r="W42" s="6">
        <f t="shared" si="0"/>
        <v>784.59550000000002</v>
      </c>
      <c r="X42" s="3" t="str">
        <f>TEXT(CAPSTONE_PROJECT[[#This Row],[Admission Date]],"mmmm")</f>
        <v>September</v>
      </c>
      <c r="Y42" s="3" t="str">
        <f>TEXT(CAPSTONE_PROJECT[[#This Row],[Admission Date]],"yyyy")</f>
        <v>2025</v>
      </c>
      <c r="Z42" s="3" t="str">
        <f>TEXT(CAPSTONE_PROJECT[[#This Row],[Admission Date]],"mmm yyyy")</f>
        <v>Sep 2025</v>
      </c>
      <c r="AA42" s="3" t="str">
        <f>TEXT(CAPSTONE_PROJECT[[#This Row],[Admission Date]],"dddd")</f>
        <v>Thursday</v>
      </c>
      <c r="AB42" s="3" t="str">
        <f>IF(CAPSTONE_PROJECT[[#This Row],[Age]]&lt;=34,"Young Adults",IF(CAPSTONE_PROJECT[[#This Row],[Age]]&lt;=59,"Adults","Elders"))</f>
        <v>Elders</v>
      </c>
      <c r="AC42" s="3" t="str">
        <f>_xlfn.XLOOKUP(CAPSTONE_PROJECT[[#This Row],[Patient ID]],'Lookup table'!A:A,'Lookup table'!B:B,,0)</f>
        <v>Ethan White</v>
      </c>
      <c r="AD42" s="3" t="str">
        <f>_xlfn.XLOOKUP(CAPSTONE_PROJECT[[#This Row],[Patient ID]],'Lookup table'!A:A,'Lookup table'!C:C,,0)</f>
        <v>Male</v>
      </c>
      <c r="AE42" s="3" t="str">
        <f>IF(CAPSTONE_PROJECT[[#This Row],[Length of Stay]]&lt;=3,"Short Stay",IF(CAPSTONE_PROJECT[[#This Row],[Length of Stay]]&lt;=7,"Moderate Stay",IF(CAPSTONE_PROJECT[[#This Row],[Length of Stay]]&lt;=14,"Long Stay","Extended Stay")))</f>
        <v>Extended Stay</v>
      </c>
    </row>
    <row r="43" spans="1:31" x14ac:dyDescent="0.3">
      <c r="A43" s="3" t="s">
        <v>143</v>
      </c>
      <c r="B43" s="4">
        <v>45619</v>
      </c>
      <c r="C43" s="4">
        <v>45626</v>
      </c>
      <c r="D43" s="4">
        <v>35415</v>
      </c>
      <c r="E43" s="3">
        <v>29</v>
      </c>
      <c r="F43" s="3" t="s">
        <v>18</v>
      </c>
      <c r="G43" s="3" t="s">
        <v>40</v>
      </c>
      <c r="H43" s="3" t="s">
        <v>29</v>
      </c>
      <c r="I43" s="3" t="s">
        <v>22</v>
      </c>
      <c r="J43" s="3" t="s">
        <v>30</v>
      </c>
      <c r="K43" s="3" t="s">
        <v>15</v>
      </c>
      <c r="L43" s="6">
        <v>3001.93</v>
      </c>
      <c r="M43" s="6">
        <v>1522.33</v>
      </c>
      <c r="N43" s="6">
        <v>648.62</v>
      </c>
      <c r="O43" s="6">
        <v>8218.23</v>
      </c>
      <c r="P43" s="3" t="s">
        <v>51</v>
      </c>
      <c r="Q43" s="3" t="s">
        <v>1082</v>
      </c>
      <c r="R43" s="3" t="s">
        <v>75</v>
      </c>
      <c r="S43" s="3" t="s">
        <v>144</v>
      </c>
      <c r="T43" s="3">
        <v>9</v>
      </c>
      <c r="U43" s="3">
        <f>CAPSTONE_PROJECT[[#This Row],[Discharge Date]]-CAPSTONE_PROJECT[[#This Row],[Admission Date]]</f>
        <v>7</v>
      </c>
      <c r="V43" s="6">
        <f>SUM(CAPSTONE_PROJECT[[#This Row],[Room Cost]:[Treatment Cost]])</f>
        <v>13391.11</v>
      </c>
      <c r="W43" s="6">
        <f t="shared" si="0"/>
        <v>1913.0157142857145</v>
      </c>
      <c r="X43" s="3" t="str">
        <f>TEXT(CAPSTONE_PROJECT[[#This Row],[Admission Date]],"mmmm")</f>
        <v>November</v>
      </c>
      <c r="Y43" s="3" t="str">
        <f>TEXT(CAPSTONE_PROJECT[[#This Row],[Admission Date]],"yyyy")</f>
        <v>2024</v>
      </c>
      <c r="Z43" s="3" t="str">
        <f>TEXT(CAPSTONE_PROJECT[[#This Row],[Admission Date]],"mmm yyyy")</f>
        <v>Nov 2024</v>
      </c>
      <c r="AA43" s="3" t="str">
        <f>TEXT(CAPSTONE_PROJECT[[#This Row],[Admission Date]],"dddd")</f>
        <v>Saturday</v>
      </c>
      <c r="AB43" s="3" t="str">
        <f>IF(CAPSTONE_PROJECT[[#This Row],[Age]]&lt;=34,"Young Adults",IF(CAPSTONE_PROJECT[[#This Row],[Age]]&lt;=59,"Adults","Elders"))</f>
        <v>Young Adults</v>
      </c>
      <c r="AC43" s="3" t="str">
        <f>_xlfn.XLOOKUP(CAPSTONE_PROJECT[[#This Row],[Patient ID]],'Lookup table'!A:A,'Lookup table'!B:B,,0)</f>
        <v>Emily Jones</v>
      </c>
      <c r="AD43" s="3" t="str">
        <f>_xlfn.XLOOKUP(CAPSTONE_PROJECT[[#This Row],[Patient ID]],'Lookup table'!A:A,'Lookup table'!C:C,,0)</f>
        <v>Female</v>
      </c>
      <c r="AE43" s="3" t="str">
        <f>IF(CAPSTONE_PROJECT[[#This Row],[Length of Stay]]&lt;=3,"Short Stay",IF(CAPSTONE_PROJECT[[#This Row],[Length of Stay]]&lt;=7,"Moderate Stay",IF(CAPSTONE_PROJECT[[#This Row],[Length of Stay]]&lt;=14,"Long Stay","Extended Stay")))</f>
        <v>Moderate Stay</v>
      </c>
    </row>
    <row r="44" spans="1:31" x14ac:dyDescent="0.3">
      <c r="A44" s="3" t="s">
        <v>145</v>
      </c>
      <c r="B44" s="4">
        <v>45368</v>
      </c>
      <c r="C44" s="4">
        <v>45370</v>
      </c>
      <c r="D44" s="4">
        <v>28517</v>
      </c>
      <c r="E44" s="3">
        <v>48</v>
      </c>
      <c r="F44" s="3" t="s">
        <v>33</v>
      </c>
      <c r="G44" s="3" t="s">
        <v>9</v>
      </c>
      <c r="H44" s="3" t="s">
        <v>43</v>
      </c>
      <c r="I44" s="3" t="s">
        <v>37</v>
      </c>
      <c r="J44" s="3" t="s">
        <v>73</v>
      </c>
      <c r="K44" s="3" t="s">
        <v>24</v>
      </c>
      <c r="L44" s="6">
        <v>290.22000000000003</v>
      </c>
      <c r="M44" s="6">
        <v>1482.7</v>
      </c>
      <c r="N44" s="6">
        <v>398.72</v>
      </c>
      <c r="O44" s="6">
        <v>10254.48</v>
      </c>
      <c r="P44" s="3" t="s">
        <v>51</v>
      </c>
      <c r="Q44" s="3" t="s">
        <v>1079</v>
      </c>
      <c r="R44" s="3" t="s">
        <v>68</v>
      </c>
      <c r="S44" s="3" t="s">
        <v>146</v>
      </c>
      <c r="T44" s="3">
        <v>1</v>
      </c>
      <c r="U44" s="3">
        <f>CAPSTONE_PROJECT[[#This Row],[Discharge Date]]-CAPSTONE_PROJECT[[#This Row],[Admission Date]]</f>
        <v>2</v>
      </c>
      <c r="V44" s="6">
        <f>SUM(CAPSTONE_PROJECT[[#This Row],[Room Cost]:[Treatment Cost]])</f>
        <v>12426.119999999999</v>
      </c>
      <c r="W44" s="6">
        <f t="shared" si="0"/>
        <v>6213.0599999999995</v>
      </c>
      <c r="X44" s="3" t="str">
        <f>TEXT(CAPSTONE_PROJECT[[#This Row],[Admission Date]],"mmmm")</f>
        <v>March</v>
      </c>
      <c r="Y44" s="3" t="str">
        <f>TEXT(CAPSTONE_PROJECT[[#This Row],[Admission Date]],"yyyy")</f>
        <v>2024</v>
      </c>
      <c r="Z44" s="3" t="str">
        <f>TEXT(CAPSTONE_PROJECT[[#This Row],[Admission Date]],"mmm yyyy")</f>
        <v>Mar 2024</v>
      </c>
      <c r="AA44" s="3" t="str">
        <f>TEXT(CAPSTONE_PROJECT[[#This Row],[Admission Date]],"dddd")</f>
        <v>Sunday</v>
      </c>
      <c r="AB44" s="3" t="str">
        <f>IF(CAPSTONE_PROJECT[[#This Row],[Age]]&lt;=34,"Young Adults",IF(CAPSTONE_PROJECT[[#This Row],[Age]]&lt;=59,"Adults","Elders"))</f>
        <v>Adults</v>
      </c>
      <c r="AC44" s="3" t="str">
        <f>_xlfn.XLOOKUP(CAPSTONE_PROJECT[[#This Row],[Patient ID]],'Lookup table'!A:A,'Lookup table'!B:B,,0)</f>
        <v>David Wood</v>
      </c>
      <c r="AD44" s="3" t="str">
        <f>_xlfn.XLOOKUP(CAPSTONE_PROJECT[[#This Row],[Patient ID]],'Lookup table'!A:A,'Lookup table'!C:C,,0)</f>
        <v>Male</v>
      </c>
      <c r="AE44" s="3" t="str">
        <f>IF(CAPSTONE_PROJECT[[#This Row],[Length of Stay]]&lt;=3,"Short Stay",IF(CAPSTONE_PROJECT[[#This Row],[Length of Stay]]&lt;=7,"Moderate Stay",IF(CAPSTONE_PROJECT[[#This Row],[Length of Stay]]&lt;=14,"Long Stay","Extended Stay")))</f>
        <v>Short Stay</v>
      </c>
    </row>
    <row r="45" spans="1:31" x14ac:dyDescent="0.3">
      <c r="A45" s="3" t="s">
        <v>147</v>
      </c>
      <c r="B45" s="4">
        <v>45444</v>
      </c>
      <c r="C45" s="4">
        <v>45452</v>
      </c>
      <c r="D45" s="4">
        <v>37669</v>
      </c>
      <c r="E45" s="3">
        <v>23</v>
      </c>
      <c r="F45" s="3" t="s">
        <v>18</v>
      </c>
      <c r="G45" s="3" t="s">
        <v>67</v>
      </c>
      <c r="H45" s="3" t="s">
        <v>72</v>
      </c>
      <c r="I45" s="3" t="s">
        <v>13</v>
      </c>
      <c r="J45" s="3" t="s">
        <v>73</v>
      </c>
      <c r="K45" s="3" t="s">
        <v>50</v>
      </c>
      <c r="L45" s="6">
        <v>3718.49</v>
      </c>
      <c r="M45" s="6">
        <v>726.29</v>
      </c>
      <c r="N45" s="6">
        <v>1223.49</v>
      </c>
      <c r="O45" s="6">
        <v>2353.86</v>
      </c>
      <c r="P45" s="3" t="s">
        <v>25</v>
      </c>
      <c r="Q45" s="3" t="s">
        <v>1084</v>
      </c>
      <c r="R45" s="3" t="s">
        <v>19</v>
      </c>
      <c r="S45" s="3" t="s">
        <v>148</v>
      </c>
      <c r="T45" s="3">
        <v>2</v>
      </c>
      <c r="U45" s="3">
        <f>CAPSTONE_PROJECT[[#This Row],[Discharge Date]]-CAPSTONE_PROJECT[[#This Row],[Admission Date]]</f>
        <v>8</v>
      </c>
      <c r="V45" s="6">
        <f>SUM(CAPSTONE_PROJECT[[#This Row],[Room Cost]:[Treatment Cost]])</f>
        <v>8022.1299999999992</v>
      </c>
      <c r="W45" s="6">
        <f t="shared" si="0"/>
        <v>1002.7662499999999</v>
      </c>
      <c r="X45" s="3" t="str">
        <f>TEXT(CAPSTONE_PROJECT[[#This Row],[Admission Date]],"mmmm")</f>
        <v>June</v>
      </c>
      <c r="Y45" s="3" t="str">
        <f>TEXT(CAPSTONE_PROJECT[[#This Row],[Admission Date]],"yyyy")</f>
        <v>2024</v>
      </c>
      <c r="Z45" s="3" t="str">
        <f>TEXT(CAPSTONE_PROJECT[[#This Row],[Admission Date]],"mmm yyyy")</f>
        <v>Jun 2024</v>
      </c>
      <c r="AA45" s="3" t="str">
        <f>TEXT(CAPSTONE_PROJECT[[#This Row],[Admission Date]],"dddd")</f>
        <v>Saturday</v>
      </c>
      <c r="AB45" s="3" t="str">
        <f>IF(CAPSTONE_PROJECT[[#This Row],[Age]]&lt;=34,"Young Adults",IF(CAPSTONE_PROJECT[[#This Row],[Age]]&lt;=59,"Adults","Elders"))</f>
        <v>Young Adults</v>
      </c>
      <c r="AC45" s="3" t="str">
        <f>_xlfn.XLOOKUP(CAPSTONE_PROJECT[[#This Row],[Patient ID]],'Lookup table'!A:A,'Lookup table'!B:B,,0)</f>
        <v>Isabella Walker</v>
      </c>
      <c r="AD45" s="3" t="str">
        <f>_xlfn.XLOOKUP(CAPSTONE_PROJECT[[#This Row],[Patient ID]],'Lookup table'!A:A,'Lookup table'!C:C,,0)</f>
        <v>Female</v>
      </c>
      <c r="AE45" s="3" t="str">
        <f>IF(CAPSTONE_PROJECT[[#This Row],[Length of Stay]]&lt;=3,"Short Stay",IF(CAPSTONE_PROJECT[[#This Row],[Length of Stay]]&lt;=7,"Moderate Stay",IF(CAPSTONE_PROJECT[[#This Row],[Length of Stay]]&lt;=14,"Long Stay","Extended Stay")))</f>
        <v>Long Stay</v>
      </c>
    </row>
    <row r="46" spans="1:31" x14ac:dyDescent="0.3">
      <c r="A46" s="3" t="s">
        <v>149</v>
      </c>
      <c r="B46" s="4">
        <v>46000</v>
      </c>
      <c r="C46" s="4">
        <v>46019</v>
      </c>
      <c r="D46" s="4">
        <v>21668</v>
      </c>
      <c r="E46" s="3">
        <v>67</v>
      </c>
      <c r="F46" s="3" t="s">
        <v>18</v>
      </c>
      <c r="G46" s="3" t="s">
        <v>61</v>
      </c>
      <c r="H46" s="3" t="s">
        <v>1080</v>
      </c>
      <c r="I46" s="3" t="s">
        <v>37</v>
      </c>
      <c r="J46" s="3" t="s">
        <v>15</v>
      </c>
      <c r="K46" s="3" t="s">
        <v>24</v>
      </c>
      <c r="L46" s="6">
        <v>1325.05</v>
      </c>
      <c r="M46" s="6">
        <v>1467.21</v>
      </c>
      <c r="N46" s="6">
        <v>0</v>
      </c>
      <c r="O46" s="6">
        <v>0</v>
      </c>
      <c r="P46" s="3" t="s">
        <v>25</v>
      </c>
      <c r="Q46" s="3" t="s">
        <v>1079</v>
      </c>
      <c r="R46" s="3" t="s">
        <v>41</v>
      </c>
      <c r="S46" s="3" t="s">
        <v>150</v>
      </c>
      <c r="T46" s="3">
        <v>1</v>
      </c>
      <c r="U46" s="3">
        <f>CAPSTONE_PROJECT[[#This Row],[Discharge Date]]-CAPSTONE_PROJECT[[#This Row],[Admission Date]]</f>
        <v>19</v>
      </c>
      <c r="V46" s="6">
        <f>SUM(CAPSTONE_PROJECT[[#This Row],[Room Cost]:[Treatment Cost]])</f>
        <v>2792.26</v>
      </c>
      <c r="W46" s="6">
        <f t="shared" si="0"/>
        <v>146.96105263157895</v>
      </c>
      <c r="X46" s="3" t="str">
        <f>TEXT(CAPSTONE_PROJECT[[#This Row],[Admission Date]],"mmmm")</f>
        <v>December</v>
      </c>
      <c r="Y46" s="3" t="str">
        <f>TEXT(CAPSTONE_PROJECT[[#This Row],[Admission Date]],"yyyy")</f>
        <v>2025</v>
      </c>
      <c r="Z46" s="3" t="str">
        <f>TEXT(CAPSTONE_PROJECT[[#This Row],[Admission Date]],"mmm yyyy")</f>
        <v>Dec 2025</v>
      </c>
      <c r="AA46" s="3" t="str">
        <f>TEXT(CAPSTONE_PROJECT[[#This Row],[Admission Date]],"dddd")</f>
        <v>Tuesday</v>
      </c>
      <c r="AB46" s="3" t="str">
        <f>IF(CAPSTONE_PROJECT[[#This Row],[Age]]&lt;=34,"Young Adults",IF(CAPSTONE_PROJECT[[#This Row],[Age]]&lt;=59,"Adults","Elders"))</f>
        <v>Elders</v>
      </c>
      <c r="AC46" s="3" t="str">
        <f>_xlfn.XLOOKUP(CAPSTONE_PROJECT[[#This Row],[Patient ID]],'Lookup table'!A:A,'Lookup table'!B:B,,0)</f>
        <v>Arthur Jones</v>
      </c>
      <c r="AD46" s="3" t="str">
        <f>_xlfn.XLOOKUP(CAPSTONE_PROJECT[[#This Row],[Patient ID]],'Lookup table'!A:A,'Lookup table'!C:C,,0)</f>
        <v>Male</v>
      </c>
      <c r="AE46" s="3" t="str">
        <f>IF(CAPSTONE_PROJECT[[#This Row],[Length of Stay]]&lt;=3,"Short Stay",IF(CAPSTONE_PROJECT[[#This Row],[Length of Stay]]&lt;=7,"Moderate Stay",IF(CAPSTONE_PROJECT[[#This Row],[Length of Stay]]&lt;=14,"Long Stay","Extended Stay")))</f>
        <v>Extended Stay</v>
      </c>
    </row>
    <row r="47" spans="1:31" x14ac:dyDescent="0.3">
      <c r="A47" s="3" t="s">
        <v>151</v>
      </c>
      <c r="B47" s="4">
        <v>45369</v>
      </c>
      <c r="C47" s="4">
        <v>45380</v>
      </c>
      <c r="D47" s="4">
        <v>18817</v>
      </c>
      <c r="E47" s="3">
        <v>74</v>
      </c>
      <c r="F47" s="3" t="s">
        <v>33</v>
      </c>
      <c r="G47" s="3" t="s">
        <v>53</v>
      </c>
      <c r="H47" s="3" t="s">
        <v>21</v>
      </c>
      <c r="I47" s="3" t="s">
        <v>22</v>
      </c>
      <c r="J47" s="3" t="s">
        <v>45</v>
      </c>
      <c r="K47" s="3" t="s">
        <v>65</v>
      </c>
      <c r="L47" s="6">
        <v>1436.97</v>
      </c>
      <c r="M47" s="6">
        <v>686.04</v>
      </c>
      <c r="N47" s="6">
        <v>1388.96</v>
      </c>
      <c r="O47" s="6">
        <v>5044.22</v>
      </c>
      <c r="P47" s="3" t="s">
        <v>16</v>
      </c>
      <c r="Q47" s="3" t="s">
        <v>1077</v>
      </c>
      <c r="R47" s="3" t="s">
        <v>41</v>
      </c>
      <c r="S47" s="3" t="s">
        <v>152</v>
      </c>
      <c r="T47" s="3">
        <v>5</v>
      </c>
      <c r="U47" s="3">
        <f>CAPSTONE_PROJECT[[#This Row],[Discharge Date]]-CAPSTONE_PROJECT[[#This Row],[Admission Date]]</f>
        <v>11</v>
      </c>
      <c r="V47" s="6">
        <f>SUM(CAPSTONE_PROJECT[[#This Row],[Room Cost]:[Treatment Cost]])</f>
        <v>8556.19</v>
      </c>
      <c r="W47" s="6">
        <f t="shared" si="0"/>
        <v>777.83545454545458</v>
      </c>
      <c r="X47" s="3" t="str">
        <f>TEXT(CAPSTONE_PROJECT[[#This Row],[Admission Date]],"mmmm")</f>
        <v>March</v>
      </c>
      <c r="Y47" s="3" t="str">
        <f>TEXT(CAPSTONE_PROJECT[[#This Row],[Admission Date]],"yyyy")</f>
        <v>2024</v>
      </c>
      <c r="Z47" s="3" t="str">
        <f>TEXT(CAPSTONE_PROJECT[[#This Row],[Admission Date]],"mmm yyyy")</f>
        <v>Mar 2024</v>
      </c>
      <c r="AA47" s="3" t="str">
        <f>TEXT(CAPSTONE_PROJECT[[#This Row],[Admission Date]],"dddd")</f>
        <v>Monday</v>
      </c>
      <c r="AB47" s="3" t="str">
        <f>IF(CAPSTONE_PROJECT[[#This Row],[Age]]&lt;=34,"Young Adults",IF(CAPSTONE_PROJECT[[#This Row],[Age]]&lt;=59,"Adults","Elders"))</f>
        <v>Elders</v>
      </c>
      <c r="AC47" s="3" t="str">
        <f>_xlfn.XLOOKUP(CAPSTONE_PROJECT[[#This Row],[Patient ID]],'Lookup table'!A:A,'Lookup table'!B:B,,0)</f>
        <v>Amelia Thompson</v>
      </c>
      <c r="AD47" s="3" t="str">
        <f>_xlfn.XLOOKUP(CAPSTONE_PROJECT[[#This Row],[Patient ID]],'Lookup table'!A:A,'Lookup table'!C:C,,0)</f>
        <v>Female</v>
      </c>
      <c r="AE47" s="3" t="str">
        <f>IF(CAPSTONE_PROJECT[[#This Row],[Length of Stay]]&lt;=3,"Short Stay",IF(CAPSTONE_PROJECT[[#This Row],[Length of Stay]]&lt;=7,"Moderate Stay",IF(CAPSTONE_PROJECT[[#This Row],[Length of Stay]]&lt;=14,"Long Stay","Extended Stay")))</f>
        <v>Long Stay</v>
      </c>
    </row>
    <row r="48" spans="1:31" x14ac:dyDescent="0.3">
      <c r="A48" s="3" t="s">
        <v>153</v>
      </c>
      <c r="B48" s="4">
        <v>45660</v>
      </c>
      <c r="C48" s="4">
        <v>45669</v>
      </c>
      <c r="D48" s="4">
        <v>38487</v>
      </c>
      <c r="E48" s="3">
        <v>21</v>
      </c>
      <c r="F48" s="3" t="s">
        <v>8</v>
      </c>
      <c r="G48" s="3" t="s">
        <v>53</v>
      </c>
      <c r="H48" s="3" t="s">
        <v>100</v>
      </c>
      <c r="I48" s="3" t="s">
        <v>44</v>
      </c>
      <c r="J48" s="3" t="s">
        <v>23</v>
      </c>
      <c r="K48" s="3" t="s">
        <v>50</v>
      </c>
      <c r="L48" s="6">
        <v>2347.31</v>
      </c>
      <c r="M48" s="6">
        <v>157.36000000000001</v>
      </c>
      <c r="N48" s="6">
        <v>2386.4699999999998</v>
      </c>
      <c r="O48" s="6">
        <v>3042.92</v>
      </c>
      <c r="P48" s="3" t="s">
        <v>16</v>
      </c>
      <c r="Q48" s="3" t="s">
        <v>1087</v>
      </c>
      <c r="R48" s="3" t="s">
        <v>58</v>
      </c>
      <c r="S48" s="3" t="s">
        <v>154</v>
      </c>
      <c r="T48" s="3">
        <v>7</v>
      </c>
      <c r="U48" s="3">
        <f>CAPSTONE_PROJECT[[#This Row],[Discharge Date]]-CAPSTONE_PROJECT[[#This Row],[Admission Date]]</f>
        <v>9</v>
      </c>
      <c r="V48" s="6">
        <f>SUM(CAPSTONE_PROJECT[[#This Row],[Room Cost]:[Treatment Cost]])</f>
        <v>7934.0599999999995</v>
      </c>
      <c r="W48" s="6">
        <f t="shared" si="0"/>
        <v>881.5622222222222</v>
      </c>
      <c r="X48" s="3" t="str">
        <f>TEXT(CAPSTONE_PROJECT[[#This Row],[Admission Date]],"mmmm")</f>
        <v>January</v>
      </c>
      <c r="Y48" s="3" t="str">
        <f>TEXT(CAPSTONE_PROJECT[[#This Row],[Admission Date]],"yyyy")</f>
        <v>2025</v>
      </c>
      <c r="Z48" s="3" t="str">
        <f>TEXT(CAPSTONE_PROJECT[[#This Row],[Admission Date]],"mmm yyyy")</f>
        <v>Jan 2025</v>
      </c>
      <c r="AA48" s="3" t="str">
        <f>TEXT(CAPSTONE_PROJECT[[#This Row],[Admission Date]],"dddd")</f>
        <v>Friday</v>
      </c>
      <c r="AB48" s="3" t="str">
        <f>IF(CAPSTONE_PROJECT[[#This Row],[Age]]&lt;=34,"Young Adults",IF(CAPSTONE_PROJECT[[#This Row],[Age]]&lt;=59,"Adults","Elders"))</f>
        <v>Young Adults</v>
      </c>
      <c r="AC48" s="3" t="str">
        <f>_xlfn.XLOOKUP(CAPSTONE_PROJECT[[#This Row],[Patient ID]],'Lookup table'!A:A,'Lookup table'!B:B,,0)</f>
        <v>Leo Smith</v>
      </c>
      <c r="AD48" s="3" t="str">
        <f>_xlfn.XLOOKUP(CAPSTONE_PROJECT[[#This Row],[Patient ID]],'Lookup table'!A:A,'Lookup table'!C:C,,0)</f>
        <v>Male</v>
      </c>
      <c r="AE48" s="3" t="str">
        <f>IF(CAPSTONE_PROJECT[[#This Row],[Length of Stay]]&lt;=3,"Short Stay",IF(CAPSTONE_PROJECT[[#This Row],[Length of Stay]]&lt;=7,"Moderate Stay",IF(CAPSTONE_PROJECT[[#This Row],[Length of Stay]]&lt;=14,"Long Stay","Extended Stay")))</f>
        <v>Long Stay</v>
      </c>
    </row>
    <row r="49" spans="1:31" x14ac:dyDescent="0.3">
      <c r="A49" s="3" t="s">
        <v>155</v>
      </c>
      <c r="B49" s="4">
        <v>45370</v>
      </c>
      <c r="C49" s="4">
        <v>45382</v>
      </c>
      <c r="D49" s="4">
        <v>23615</v>
      </c>
      <c r="E49" s="3">
        <v>61</v>
      </c>
      <c r="F49" s="3" t="s">
        <v>8</v>
      </c>
      <c r="G49" s="3" t="s">
        <v>61</v>
      </c>
      <c r="H49" s="3" t="s">
        <v>12</v>
      </c>
      <c r="I49" s="3" t="s">
        <v>44</v>
      </c>
      <c r="J49" s="3" t="s">
        <v>30</v>
      </c>
      <c r="K49" s="3" t="s">
        <v>50</v>
      </c>
      <c r="L49" s="6">
        <v>3458.87</v>
      </c>
      <c r="M49" s="6">
        <v>652.74</v>
      </c>
      <c r="N49" s="6">
        <v>2543.67</v>
      </c>
      <c r="O49" s="6">
        <v>8662.18</v>
      </c>
      <c r="P49" s="3" t="s">
        <v>16</v>
      </c>
      <c r="Q49" s="3" t="s">
        <v>1081</v>
      </c>
      <c r="R49" s="3" t="s">
        <v>10</v>
      </c>
      <c r="S49" s="3" t="s">
        <v>156</v>
      </c>
      <c r="T49" s="3">
        <v>8</v>
      </c>
      <c r="U49" s="3">
        <f>CAPSTONE_PROJECT[[#This Row],[Discharge Date]]-CAPSTONE_PROJECT[[#This Row],[Admission Date]]</f>
        <v>12</v>
      </c>
      <c r="V49" s="6">
        <f>SUM(CAPSTONE_PROJECT[[#This Row],[Room Cost]:[Treatment Cost]])</f>
        <v>15317.46</v>
      </c>
      <c r="W49" s="6">
        <f t="shared" si="0"/>
        <v>1276.4549999999999</v>
      </c>
      <c r="X49" s="3" t="str">
        <f>TEXT(CAPSTONE_PROJECT[[#This Row],[Admission Date]],"mmmm")</f>
        <v>March</v>
      </c>
      <c r="Y49" s="3" t="str">
        <f>TEXT(CAPSTONE_PROJECT[[#This Row],[Admission Date]],"yyyy")</f>
        <v>2024</v>
      </c>
      <c r="Z49" s="3" t="str">
        <f>TEXT(CAPSTONE_PROJECT[[#This Row],[Admission Date]],"mmm yyyy")</f>
        <v>Mar 2024</v>
      </c>
      <c r="AA49" s="3" t="str">
        <f>TEXT(CAPSTONE_PROJECT[[#This Row],[Admission Date]],"dddd")</f>
        <v>Tuesday</v>
      </c>
      <c r="AB49" s="3" t="str">
        <f>IF(CAPSTONE_PROJECT[[#This Row],[Age]]&lt;=34,"Young Adults",IF(CAPSTONE_PROJECT[[#This Row],[Age]]&lt;=59,"Adults","Elders"))</f>
        <v>Elders</v>
      </c>
      <c r="AC49" s="3" t="str">
        <f>_xlfn.XLOOKUP(CAPSTONE_PROJECT[[#This Row],[Patient ID]],'Lookup table'!A:A,'Lookup table'!B:B,,0)</f>
        <v>Olivia Smith</v>
      </c>
      <c r="AD49" s="3" t="str">
        <f>_xlfn.XLOOKUP(CAPSTONE_PROJECT[[#This Row],[Patient ID]],'Lookup table'!A:A,'Lookup table'!C:C,,0)</f>
        <v>Female</v>
      </c>
      <c r="AE49" s="3" t="str">
        <f>IF(CAPSTONE_PROJECT[[#This Row],[Length of Stay]]&lt;=3,"Short Stay",IF(CAPSTONE_PROJECT[[#This Row],[Length of Stay]]&lt;=7,"Moderate Stay",IF(CAPSTONE_PROJECT[[#This Row],[Length of Stay]]&lt;=14,"Long Stay","Extended Stay")))</f>
        <v>Long Stay</v>
      </c>
    </row>
    <row r="50" spans="1:31" x14ac:dyDescent="0.3">
      <c r="A50" s="3" t="s">
        <v>157</v>
      </c>
      <c r="B50" s="4">
        <v>45694</v>
      </c>
      <c r="C50" s="4">
        <v>45706</v>
      </c>
      <c r="D50" s="4">
        <v>23932</v>
      </c>
      <c r="E50" s="3">
        <v>60</v>
      </c>
      <c r="F50" s="3" t="s">
        <v>33</v>
      </c>
      <c r="G50" s="3" t="s">
        <v>67</v>
      </c>
      <c r="H50" s="3" t="s">
        <v>100</v>
      </c>
      <c r="I50" s="3" t="s">
        <v>22</v>
      </c>
      <c r="J50" s="3" t="s">
        <v>45</v>
      </c>
      <c r="K50" s="3" t="s">
        <v>50</v>
      </c>
      <c r="L50" s="6">
        <v>3195.4</v>
      </c>
      <c r="M50" s="6">
        <v>1267.96</v>
      </c>
      <c r="N50" s="6">
        <v>2918.76</v>
      </c>
      <c r="O50" s="6">
        <v>12641.13</v>
      </c>
      <c r="P50" s="3" t="s">
        <v>51</v>
      </c>
      <c r="Q50" s="3" t="s">
        <v>1085</v>
      </c>
      <c r="R50" s="3" t="s">
        <v>19</v>
      </c>
      <c r="S50" s="3" t="s">
        <v>158</v>
      </c>
      <c r="T50" s="3">
        <v>1</v>
      </c>
      <c r="U50" s="3">
        <f>CAPSTONE_PROJECT[[#This Row],[Discharge Date]]-CAPSTONE_PROJECT[[#This Row],[Admission Date]]</f>
        <v>12</v>
      </c>
      <c r="V50" s="6">
        <f>SUM(CAPSTONE_PROJECT[[#This Row],[Room Cost]:[Treatment Cost]])</f>
        <v>20023.25</v>
      </c>
      <c r="W50" s="6">
        <f t="shared" si="0"/>
        <v>1668.6041666666667</v>
      </c>
      <c r="X50" s="3" t="str">
        <f>TEXT(CAPSTONE_PROJECT[[#This Row],[Admission Date]],"mmmm")</f>
        <v>February</v>
      </c>
      <c r="Y50" s="3" t="str">
        <f>TEXT(CAPSTONE_PROJECT[[#This Row],[Admission Date]],"yyyy")</f>
        <v>2025</v>
      </c>
      <c r="Z50" s="3" t="str">
        <f>TEXT(CAPSTONE_PROJECT[[#This Row],[Admission Date]],"mmm yyyy")</f>
        <v>Feb 2025</v>
      </c>
      <c r="AA50" s="3" t="str">
        <f>TEXT(CAPSTONE_PROJECT[[#This Row],[Admission Date]],"dddd")</f>
        <v>Thursday</v>
      </c>
      <c r="AB50" s="3" t="str">
        <f>IF(CAPSTONE_PROJECT[[#This Row],[Age]]&lt;=34,"Young Adults",IF(CAPSTONE_PROJECT[[#This Row],[Age]]&lt;=59,"Adults","Elders"))</f>
        <v>Elders</v>
      </c>
      <c r="AC50" s="3" t="str">
        <f>_xlfn.XLOOKUP(CAPSTONE_PROJECT[[#This Row],[Patient ID]],'Lookup table'!A:A,'Lookup table'!B:B,,0)</f>
        <v>Henry M Thompson</v>
      </c>
      <c r="AD50" s="3" t="str">
        <f>_xlfn.XLOOKUP(CAPSTONE_PROJECT[[#This Row],[Patient ID]],'Lookup table'!A:A,'Lookup table'!C:C,,0)</f>
        <v>Male</v>
      </c>
      <c r="AE50" s="3" t="str">
        <f>IF(CAPSTONE_PROJECT[[#This Row],[Length of Stay]]&lt;=3,"Short Stay",IF(CAPSTONE_PROJECT[[#This Row],[Length of Stay]]&lt;=7,"Moderate Stay",IF(CAPSTONE_PROJECT[[#This Row],[Length of Stay]]&lt;=14,"Long Stay","Extended Stay")))</f>
        <v>Long Stay</v>
      </c>
    </row>
    <row r="51" spans="1:31" x14ac:dyDescent="0.3">
      <c r="A51" s="3" t="s">
        <v>159</v>
      </c>
      <c r="B51" s="4">
        <v>45660</v>
      </c>
      <c r="C51" s="4">
        <v>45678</v>
      </c>
      <c r="D51" s="4">
        <v>28881</v>
      </c>
      <c r="E51" s="3">
        <v>47</v>
      </c>
      <c r="F51" s="3" t="s">
        <v>33</v>
      </c>
      <c r="G51" s="3" t="s">
        <v>34</v>
      </c>
      <c r="H51" s="3" t="s">
        <v>21</v>
      </c>
      <c r="I51" s="3" t="s">
        <v>44</v>
      </c>
      <c r="J51" s="3" t="s">
        <v>38</v>
      </c>
      <c r="K51" s="3" t="s">
        <v>15</v>
      </c>
      <c r="L51" s="6">
        <v>4990.04</v>
      </c>
      <c r="M51" s="6">
        <v>345.25</v>
      </c>
      <c r="N51" s="6">
        <v>2809.47</v>
      </c>
      <c r="O51" s="6">
        <v>8858.34</v>
      </c>
      <c r="P51" s="3" t="s">
        <v>51</v>
      </c>
      <c r="Q51" s="3" t="s">
        <v>1081</v>
      </c>
      <c r="R51" s="3" t="s">
        <v>10</v>
      </c>
      <c r="S51" s="3" t="s">
        <v>160</v>
      </c>
      <c r="T51" s="3">
        <v>1</v>
      </c>
      <c r="U51" s="3">
        <f>CAPSTONE_PROJECT[[#This Row],[Discharge Date]]-CAPSTONE_PROJECT[[#This Row],[Admission Date]]</f>
        <v>18</v>
      </c>
      <c r="V51" s="6">
        <f>SUM(CAPSTONE_PROJECT[[#This Row],[Room Cost]:[Treatment Cost]])</f>
        <v>17003.099999999999</v>
      </c>
      <c r="W51" s="6">
        <f t="shared" si="0"/>
        <v>944.61666666666656</v>
      </c>
      <c r="X51" s="3" t="str">
        <f>TEXT(CAPSTONE_PROJECT[[#This Row],[Admission Date]],"mmmm")</f>
        <v>January</v>
      </c>
      <c r="Y51" s="3" t="str">
        <f>TEXT(CAPSTONE_PROJECT[[#This Row],[Admission Date]],"yyyy")</f>
        <v>2025</v>
      </c>
      <c r="Z51" s="3" t="str">
        <f>TEXT(CAPSTONE_PROJECT[[#This Row],[Admission Date]],"mmm yyyy")</f>
        <v>Jan 2025</v>
      </c>
      <c r="AA51" s="3" t="str">
        <f>TEXT(CAPSTONE_PROJECT[[#This Row],[Admission Date]],"dddd")</f>
        <v>Friday</v>
      </c>
      <c r="AB51" s="3" t="str">
        <f>IF(CAPSTONE_PROJECT[[#This Row],[Age]]&lt;=34,"Young Adults",IF(CAPSTONE_PROJECT[[#This Row],[Age]]&lt;=59,"Adults","Elders"))</f>
        <v>Adults</v>
      </c>
      <c r="AC51" s="3" t="str">
        <f>_xlfn.XLOOKUP(CAPSTONE_PROJECT[[#This Row],[Patient ID]],'Lookup table'!A:A,'Lookup table'!B:B,,0)</f>
        <v>Ava Taylor</v>
      </c>
      <c r="AD51" s="3" t="str">
        <f>_xlfn.XLOOKUP(CAPSTONE_PROJECT[[#This Row],[Patient ID]],'Lookup table'!A:A,'Lookup table'!C:C,,0)</f>
        <v>Female</v>
      </c>
      <c r="AE51" s="3" t="str">
        <f>IF(CAPSTONE_PROJECT[[#This Row],[Length of Stay]]&lt;=3,"Short Stay",IF(CAPSTONE_PROJECT[[#This Row],[Length of Stay]]&lt;=7,"Moderate Stay",IF(CAPSTONE_PROJECT[[#This Row],[Length of Stay]]&lt;=14,"Long Stay","Extended Stay")))</f>
        <v>Extended Stay</v>
      </c>
    </row>
    <row r="52" spans="1:31" x14ac:dyDescent="0.3">
      <c r="A52" s="3" t="s">
        <v>161</v>
      </c>
      <c r="B52" s="4">
        <v>45379</v>
      </c>
      <c r="C52" s="4">
        <v>45383</v>
      </c>
      <c r="D52" s="4">
        <v>18762</v>
      </c>
      <c r="E52" s="3">
        <v>75</v>
      </c>
      <c r="F52" s="3" t="s">
        <v>47</v>
      </c>
      <c r="G52" s="3" t="s">
        <v>67</v>
      </c>
      <c r="H52" s="3" t="s">
        <v>114</v>
      </c>
      <c r="I52" s="3" t="s">
        <v>44</v>
      </c>
      <c r="J52" s="3" t="s">
        <v>45</v>
      </c>
      <c r="K52" s="3" t="s">
        <v>50</v>
      </c>
      <c r="L52" s="6">
        <v>4728.6400000000003</v>
      </c>
      <c r="M52" s="6">
        <v>977.59</v>
      </c>
      <c r="N52" s="6">
        <v>2232.29</v>
      </c>
      <c r="O52" s="6">
        <v>9702.14</v>
      </c>
      <c r="P52" s="3" t="s">
        <v>51</v>
      </c>
      <c r="Q52" s="3" t="s">
        <v>1079</v>
      </c>
      <c r="R52" s="3" t="s">
        <v>58</v>
      </c>
      <c r="S52" s="3" t="s">
        <v>162</v>
      </c>
      <c r="T52" s="3">
        <v>8</v>
      </c>
      <c r="U52" s="3">
        <f>CAPSTONE_PROJECT[[#This Row],[Discharge Date]]-CAPSTONE_PROJECT[[#This Row],[Admission Date]]</f>
        <v>4</v>
      </c>
      <c r="V52" s="6">
        <f>SUM(CAPSTONE_PROJECT[[#This Row],[Room Cost]:[Treatment Cost]])</f>
        <v>17640.66</v>
      </c>
      <c r="W52" s="6">
        <f t="shared" si="0"/>
        <v>4410.165</v>
      </c>
      <c r="X52" s="3" t="str">
        <f>TEXT(CAPSTONE_PROJECT[[#This Row],[Admission Date]],"mmmm")</f>
        <v>March</v>
      </c>
      <c r="Y52" s="3" t="str">
        <f>TEXT(CAPSTONE_PROJECT[[#This Row],[Admission Date]],"yyyy")</f>
        <v>2024</v>
      </c>
      <c r="Z52" s="3" t="str">
        <f>TEXT(CAPSTONE_PROJECT[[#This Row],[Admission Date]],"mmm yyyy")</f>
        <v>Mar 2024</v>
      </c>
      <c r="AA52" s="3" t="str">
        <f>TEXT(CAPSTONE_PROJECT[[#This Row],[Admission Date]],"dddd")</f>
        <v>Thursday</v>
      </c>
      <c r="AB52" s="3" t="str">
        <f>IF(CAPSTONE_PROJECT[[#This Row],[Age]]&lt;=34,"Young Adults",IF(CAPSTONE_PROJECT[[#This Row],[Age]]&lt;=59,"Adults","Elders"))</f>
        <v>Elders</v>
      </c>
      <c r="AC52" s="3" t="str">
        <f>_xlfn.XLOOKUP(CAPSTONE_PROJECT[[#This Row],[Patient ID]],'Lookup table'!A:A,'Lookup table'!B:B,,0)</f>
        <v>James Thompson</v>
      </c>
      <c r="AD52" s="3" t="str">
        <f>_xlfn.XLOOKUP(CAPSTONE_PROJECT[[#This Row],[Patient ID]],'Lookup table'!A:A,'Lookup table'!C:C,,0)</f>
        <v>Male</v>
      </c>
      <c r="AE52" s="3" t="str">
        <f>IF(CAPSTONE_PROJECT[[#This Row],[Length of Stay]]&lt;=3,"Short Stay",IF(CAPSTONE_PROJECT[[#This Row],[Length of Stay]]&lt;=7,"Moderate Stay",IF(CAPSTONE_PROJECT[[#This Row],[Length of Stay]]&lt;=14,"Long Stay","Extended Stay")))</f>
        <v>Moderate Stay</v>
      </c>
    </row>
    <row r="53" spans="1:31" x14ac:dyDescent="0.3">
      <c r="A53" s="3" t="s">
        <v>163</v>
      </c>
      <c r="B53" s="4">
        <v>45734</v>
      </c>
      <c r="C53" s="4">
        <v>45747</v>
      </c>
      <c r="D53" s="4">
        <v>20781</v>
      </c>
      <c r="E53" s="3">
        <v>69</v>
      </c>
      <c r="F53" s="3" t="s">
        <v>47</v>
      </c>
      <c r="G53" s="3" t="s">
        <v>61</v>
      </c>
      <c r="H53" s="3" t="s">
        <v>43</v>
      </c>
      <c r="I53" s="3" t="s">
        <v>13</v>
      </c>
      <c r="J53" s="3" t="s">
        <v>14</v>
      </c>
      <c r="K53" s="3" t="s">
        <v>15</v>
      </c>
      <c r="L53" s="6">
        <v>2726.7</v>
      </c>
      <c r="M53" s="6">
        <v>1290.6300000000001</v>
      </c>
      <c r="N53" s="6">
        <v>2517.96</v>
      </c>
      <c r="O53" s="6">
        <v>10111.92</v>
      </c>
      <c r="P53" s="3" t="s">
        <v>16</v>
      </c>
      <c r="Q53" s="3" t="s">
        <v>1085</v>
      </c>
      <c r="R53" s="3" t="s">
        <v>19</v>
      </c>
      <c r="S53" s="3" t="s">
        <v>164</v>
      </c>
      <c r="T53" s="3">
        <v>1</v>
      </c>
      <c r="U53" s="3">
        <f>CAPSTONE_PROJECT[[#This Row],[Discharge Date]]-CAPSTONE_PROJECT[[#This Row],[Admission Date]]</f>
        <v>13</v>
      </c>
      <c r="V53" s="6">
        <f>SUM(CAPSTONE_PROJECT[[#This Row],[Room Cost]:[Treatment Cost]])</f>
        <v>16647.21</v>
      </c>
      <c r="W53" s="6">
        <f t="shared" si="0"/>
        <v>1280.5546153846153</v>
      </c>
      <c r="X53" s="3" t="str">
        <f>TEXT(CAPSTONE_PROJECT[[#This Row],[Admission Date]],"mmmm")</f>
        <v>March</v>
      </c>
      <c r="Y53" s="3" t="str">
        <f>TEXT(CAPSTONE_PROJECT[[#This Row],[Admission Date]],"yyyy")</f>
        <v>2025</v>
      </c>
      <c r="Z53" s="3" t="str">
        <f>TEXT(CAPSTONE_PROJECT[[#This Row],[Admission Date]],"mmm yyyy")</f>
        <v>Mar 2025</v>
      </c>
      <c r="AA53" s="3" t="str">
        <f>TEXT(CAPSTONE_PROJECT[[#This Row],[Admission Date]],"dddd")</f>
        <v>Tuesday</v>
      </c>
      <c r="AB53" s="3" t="str">
        <f>IF(CAPSTONE_PROJECT[[#This Row],[Age]]&lt;=34,"Young Adults",IF(CAPSTONE_PROJECT[[#This Row],[Age]]&lt;=59,"Adults","Elders"))</f>
        <v>Elders</v>
      </c>
      <c r="AC53" s="3" t="str">
        <f>_xlfn.XLOOKUP(CAPSTONE_PROJECT[[#This Row],[Patient ID]],'Lookup table'!A:A,'Lookup table'!B:B,,0)</f>
        <v>Olivia Clarke</v>
      </c>
      <c r="AD53" s="3" t="str">
        <f>_xlfn.XLOOKUP(CAPSTONE_PROJECT[[#This Row],[Patient ID]],'Lookup table'!A:A,'Lookup table'!C:C,,0)</f>
        <v>Female</v>
      </c>
      <c r="AE53" s="3" t="str">
        <f>IF(CAPSTONE_PROJECT[[#This Row],[Length of Stay]]&lt;=3,"Short Stay",IF(CAPSTONE_PROJECT[[#This Row],[Length of Stay]]&lt;=7,"Moderate Stay",IF(CAPSTONE_PROJECT[[#This Row],[Length of Stay]]&lt;=14,"Long Stay","Extended Stay")))</f>
        <v>Long Stay</v>
      </c>
    </row>
    <row r="54" spans="1:31" x14ac:dyDescent="0.3">
      <c r="A54" s="3" t="s">
        <v>165</v>
      </c>
      <c r="B54" s="4">
        <v>45468</v>
      </c>
      <c r="C54" s="4">
        <v>45478</v>
      </c>
      <c r="D54" s="4">
        <v>24704</v>
      </c>
      <c r="E54" s="3">
        <v>58</v>
      </c>
      <c r="F54" s="3" t="s">
        <v>33</v>
      </c>
      <c r="G54" s="3" t="s">
        <v>61</v>
      </c>
      <c r="H54" s="3" t="s">
        <v>21</v>
      </c>
      <c r="I54" s="3" t="s">
        <v>44</v>
      </c>
      <c r="J54" s="3" t="s">
        <v>23</v>
      </c>
      <c r="K54" s="3" t="s">
        <v>24</v>
      </c>
      <c r="L54" s="6">
        <v>3855.94</v>
      </c>
      <c r="M54" s="6">
        <v>1809.95</v>
      </c>
      <c r="N54" s="6">
        <v>555.86</v>
      </c>
      <c r="O54" s="6">
        <v>2985.1</v>
      </c>
      <c r="P54" s="3" t="s">
        <v>25</v>
      </c>
      <c r="Q54" s="3" t="s">
        <v>1082</v>
      </c>
      <c r="R54" s="3" t="s">
        <v>41</v>
      </c>
      <c r="S54" s="3" t="s">
        <v>166</v>
      </c>
      <c r="T54" s="3">
        <v>2</v>
      </c>
      <c r="U54" s="3">
        <f>CAPSTONE_PROJECT[[#This Row],[Discharge Date]]-CAPSTONE_PROJECT[[#This Row],[Admission Date]]</f>
        <v>10</v>
      </c>
      <c r="V54" s="6">
        <f>SUM(CAPSTONE_PROJECT[[#This Row],[Room Cost]:[Treatment Cost]])</f>
        <v>9206.85</v>
      </c>
      <c r="W54" s="6">
        <f t="shared" si="0"/>
        <v>920.68500000000006</v>
      </c>
      <c r="X54" s="3" t="str">
        <f>TEXT(CAPSTONE_PROJECT[[#This Row],[Admission Date]],"mmmm")</f>
        <v>June</v>
      </c>
      <c r="Y54" s="3" t="str">
        <f>TEXT(CAPSTONE_PROJECT[[#This Row],[Admission Date]],"yyyy")</f>
        <v>2024</v>
      </c>
      <c r="Z54" s="3" t="str">
        <f>TEXT(CAPSTONE_PROJECT[[#This Row],[Admission Date]],"mmm yyyy")</f>
        <v>Jun 2024</v>
      </c>
      <c r="AA54" s="3" t="str">
        <f>TEXT(CAPSTONE_PROJECT[[#This Row],[Admission Date]],"dddd")</f>
        <v>Tuesday</v>
      </c>
      <c r="AB54" s="3" t="str">
        <f>IF(CAPSTONE_PROJECT[[#This Row],[Age]]&lt;=34,"Young Adults",IF(CAPSTONE_PROJECT[[#This Row],[Age]]&lt;=59,"Adults","Elders"))</f>
        <v>Adults</v>
      </c>
      <c r="AC54" s="3" t="str">
        <f>_xlfn.XLOOKUP(CAPSTONE_PROJECT[[#This Row],[Patient ID]],'Lookup table'!A:A,'Lookup table'!B:B,,0)</f>
        <v>Oliver Wood</v>
      </c>
      <c r="AD54" s="3" t="str">
        <f>_xlfn.XLOOKUP(CAPSTONE_PROJECT[[#This Row],[Patient ID]],'Lookup table'!A:A,'Lookup table'!C:C,,0)</f>
        <v>Male</v>
      </c>
      <c r="AE54" s="3" t="str">
        <f>IF(CAPSTONE_PROJECT[[#This Row],[Length of Stay]]&lt;=3,"Short Stay",IF(CAPSTONE_PROJECT[[#This Row],[Length of Stay]]&lt;=7,"Moderate Stay",IF(CAPSTONE_PROJECT[[#This Row],[Length of Stay]]&lt;=14,"Long Stay","Extended Stay")))</f>
        <v>Long Stay</v>
      </c>
    </row>
    <row r="55" spans="1:31" x14ac:dyDescent="0.3">
      <c r="A55" s="3" t="s">
        <v>167</v>
      </c>
      <c r="B55" s="4">
        <v>45685</v>
      </c>
      <c r="C55" s="4">
        <v>45703</v>
      </c>
      <c r="D55" s="4">
        <v>19476</v>
      </c>
      <c r="E55" s="3">
        <v>73</v>
      </c>
      <c r="F55" s="3" t="s">
        <v>18</v>
      </c>
      <c r="G55" s="3" t="s">
        <v>67</v>
      </c>
      <c r="H55" s="3" t="s">
        <v>104</v>
      </c>
      <c r="I55" s="3" t="s">
        <v>37</v>
      </c>
      <c r="J55" s="3" t="s">
        <v>38</v>
      </c>
      <c r="K55" s="3" t="s">
        <v>65</v>
      </c>
      <c r="L55" s="6">
        <v>4631.33</v>
      </c>
      <c r="M55" s="6">
        <v>798.1</v>
      </c>
      <c r="N55" s="6">
        <v>0</v>
      </c>
      <c r="O55" s="6">
        <v>0</v>
      </c>
      <c r="P55" s="3" t="s">
        <v>16</v>
      </c>
      <c r="Q55" s="3" t="s">
        <v>1079</v>
      </c>
      <c r="R55" s="3" t="s">
        <v>58</v>
      </c>
      <c r="S55" s="3" t="s">
        <v>168</v>
      </c>
      <c r="T55" s="3">
        <v>8</v>
      </c>
      <c r="U55" s="3">
        <f>CAPSTONE_PROJECT[[#This Row],[Discharge Date]]-CAPSTONE_PROJECT[[#This Row],[Admission Date]]</f>
        <v>18</v>
      </c>
      <c r="V55" s="6">
        <f>SUM(CAPSTONE_PROJECT[[#This Row],[Room Cost]:[Treatment Cost]])</f>
        <v>5429.43</v>
      </c>
      <c r="W55" s="6">
        <f t="shared" si="0"/>
        <v>301.63499999999999</v>
      </c>
      <c r="X55" s="3" t="str">
        <f>TEXT(CAPSTONE_PROJECT[[#This Row],[Admission Date]],"mmmm")</f>
        <v>January</v>
      </c>
      <c r="Y55" s="3" t="str">
        <f>TEXT(CAPSTONE_PROJECT[[#This Row],[Admission Date]],"yyyy")</f>
        <v>2025</v>
      </c>
      <c r="Z55" s="3" t="str">
        <f>TEXT(CAPSTONE_PROJECT[[#This Row],[Admission Date]],"mmm yyyy")</f>
        <v>Jan 2025</v>
      </c>
      <c r="AA55" s="3" t="str">
        <f>TEXT(CAPSTONE_PROJECT[[#This Row],[Admission Date]],"dddd")</f>
        <v>Tuesday</v>
      </c>
      <c r="AB55" s="3" t="str">
        <f>IF(CAPSTONE_PROJECT[[#This Row],[Age]]&lt;=34,"Young Adults",IF(CAPSTONE_PROJECT[[#This Row],[Age]]&lt;=59,"Adults","Elders"))</f>
        <v>Elders</v>
      </c>
      <c r="AC55" s="3" t="str">
        <f>_xlfn.XLOOKUP(CAPSTONE_PROJECT[[#This Row],[Patient ID]],'Lookup table'!A:A,'Lookup table'!B:B,,0)</f>
        <v>Sophia Walker</v>
      </c>
      <c r="AD55" s="3" t="str">
        <f>_xlfn.XLOOKUP(CAPSTONE_PROJECT[[#This Row],[Patient ID]],'Lookup table'!A:A,'Lookup table'!C:C,,0)</f>
        <v>Female</v>
      </c>
      <c r="AE55" s="3" t="str">
        <f>IF(CAPSTONE_PROJECT[[#This Row],[Length of Stay]]&lt;=3,"Short Stay",IF(CAPSTONE_PROJECT[[#This Row],[Length of Stay]]&lt;=7,"Moderate Stay",IF(CAPSTONE_PROJECT[[#This Row],[Length of Stay]]&lt;=14,"Long Stay","Extended Stay")))</f>
        <v>Extended Stay</v>
      </c>
    </row>
    <row r="56" spans="1:31" x14ac:dyDescent="0.3">
      <c r="A56" s="3" t="s">
        <v>169</v>
      </c>
      <c r="B56" s="4">
        <v>45396</v>
      </c>
      <c r="C56" s="4">
        <v>45404</v>
      </c>
      <c r="D56" s="4">
        <v>28959</v>
      </c>
      <c r="E56" s="3">
        <v>47</v>
      </c>
      <c r="F56" s="3" t="s">
        <v>18</v>
      </c>
      <c r="G56" s="3" t="s">
        <v>40</v>
      </c>
      <c r="H56" s="3" t="s">
        <v>12</v>
      </c>
      <c r="I56" s="3" t="s">
        <v>44</v>
      </c>
      <c r="J56" s="3" t="s">
        <v>45</v>
      </c>
      <c r="K56" s="3" t="s">
        <v>65</v>
      </c>
      <c r="L56" s="6">
        <v>2461.69</v>
      </c>
      <c r="M56" s="6">
        <v>380.18</v>
      </c>
      <c r="N56" s="6">
        <v>1563.22</v>
      </c>
      <c r="O56" s="6">
        <v>10190.82</v>
      </c>
      <c r="P56" s="3" t="s">
        <v>25</v>
      </c>
      <c r="Q56" s="3" t="s">
        <v>1076</v>
      </c>
      <c r="R56" s="3" t="s">
        <v>54</v>
      </c>
      <c r="S56" s="3" t="s">
        <v>170</v>
      </c>
      <c r="T56" s="3">
        <v>2</v>
      </c>
      <c r="U56" s="3">
        <f>CAPSTONE_PROJECT[[#This Row],[Discharge Date]]-CAPSTONE_PROJECT[[#This Row],[Admission Date]]</f>
        <v>8</v>
      </c>
      <c r="V56" s="6">
        <f>SUM(CAPSTONE_PROJECT[[#This Row],[Room Cost]:[Treatment Cost]])</f>
        <v>14595.91</v>
      </c>
      <c r="W56" s="6">
        <f t="shared" si="0"/>
        <v>1824.48875</v>
      </c>
      <c r="X56" s="3" t="str">
        <f>TEXT(CAPSTONE_PROJECT[[#This Row],[Admission Date]],"mmmm")</f>
        <v>April</v>
      </c>
      <c r="Y56" s="3" t="str">
        <f>TEXT(CAPSTONE_PROJECT[[#This Row],[Admission Date]],"yyyy")</f>
        <v>2024</v>
      </c>
      <c r="Z56" s="3" t="str">
        <f>TEXT(CAPSTONE_PROJECT[[#This Row],[Admission Date]],"mmm yyyy")</f>
        <v>Apr 2024</v>
      </c>
      <c r="AA56" s="3" t="str">
        <f>TEXT(CAPSTONE_PROJECT[[#This Row],[Admission Date]],"dddd")</f>
        <v>Sunday</v>
      </c>
      <c r="AB56" s="3" t="str">
        <f>IF(CAPSTONE_PROJECT[[#This Row],[Age]]&lt;=34,"Young Adults",IF(CAPSTONE_PROJECT[[#This Row],[Age]]&lt;=59,"Adults","Elders"))</f>
        <v>Adults</v>
      </c>
      <c r="AC56" s="3" t="str">
        <f>_xlfn.XLOOKUP(CAPSTONE_PROJECT[[#This Row],[Patient ID]],'Lookup table'!A:A,'Lookup table'!B:B,,0)</f>
        <v>David Jones</v>
      </c>
      <c r="AD56" s="3" t="str">
        <f>_xlfn.XLOOKUP(CAPSTONE_PROJECT[[#This Row],[Patient ID]],'Lookup table'!A:A,'Lookup table'!C:C,,0)</f>
        <v>Male</v>
      </c>
      <c r="AE56" s="3" t="str">
        <f>IF(CAPSTONE_PROJECT[[#This Row],[Length of Stay]]&lt;=3,"Short Stay",IF(CAPSTONE_PROJECT[[#This Row],[Length of Stay]]&lt;=7,"Moderate Stay",IF(CAPSTONE_PROJECT[[#This Row],[Length of Stay]]&lt;=14,"Long Stay","Extended Stay")))</f>
        <v>Long Stay</v>
      </c>
    </row>
    <row r="57" spans="1:31" x14ac:dyDescent="0.3">
      <c r="A57" s="3" t="s">
        <v>171</v>
      </c>
      <c r="B57" s="4">
        <v>45818</v>
      </c>
      <c r="C57" s="4">
        <v>45822</v>
      </c>
      <c r="D57" s="4">
        <v>29734</v>
      </c>
      <c r="E57" s="3">
        <v>45</v>
      </c>
      <c r="F57" s="3" t="s">
        <v>8</v>
      </c>
      <c r="G57" s="3" t="s">
        <v>40</v>
      </c>
      <c r="H57" s="3" t="s">
        <v>114</v>
      </c>
      <c r="I57" s="3" t="s">
        <v>13</v>
      </c>
      <c r="J57" s="3" t="s">
        <v>38</v>
      </c>
      <c r="K57" s="3" t="s">
        <v>65</v>
      </c>
      <c r="L57" s="6">
        <v>2448.4699999999998</v>
      </c>
      <c r="M57" s="6">
        <v>1834.45</v>
      </c>
      <c r="N57" s="6">
        <v>1271.7</v>
      </c>
      <c r="O57" s="6">
        <v>7615.61</v>
      </c>
      <c r="P57" s="3" t="s">
        <v>31</v>
      </c>
      <c r="Q57" s="3" t="s">
        <v>1077</v>
      </c>
      <c r="R57" s="3" t="s">
        <v>10</v>
      </c>
      <c r="S57" s="3" t="s">
        <v>172</v>
      </c>
      <c r="T57" s="3">
        <v>3</v>
      </c>
      <c r="U57" s="3">
        <f>CAPSTONE_PROJECT[[#This Row],[Discharge Date]]-CAPSTONE_PROJECT[[#This Row],[Admission Date]]</f>
        <v>4</v>
      </c>
      <c r="V57" s="6">
        <f>SUM(CAPSTONE_PROJECT[[#This Row],[Room Cost]:[Treatment Cost]])</f>
        <v>13170.23</v>
      </c>
      <c r="W57" s="6">
        <f t="shared" si="0"/>
        <v>3292.5574999999999</v>
      </c>
      <c r="X57" s="3" t="str">
        <f>TEXT(CAPSTONE_PROJECT[[#This Row],[Admission Date]],"mmmm")</f>
        <v>June</v>
      </c>
      <c r="Y57" s="3" t="str">
        <f>TEXT(CAPSTONE_PROJECT[[#This Row],[Admission Date]],"yyyy")</f>
        <v>2025</v>
      </c>
      <c r="Z57" s="3" t="str">
        <f>TEXT(CAPSTONE_PROJECT[[#This Row],[Admission Date]],"mmm yyyy")</f>
        <v>Jun 2025</v>
      </c>
      <c r="AA57" s="3" t="str">
        <f>TEXT(CAPSTONE_PROJECT[[#This Row],[Admission Date]],"dddd")</f>
        <v>Tuesday</v>
      </c>
      <c r="AB57" s="3" t="str">
        <f>IF(CAPSTONE_PROJECT[[#This Row],[Age]]&lt;=34,"Young Adults",IF(CAPSTONE_PROJECT[[#This Row],[Age]]&lt;=59,"Adults","Elders"))</f>
        <v>Adults</v>
      </c>
      <c r="AC57" s="3" t="str">
        <f>_xlfn.XLOOKUP(CAPSTONE_PROJECT[[#This Row],[Patient ID]],'Lookup table'!A:A,'Lookup table'!B:B,,0)</f>
        <v>Ella Walker</v>
      </c>
      <c r="AD57" s="3" t="str">
        <f>_xlfn.XLOOKUP(CAPSTONE_PROJECT[[#This Row],[Patient ID]],'Lookup table'!A:A,'Lookup table'!C:C,,0)</f>
        <v>Female</v>
      </c>
      <c r="AE57" s="3" t="str">
        <f>IF(CAPSTONE_PROJECT[[#This Row],[Length of Stay]]&lt;=3,"Short Stay",IF(CAPSTONE_PROJECT[[#This Row],[Length of Stay]]&lt;=7,"Moderate Stay",IF(CAPSTONE_PROJECT[[#This Row],[Length of Stay]]&lt;=14,"Long Stay","Extended Stay")))</f>
        <v>Moderate Stay</v>
      </c>
    </row>
    <row r="58" spans="1:31" x14ac:dyDescent="0.3">
      <c r="A58" s="3" t="s">
        <v>173</v>
      </c>
      <c r="B58" s="4">
        <v>45387</v>
      </c>
      <c r="C58" s="4">
        <v>45402</v>
      </c>
      <c r="D58" s="4">
        <v>29979</v>
      </c>
      <c r="E58" s="3">
        <v>44</v>
      </c>
      <c r="F58" s="3" t="s">
        <v>18</v>
      </c>
      <c r="G58" s="3" t="s">
        <v>61</v>
      </c>
      <c r="H58" s="3" t="s">
        <v>29</v>
      </c>
      <c r="I58" s="3" t="s">
        <v>13</v>
      </c>
      <c r="J58" s="3" t="s">
        <v>73</v>
      </c>
      <c r="K58" s="3" t="s">
        <v>50</v>
      </c>
      <c r="L58" s="6">
        <v>3624.23</v>
      </c>
      <c r="M58" s="6">
        <v>1475.47</v>
      </c>
      <c r="N58" s="6">
        <v>1038.81</v>
      </c>
      <c r="O58" s="6">
        <v>8186.52</v>
      </c>
      <c r="P58" s="3" t="s">
        <v>16</v>
      </c>
      <c r="Q58" s="3" t="s">
        <v>1077</v>
      </c>
      <c r="R58" s="3" t="s">
        <v>68</v>
      </c>
      <c r="S58" s="3" t="s">
        <v>174</v>
      </c>
      <c r="T58" s="3">
        <v>4</v>
      </c>
      <c r="U58" s="3">
        <f>CAPSTONE_PROJECT[[#This Row],[Discharge Date]]-CAPSTONE_PROJECT[[#This Row],[Admission Date]]</f>
        <v>15</v>
      </c>
      <c r="V58" s="6">
        <f>SUM(CAPSTONE_PROJECT[[#This Row],[Room Cost]:[Treatment Cost]])</f>
        <v>14325.03</v>
      </c>
      <c r="W58" s="6">
        <f t="shared" si="0"/>
        <v>955.00200000000007</v>
      </c>
      <c r="X58" s="3" t="str">
        <f>TEXT(CAPSTONE_PROJECT[[#This Row],[Admission Date]],"mmmm")</f>
        <v>April</v>
      </c>
      <c r="Y58" s="3" t="str">
        <f>TEXT(CAPSTONE_PROJECT[[#This Row],[Admission Date]],"yyyy")</f>
        <v>2024</v>
      </c>
      <c r="Z58" s="3" t="str">
        <f>TEXT(CAPSTONE_PROJECT[[#This Row],[Admission Date]],"mmm yyyy")</f>
        <v>Apr 2024</v>
      </c>
      <c r="AA58" s="3" t="str">
        <f>TEXT(CAPSTONE_PROJECT[[#This Row],[Admission Date]],"dddd")</f>
        <v>Friday</v>
      </c>
      <c r="AB58" s="3" t="str">
        <f>IF(CAPSTONE_PROJECT[[#This Row],[Age]]&lt;=34,"Young Adults",IF(CAPSTONE_PROJECT[[#This Row],[Age]]&lt;=59,"Adults","Elders"))</f>
        <v>Adults</v>
      </c>
      <c r="AC58" s="3" t="str">
        <f>_xlfn.XLOOKUP(CAPSTONE_PROJECT[[#This Row],[Patient ID]],'Lookup table'!A:A,'Lookup table'!B:B,,0)</f>
        <v>Lucas S Hall</v>
      </c>
      <c r="AD58" s="3" t="str">
        <f>_xlfn.XLOOKUP(CAPSTONE_PROJECT[[#This Row],[Patient ID]],'Lookup table'!A:A,'Lookup table'!C:C,,0)</f>
        <v>Male</v>
      </c>
      <c r="AE58" s="3" t="str">
        <f>IF(CAPSTONE_PROJECT[[#This Row],[Length of Stay]]&lt;=3,"Short Stay",IF(CAPSTONE_PROJECT[[#This Row],[Length of Stay]]&lt;=7,"Moderate Stay",IF(CAPSTONE_PROJECT[[#This Row],[Length of Stay]]&lt;=14,"Long Stay","Extended Stay")))</f>
        <v>Extended Stay</v>
      </c>
    </row>
    <row r="59" spans="1:31" x14ac:dyDescent="0.3">
      <c r="A59" s="3" t="s">
        <v>175</v>
      </c>
      <c r="B59" s="4">
        <v>45962</v>
      </c>
      <c r="C59" s="4">
        <v>45974</v>
      </c>
      <c r="D59" s="4">
        <v>36649</v>
      </c>
      <c r="E59" s="3">
        <v>26</v>
      </c>
      <c r="F59" s="3" t="s">
        <v>47</v>
      </c>
      <c r="G59" s="3" t="s">
        <v>48</v>
      </c>
      <c r="H59" s="3" t="s">
        <v>12</v>
      </c>
      <c r="I59" s="3" t="s">
        <v>44</v>
      </c>
      <c r="J59" s="3" t="s">
        <v>38</v>
      </c>
      <c r="K59" s="3" t="s">
        <v>65</v>
      </c>
      <c r="L59" s="6">
        <v>1185.82</v>
      </c>
      <c r="M59" s="6">
        <v>918.7</v>
      </c>
      <c r="N59" s="6">
        <v>301.63</v>
      </c>
      <c r="O59" s="6">
        <v>12239.57</v>
      </c>
      <c r="P59" s="3" t="s">
        <v>51</v>
      </c>
      <c r="Q59" s="3" t="s">
        <v>1084</v>
      </c>
      <c r="R59" s="3" t="s">
        <v>19</v>
      </c>
      <c r="S59" s="3" t="s">
        <v>176</v>
      </c>
      <c r="T59" s="3">
        <v>5</v>
      </c>
      <c r="U59" s="3">
        <f>CAPSTONE_PROJECT[[#This Row],[Discharge Date]]-CAPSTONE_PROJECT[[#This Row],[Admission Date]]</f>
        <v>12</v>
      </c>
      <c r="V59" s="6">
        <f>SUM(CAPSTONE_PROJECT[[#This Row],[Room Cost]:[Treatment Cost]])</f>
        <v>14645.72</v>
      </c>
      <c r="W59" s="6">
        <f t="shared" si="0"/>
        <v>1220.4766666666667</v>
      </c>
      <c r="X59" s="3" t="str">
        <f>TEXT(CAPSTONE_PROJECT[[#This Row],[Admission Date]],"mmmm")</f>
        <v>November</v>
      </c>
      <c r="Y59" s="3" t="str">
        <f>TEXT(CAPSTONE_PROJECT[[#This Row],[Admission Date]],"yyyy")</f>
        <v>2025</v>
      </c>
      <c r="Z59" s="3" t="str">
        <f>TEXT(CAPSTONE_PROJECT[[#This Row],[Admission Date]],"mmm yyyy")</f>
        <v>Nov 2025</v>
      </c>
      <c r="AA59" s="3" t="str">
        <f>TEXT(CAPSTONE_PROJECT[[#This Row],[Admission Date]],"dddd")</f>
        <v>Saturday</v>
      </c>
      <c r="AB59" s="3" t="str">
        <f>IF(CAPSTONE_PROJECT[[#This Row],[Age]]&lt;=34,"Young Adults",IF(CAPSTONE_PROJECT[[#This Row],[Age]]&lt;=59,"Adults","Elders"))</f>
        <v>Young Adults</v>
      </c>
      <c r="AC59" s="3" t="str">
        <f>_xlfn.XLOOKUP(CAPSTONE_PROJECT[[#This Row],[Patient ID]],'Lookup table'!A:A,'Lookup table'!B:B,,0)</f>
        <v>Isabella Evans</v>
      </c>
      <c r="AD59" s="3" t="str">
        <f>_xlfn.XLOOKUP(CAPSTONE_PROJECT[[#This Row],[Patient ID]],'Lookup table'!A:A,'Lookup table'!C:C,,0)</f>
        <v>Female</v>
      </c>
      <c r="AE59" s="3" t="str">
        <f>IF(CAPSTONE_PROJECT[[#This Row],[Length of Stay]]&lt;=3,"Short Stay",IF(CAPSTONE_PROJECT[[#This Row],[Length of Stay]]&lt;=7,"Moderate Stay",IF(CAPSTONE_PROJECT[[#This Row],[Length of Stay]]&lt;=14,"Long Stay","Extended Stay")))</f>
        <v>Long Stay</v>
      </c>
    </row>
    <row r="60" spans="1:31" x14ac:dyDescent="0.3">
      <c r="A60" s="3" t="s">
        <v>177</v>
      </c>
      <c r="B60" s="4">
        <v>45396</v>
      </c>
      <c r="C60" s="4">
        <v>45400</v>
      </c>
      <c r="D60" s="4">
        <v>21734</v>
      </c>
      <c r="E60" s="3">
        <v>66</v>
      </c>
      <c r="F60" s="3" t="s">
        <v>18</v>
      </c>
      <c r="G60" s="3" t="s">
        <v>139</v>
      </c>
      <c r="H60" s="3" t="s">
        <v>29</v>
      </c>
      <c r="I60" s="3" t="s">
        <v>13</v>
      </c>
      <c r="J60" s="3" t="s">
        <v>45</v>
      </c>
      <c r="K60" s="3" t="s">
        <v>65</v>
      </c>
      <c r="L60" s="6">
        <v>5002</v>
      </c>
      <c r="M60" s="6">
        <v>787.16</v>
      </c>
      <c r="N60" s="6">
        <v>659.16</v>
      </c>
      <c r="O60" s="6">
        <v>3545.45</v>
      </c>
      <c r="P60" s="3" t="s">
        <v>16</v>
      </c>
      <c r="Q60" s="3" t="s">
        <v>1077</v>
      </c>
      <c r="R60" s="3" t="s">
        <v>75</v>
      </c>
      <c r="S60" s="3" t="s">
        <v>178</v>
      </c>
      <c r="T60" s="3">
        <v>3</v>
      </c>
      <c r="U60" s="3">
        <f>CAPSTONE_PROJECT[[#This Row],[Discharge Date]]-CAPSTONE_PROJECT[[#This Row],[Admission Date]]</f>
        <v>4</v>
      </c>
      <c r="V60" s="6">
        <f>SUM(CAPSTONE_PROJECT[[#This Row],[Room Cost]:[Treatment Cost]])</f>
        <v>9993.77</v>
      </c>
      <c r="W60" s="6">
        <f t="shared" si="0"/>
        <v>2498.4425000000001</v>
      </c>
      <c r="X60" s="3" t="str">
        <f>TEXT(CAPSTONE_PROJECT[[#This Row],[Admission Date]],"mmmm")</f>
        <v>April</v>
      </c>
      <c r="Y60" s="3" t="str">
        <f>TEXT(CAPSTONE_PROJECT[[#This Row],[Admission Date]],"yyyy")</f>
        <v>2024</v>
      </c>
      <c r="Z60" s="3" t="str">
        <f>TEXT(CAPSTONE_PROJECT[[#This Row],[Admission Date]],"mmm yyyy")</f>
        <v>Apr 2024</v>
      </c>
      <c r="AA60" s="3" t="str">
        <f>TEXT(CAPSTONE_PROJECT[[#This Row],[Admission Date]],"dddd")</f>
        <v>Sunday</v>
      </c>
      <c r="AB60" s="3" t="str">
        <f>IF(CAPSTONE_PROJECT[[#This Row],[Age]]&lt;=34,"Young Adults",IF(CAPSTONE_PROJECT[[#This Row],[Age]]&lt;=59,"Adults","Elders"))</f>
        <v>Elders</v>
      </c>
      <c r="AC60" s="3" t="str">
        <f>_xlfn.XLOOKUP(CAPSTONE_PROJECT[[#This Row],[Patient ID]],'Lookup table'!A:A,'Lookup table'!B:B,,0)</f>
        <v>James Thomas</v>
      </c>
      <c r="AD60" s="3" t="str">
        <f>_xlfn.XLOOKUP(CAPSTONE_PROJECT[[#This Row],[Patient ID]],'Lookup table'!A:A,'Lookup table'!C:C,,0)</f>
        <v>Male</v>
      </c>
      <c r="AE60" s="3" t="str">
        <f>IF(CAPSTONE_PROJECT[[#This Row],[Length of Stay]]&lt;=3,"Short Stay",IF(CAPSTONE_PROJECT[[#This Row],[Length of Stay]]&lt;=7,"Moderate Stay",IF(CAPSTONE_PROJECT[[#This Row],[Length of Stay]]&lt;=14,"Long Stay","Extended Stay")))</f>
        <v>Moderate Stay</v>
      </c>
    </row>
    <row r="61" spans="1:31" x14ac:dyDescent="0.3">
      <c r="A61" s="3" t="s">
        <v>179</v>
      </c>
      <c r="B61" s="4">
        <v>45378</v>
      </c>
      <c r="C61" s="4">
        <v>45386</v>
      </c>
      <c r="D61" s="4">
        <v>22057</v>
      </c>
      <c r="E61" s="3">
        <v>66</v>
      </c>
      <c r="F61" s="3" t="s">
        <v>33</v>
      </c>
      <c r="G61" s="3" t="s">
        <v>67</v>
      </c>
      <c r="H61" s="3" t="s">
        <v>104</v>
      </c>
      <c r="I61" s="3" t="s">
        <v>13</v>
      </c>
      <c r="J61" s="3" t="s">
        <v>14</v>
      </c>
      <c r="K61" s="3" t="s">
        <v>65</v>
      </c>
      <c r="L61" s="6">
        <v>1219.68</v>
      </c>
      <c r="M61" s="6">
        <v>1766.42</v>
      </c>
      <c r="N61" s="6">
        <v>2880.68</v>
      </c>
      <c r="O61" s="6">
        <v>7349.92</v>
      </c>
      <c r="P61" s="3" t="s">
        <v>25</v>
      </c>
      <c r="Q61" s="3" t="s">
        <v>1079</v>
      </c>
      <c r="R61" s="3" t="s">
        <v>58</v>
      </c>
      <c r="S61" s="3" t="s">
        <v>180</v>
      </c>
      <c r="T61" s="3">
        <v>5</v>
      </c>
      <c r="U61" s="3">
        <f>CAPSTONE_PROJECT[[#This Row],[Discharge Date]]-CAPSTONE_PROJECT[[#This Row],[Admission Date]]</f>
        <v>8</v>
      </c>
      <c r="V61" s="6">
        <f>SUM(CAPSTONE_PROJECT[[#This Row],[Room Cost]:[Treatment Cost]])</f>
        <v>13216.7</v>
      </c>
      <c r="W61" s="6">
        <f t="shared" si="0"/>
        <v>1652.0875000000001</v>
      </c>
      <c r="X61" s="3" t="str">
        <f>TEXT(CAPSTONE_PROJECT[[#This Row],[Admission Date]],"mmmm")</f>
        <v>March</v>
      </c>
      <c r="Y61" s="3" t="str">
        <f>TEXT(CAPSTONE_PROJECT[[#This Row],[Admission Date]],"yyyy")</f>
        <v>2024</v>
      </c>
      <c r="Z61" s="3" t="str">
        <f>TEXT(CAPSTONE_PROJECT[[#This Row],[Admission Date]],"mmm yyyy")</f>
        <v>Mar 2024</v>
      </c>
      <c r="AA61" s="3" t="str">
        <f>TEXT(CAPSTONE_PROJECT[[#This Row],[Admission Date]],"dddd")</f>
        <v>Wednesday</v>
      </c>
      <c r="AB61" s="3" t="str">
        <f>IF(CAPSTONE_PROJECT[[#This Row],[Age]]&lt;=34,"Young Adults",IF(CAPSTONE_PROJECT[[#This Row],[Age]]&lt;=59,"Adults","Elders"))</f>
        <v>Elders</v>
      </c>
      <c r="AC61" s="3" t="str">
        <f>_xlfn.XLOOKUP(CAPSTONE_PROJECT[[#This Row],[Patient ID]],'Lookup table'!A:A,'Lookup table'!B:B,,0)</f>
        <v>Emily Clarke</v>
      </c>
      <c r="AD61" s="3" t="str">
        <f>_xlfn.XLOOKUP(CAPSTONE_PROJECT[[#This Row],[Patient ID]],'Lookup table'!A:A,'Lookup table'!C:C,,0)</f>
        <v>Female</v>
      </c>
      <c r="AE61" s="3" t="str">
        <f>IF(CAPSTONE_PROJECT[[#This Row],[Length of Stay]]&lt;=3,"Short Stay",IF(CAPSTONE_PROJECT[[#This Row],[Length of Stay]]&lt;=7,"Moderate Stay",IF(CAPSTONE_PROJECT[[#This Row],[Length of Stay]]&lt;=14,"Long Stay","Extended Stay")))</f>
        <v>Long Stay</v>
      </c>
    </row>
    <row r="62" spans="1:31" x14ac:dyDescent="0.3">
      <c r="A62" s="3" t="s">
        <v>181</v>
      </c>
      <c r="B62" s="4">
        <v>45366</v>
      </c>
      <c r="C62" s="4">
        <v>45367</v>
      </c>
      <c r="D62" s="4">
        <v>34206</v>
      </c>
      <c r="E62" s="3">
        <v>32</v>
      </c>
      <c r="F62" s="3" t="s">
        <v>33</v>
      </c>
      <c r="G62" s="3" t="s">
        <v>53</v>
      </c>
      <c r="H62" s="3" t="s">
        <v>21</v>
      </c>
      <c r="I62" s="3" t="s">
        <v>44</v>
      </c>
      <c r="J62" s="3" t="s">
        <v>30</v>
      </c>
      <c r="K62" s="3" t="s">
        <v>24</v>
      </c>
      <c r="L62" s="6">
        <v>1861.43</v>
      </c>
      <c r="M62" s="6">
        <v>364.82</v>
      </c>
      <c r="N62" s="6">
        <v>936.98</v>
      </c>
      <c r="O62" s="6">
        <v>2305.3000000000002</v>
      </c>
      <c r="P62" s="3" t="s">
        <v>25</v>
      </c>
      <c r="Q62" s="3" t="s">
        <v>1077</v>
      </c>
      <c r="R62" s="3" t="s">
        <v>10</v>
      </c>
      <c r="S62" s="3" t="s">
        <v>182</v>
      </c>
      <c r="T62" s="3">
        <v>1</v>
      </c>
      <c r="U62" s="3">
        <f>CAPSTONE_PROJECT[[#This Row],[Discharge Date]]-CAPSTONE_PROJECT[[#This Row],[Admission Date]]</f>
        <v>1</v>
      </c>
      <c r="V62" s="6">
        <f>SUM(CAPSTONE_PROJECT[[#This Row],[Room Cost]:[Treatment Cost]])</f>
        <v>5468.5300000000007</v>
      </c>
      <c r="W62" s="6">
        <f t="shared" si="0"/>
        <v>5468.5300000000007</v>
      </c>
      <c r="X62" s="3" t="str">
        <f>TEXT(CAPSTONE_PROJECT[[#This Row],[Admission Date]],"mmmm")</f>
        <v>March</v>
      </c>
      <c r="Y62" s="3" t="str">
        <f>TEXT(CAPSTONE_PROJECT[[#This Row],[Admission Date]],"yyyy")</f>
        <v>2024</v>
      </c>
      <c r="Z62" s="3" t="str">
        <f>TEXT(CAPSTONE_PROJECT[[#This Row],[Admission Date]],"mmm yyyy")</f>
        <v>Mar 2024</v>
      </c>
      <c r="AA62" s="3" t="str">
        <f>TEXT(CAPSTONE_PROJECT[[#This Row],[Admission Date]],"dddd")</f>
        <v>Friday</v>
      </c>
      <c r="AB62" s="3" t="str">
        <f>IF(CAPSTONE_PROJECT[[#This Row],[Age]]&lt;=34,"Young Adults",IF(CAPSTONE_PROJECT[[#This Row],[Age]]&lt;=59,"Adults","Elders"))</f>
        <v>Young Adults</v>
      </c>
      <c r="AC62" s="3" t="str">
        <f>_xlfn.XLOOKUP(CAPSTONE_PROJECT[[#This Row],[Patient ID]],'Lookup table'!A:A,'Lookup table'!B:B,,0)</f>
        <v>Michael Smith</v>
      </c>
      <c r="AD62" s="3" t="str">
        <f>_xlfn.XLOOKUP(CAPSTONE_PROJECT[[#This Row],[Patient ID]],'Lookup table'!A:A,'Lookup table'!C:C,,0)</f>
        <v>Male</v>
      </c>
      <c r="AE62" s="3" t="str">
        <f>IF(CAPSTONE_PROJECT[[#This Row],[Length of Stay]]&lt;=3,"Short Stay",IF(CAPSTONE_PROJECT[[#This Row],[Length of Stay]]&lt;=7,"Moderate Stay",IF(CAPSTONE_PROJECT[[#This Row],[Length of Stay]]&lt;=14,"Long Stay","Extended Stay")))</f>
        <v>Short Stay</v>
      </c>
    </row>
    <row r="63" spans="1:31" x14ac:dyDescent="0.3">
      <c r="A63" s="3" t="s">
        <v>183</v>
      </c>
      <c r="B63" s="4">
        <v>45536</v>
      </c>
      <c r="C63" s="4">
        <v>45538</v>
      </c>
      <c r="D63" s="4">
        <v>23725</v>
      </c>
      <c r="E63" s="3">
        <v>61</v>
      </c>
      <c r="F63" s="3" t="s">
        <v>18</v>
      </c>
      <c r="G63" s="3" t="s">
        <v>27</v>
      </c>
      <c r="H63" s="3" t="s">
        <v>72</v>
      </c>
      <c r="I63" s="3" t="s">
        <v>22</v>
      </c>
      <c r="J63" s="3" t="s">
        <v>30</v>
      </c>
      <c r="K63" s="3" t="s">
        <v>24</v>
      </c>
      <c r="L63" s="6">
        <v>2374.29</v>
      </c>
      <c r="M63" s="6">
        <v>299.57</v>
      </c>
      <c r="N63" s="6">
        <v>570.34</v>
      </c>
      <c r="O63" s="6">
        <v>3328.78</v>
      </c>
      <c r="P63" s="3" t="s">
        <v>1083</v>
      </c>
      <c r="Q63" s="3" t="s">
        <v>1086</v>
      </c>
      <c r="R63" s="3" t="s">
        <v>58</v>
      </c>
      <c r="S63" s="3" t="s">
        <v>184</v>
      </c>
      <c r="T63" s="3">
        <v>10</v>
      </c>
      <c r="U63" s="3">
        <f>CAPSTONE_PROJECT[[#This Row],[Discharge Date]]-CAPSTONE_PROJECT[[#This Row],[Admission Date]]</f>
        <v>2</v>
      </c>
      <c r="V63" s="6">
        <f>SUM(CAPSTONE_PROJECT[[#This Row],[Room Cost]:[Treatment Cost]])</f>
        <v>6572.9800000000005</v>
      </c>
      <c r="W63" s="6">
        <f t="shared" si="0"/>
        <v>3286.4900000000002</v>
      </c>
      <c r="X63" s="3" t="str">
        <f>TEXT(CAPSTONE_PROJECT[[#This Row],[Admission Date]],"mmmm")</f>
        <v>September</v>
      </c>
      <c r="Y63" s="3" t="str">
        <f>TEXT(CAPSTONE_PROJECT[[#This Row],[Admission Date]],"yyyy")</f>
        <v>2024</v>
      </c>
      <c r="Z63" s="3" t="str">
        <f>TEXT(CAPSTONE_PROJECT[[#This Row],[Admission Date]],"mmm yyyy")</f>
        <v>Sep 2024</v>
      </c>
      <c r="AA63" s="3" t="str">
        <f>TEXT(CAPSTONE_PROJECT[[#This Row],[Admission Date]],"dddd")</f>
        <v>Sunday</v>
      </c>
      <c r="AB63" s="3" t="str">
        <f>IF(CAPSTONE_PROJECT[[#This Row],[Age]]&lt;=34,"Young Adults",IF(CAPSTONE_PROJECT[[#This Row],[Age]]&lt;=59,"Adults","Elders"))</f>
        <v>Elders</v>
      </c>
      <c r="AC63" s="3" t="str">
        <f>_xlfn.XLOOKUP(CAPSTONE_PROJECT[[#This Row],[Patient ID]],'Lookup table'!A:A,'Lookup table'!B:B,,0)</f>
        <v>Chloe E Wilson</v>
      </c>
      <c r="AD63" s="3" t="str">
        <f>_xlfn.XLOOKUP(CAPSTONE_PROJECT[[#This Row],[Patient ID]],'Lookup table'!A:A,'Lookup table'!C:C,,0)</f>
        <v>Female</v>
      </c>
      <c r="AE63" s="3" t="str">
        <f>IF(CAPSTONE_PROJECT[[#This Row],[Length of Stay]]&lt;=3,"Short Stay",IF(CAPSTONE_PROJECT[[#This Row],[Length of Stay]]&lt;=7,"Moderate Stay",IF(CAPSTONE_PROJECT[[#This Row],[Length of Stay]]&lt;=14,"Long Stay","Extended Stay")))</f>
        <v>Short Stay</v>
      </c>
    </row>
    <row r="64" spans="1:31" x14ac:dyDescent="0.3">
      <c r="A64" s="3" t="s">
        <v>185</v>
      </c>
      <c r="B64" s="4">
        <v>45828</v>
      </c>
      <c r="C64" s="4">
        <v>45831</v>
      </c>
      <c r="D64" s="4">
        <v>35255</v>
      </c>
      <c r="E64" s="3">
        <v>29</v>
      </c>
      <c r="F64" s="3" t="s">
        <v>18</v>
      </c>
      <c r="G64" s="3" t="s">
        <v>67</v>
      </c>
      <c r="H64" s="3" t="s">
        <v>12</v>
      </c>
      <c r="I64" s="3" t="s">
        <v>37</v>
      </c>
      <c r="J64" s="3" t="s">
        <v>73</v>
      </c>
      <c r="K64" s="3" t="s">
        <v>50</v>
      </c>
      <c r="L64" s="6">
        <v>3329.02</v>
      </c>
      <c r="M64" s="6">
        <v>432.56</v>
      </c>
      <c r="N64" s="6">
        <v>2127.52</v>
      </c>
      <c r="O64" s="6">
        <v>1724.76</v>
      </c>
      <c r="P64" s="3" t="s">
        <v>1083</v>
      </c>
      <c r="Q64" s="3" t="s">
        <v>1084</v>
      </c>
      <c r="R64" s="3" t="s">
        <v>19</v>
      </c>
      <c r="S64" s="3" t="s">
        <v>186</v>
      </c>
      <c r="T64" s="3">
        <v>6</v>
      </c>
      <c r="U64" s="3">
        <f>CAPSTONE_PROJECT[[#This Row],[Discharge Date]]-CAPSTONE_PROJECT[[#This Row],[Admission Date]]</f>
        <v>3</v>
      </c>
      <c r="V64" s="6">
        <f>SUM(CAPSTONE_PROJECT[[#This Row],[Room Cost]:[Treatment Cost]])</f>
        <v>7613.8600000000006</v>
      </c>
      <c r="W64" s="6">
        <f t="shared" si="0"/>
        <v>2537.9533333333334</v>
      </c>
      <c r="X64" s="3" t="str">
        <f>TEXT(CAPSTONE_PROJECT[[#This Row],[Admission Date]],"mmmm")</f>
        <v>June</v>
      </c>
      <c r="Y64" s="3" t="str">
        <f>TEXT(CAPSTONE_PROJECT[[#This Row],[Admission Date]],"yyyy")</f>
        <v>2025</v>
      </c>
      <c r="Z64" s="3" t="str">
        <f>TEXT(CAPSTONE_PROJECT[[#This Row],[Admission Date]],"mmm yyyy")</f>
        <v>Jun 2025</v>
      </c>
      <c r="AA64" s="3" t="str">
        <f>TEXT(CAPSTONE_PROJECT[[#This Row],[Admission Date]],"dddd")</f>
        <v>Friday</v>
      </c>
      <c r="AB64" s="3" t="str">
        <f>IF(CAPSTONE_PROJECT[[#This Row],[Age]]&lt;=34,"Young Adults",IF(CAPSTONE_PROJECT[[#This Row],[Age]]&lt;=59,"Adults","Elders"))</f>
        <v>Young Adults</v>
      </c>
      <c r="AC64" s="3" t="str">
        <f>_xlfn.XLOOKUP(CAPSTONE_PROJECT[[#This Row],[Patient ID]],'Lookup table'!A:A,'Lookup table'!B:B,,0)</f>
        <v>Ethan Z White</v>
      </c>
      <c r="AD64" s="3" t="str">
        <f>_xlfn.XLOOKUP(CAPSTONE_PROJECT[[#This Row],[Patient ID]],'Lookup table'!A:A,'Lookup table'!C:C,,0)</f>
        <v>Male</v>
      </c>
      <c r="AE64" s="3" t="str">
        <f>IF(CAPSTONE_PROJECT[[#This Row],[Length of Stay]]&lt;=3,"Short Stay",IF(CAPSTONE_PROJECT[[#This Row],[Length of Stay]]&lt;=7,"Moderate Stay",IF(CAPSTONE_PROJECT[[#This Row],[Length of Stay]]&lt;=14,"Long Stay","Extended Stay")))</f>
        <v>Short Stay</v>
      </c>
    </row>
    <row r="65" spans="1:31" x14ac:dyDescent="0.3">
      <c r="A65" s="3" t="s">
        <v>187</v>
      </c>
      <c r="B65" s="4">
        <v>45718</v>
      </c>
      <c r="C65" s="4">
        <v>45729</v>
      </c>
      <c r="D65" s="4">
        <v>21709</v>
      </c>
      <c r="E65" s="3">
        <v>67</v>
      </c>
      <c r="F65" s="3" t="s">
        <v>33</v>
      </c>
      <c r="G65" s="3" t="s">
        <v>27</v>
      </c>
      <c r="H65" s="3" t="s">
        <v>12</v>
      </c>
      <c r="I65" s="3" t="s">
        <v>13</v>
      </c>
      <c r="J65" s="3" t="s">
        <v>73</v>
      </c>
      <c r="K65" s="3" t="s">
        <v>50</v>
      </c>
      <c r="L65" s="6">
        <v>2662.96</v>
      </c>
      <c r="M65" s="6">
        <v>539.20000000000005</v>
      </c>
      <c r="N65" s="6">
        <v>2173.33</v>
      </c>
      <c r="O65" s="6">
        <v>5840.81</v>
      </c>
      <c r="P65" s="3" t="s">
        <v>31</v>
      </c>
      <c r="Q65" s="3" t="s">
        <v>1081</v>
      </c>
      <c r="R65" s="3" t="s">
        <v>68</v>
      </c>
      <c r="S65" s="3" t="s">
        <v>188</v>
      </c>
      <c r="T65" s="3">
        <v>1</v>
      </c>
      <c r="U65" s="3">
        <f>CAPSTONE_PROJECT[[#This Row],[Discharge Date]]-CAPSTONE_PROJECT[[#This Row],[Admission Date]]</f>
        <v>11</v>
      </c>
      <c r="V65" s="6">
        <f>SUM(CAPSTONE_PROJECT[[#This Row],[Room Cost]:[Treatment Cost]])</f>
        <v>11216.3</v>
      </c>
      <c r="W65" s="6">
        <f t="shared" si="0"/>
        <v>1019.6636363636363</v>
      </c>
      <c r="X65" s="3" t="str">
        <f>TEXT(CAPSTONE_PROJECT[[#This Row],[Admission Date]],"mmmm")</f>
        <v>March</v>
      </c>
      <c r="Y65" s="3" t="str">
        <f>TEXT(CAPSTONE_PROJECT[[#This Row],[Admission Date]],"yyyy")</f>
        <v>2025</v>
      </c>
      <c r="Z65" s="3" t="str">
        <f>TEXT(CAPSTONE_PROJECT[[#This Row],[Admission Date]],"mmm yyyy")</f>
        <v>Mar 2025</v>
      </c>
      <c r="AA65" s="3" t="str">
        <f>TEXT(CAPSTONE_PROJECT[[#This Row],[Admission Date]],"dddd")</f>
        <v>Sunday</v>
      </c>
      <c r="AB65" s="3" t="str">
        <f>IF(CAPSTONE_PROJECT[[#This Row],[Age]]&lt;=34,"Young Adults",IF(CAPSTONE_PROJECT[[#This Row],[Age]]&lt;=59,"Adults","Elders"))</f>
        <v>Elders</v>
      </c>
      <c r="AC65" s="3" t="str">
        <f>_xlfn.XLOOKUP(CAPSTONE_PROJECT[[#This Row],[Patient ID]],'Lookup table'!A:A,'Lookup table'!B:B,,0)</f>
        <v>Amelia Hall</v>
      </c>
      <c r="AD65" s="3" t="str">
        <f>_xlfn.XLOOKUP(CAPSTONE_PROJECT[[#This Row],[Patient ID]],'Lookup table'!A:A,'Lookup table'!C:C,,0)</f>
        <v>Female</v>
      </c>
      <c r="AE65" s="3" t="str">
        <f>IF(CAPSTONE_PROJECT[[#This Row],[Length of Stay]]&lt;=3,"Short Stay",IF(CAPSTONE_PROJECT[[#This Row],[Length of Stay]]&lt;=7,"Moderate Stay",IF(CAPSTONE_PROJECT[[#This Row],[Length of Stay]]&lt;=14,"Long Stay","Extended Stay")))</f>
        <v>Long Stay</v>
      </c>
    </row>
    <row r="66" spans="1:31" x14ac:dyDescent="0.3">
      <c r="A66" s="3" t="s">
        <v>189</v>
      </c>
      <c r="B66" s="4">
        <v>45543</v>
      </c>
      <c r="C66" s="4">
        <v>45548</v>
      </c>
      <c r="D66" s="4">
        <v>33506</v>
      </c>
      <c r="E66" s="3">
        <v>34</v>
      </c>
      <c r="F66" s="3" t="s">
        <v>8</v>
      </c>
      <c r="G66" s="3" t="s">
        <v>27</v>
      </c>
      <c r="H66" s="3" t="s">
        <v>43</v>
      </c>
      <c r="I66" s="3" t="s">
        <v>44</v>
      </c>
      <c r="J66" s="3" t="s">
        <v>30</v>
      </c>
      <c r="K66" s="3" t="s">
        <v>65</v>
      </c>
      <c r="L66" s="6">
        <v>4398.3100000000004</v>
      </c>
      <c r="M66" s="6">
        <v>1872.62</v>
      </c>
      <c r="N66" s="6">
        <v>2737.96</v>
      </c>
      <c r="O66" s="6">
        <v>5189.29</v>
      </c>
      <c r="P66" s="3" t="s">
        <v>25</v>
      </c>
      <c r="Q66" s="3" t="s">
        <v>1077</v>
      </c>
      <c r="R66" s="3" t="s">
        <v>102</v>
      </c>
      <c r="S66" s="3" t="s">
        <v>190</v>
      </c>
      <c r="T66" s="3">
        <v>0</v>
      </c>
      <c r="U66" s="3">
        <f>CAPSTONE_PROJECT[[#This Row],[Discharge Date]]-CAPSTONE_PROJECT[[#This Row],[Admission Date]]</f>
        <v>5</v>
      </c>
      <c r="V66" s="6">
        <f>SUM(CAPSTONE_PROJECT[[#This Row],[Room Cost]:[Treatment Cost]])</f>
        <v>14198.18</v>
      </c>
      <c r="W66" s="6">
        <f t="shared" ref="W66:W129" si="1">V66/U66</f>
        <v>2839.636</v>
      </c>
      <c r="X66" s="3" t="str">
        <f>TEXT(CAPSTONE_PROJECT[[#This Row],[Admission Date]],"mmmm")</f>
        <v>September</v>
      </c>
      <c r="Y66" s="3" t="str">
        <f>TEXT(CAPSTONE_PROJECT[[#This Row],[Admission Date]],"yyyy")</f>
        <v>2024</v>
      </c>
      <c r="Z66" s="3" t="str">
        <f>TEXT(CAPSTONE_PROJECT[[#This Row],[Admission Date]],"mmm yyyy")</f>
        <v>Sep 2024</v>
      </c>
      <c r="AA66" s="3" t="str">
        <f>TEXT(CAPSTONE_PROJECT[[#This Row],[Admission Date]],"dddd")</f>
        <v>Sunday</v>
      </c>
      <c r="AB66" s="3" t="str">
        <f>IF(CAPSTONE_PROJECT[[#This Row],[Age]]&lt;=34,"Young Adults",IF(CAPSTONE_PROJECT[[#This Row],[Age]]&lt;=59,"Adults","Elders"))</f>
        <v>Young Adults</v>
      </c>
      <c r="AC66" s="3" t="str">
        <f>_xlfn.XLOOKUP(CAPSTONE_PROJECT[[#This Row],[Patient ID]],'Lookup table'!A:A,'Lookup table'!B:B,,0)</f>
        <v>Benjamin Taylor</v>
      </c>
      <c r="AD66" s="3" t="str">
        <f>_xlfn.XLOOKUP(CAPSTONE_PROJECT[[#This Row],[Patient ID]],'Lookup table'!A:A,'Lookup table'!C:C,,0)</f>
        <v>Male</v>
      </c>
      <c r="AE66" s="3" t="str">
        <f>IF(CAPSTONE_PROJECT[[#This Row],[Length of Stay]]&lt;=3,"Short Stay",IF(CAPSTONE_PROJECT[[#This Row],[Length of Stay]]&lt;=7,"Moderate Stay",IF(CAPSTONE_PROJECT[[#This Row],[Length of Stay]]&lt;=14,"Long Stay","Extended Stay")))</f>
        <v>Moderate Stay</v>
      </c>
    </row>
    <row r="67" spans="1:31" x14ac:dyDescent="0.3">
      <c r="A67" s="3" t="s">
        <v>191</v>
      </c>
      <c r="B67" s="4">
        <v>45695</v>
      </c>
      <c r="C67" s="4">
        <v>45698</v>
      </c>
      <c r="D67" s="4">
        <v>28205</v>
      </c>
      <c r="E67" s="3">
        <v>49</v>
      </c>
      <c r="F67" s="3" t="s">
        <v>8</v>
      </c>
      <c r="G67" s="3" t="s">
        <v>34</v>
      </c>
      <c r="H67" s="3" t="s">
        <v>21</v>
      </c>
      <c r="I67" s="3" t="s">
        <v>37</v>
      </c>
      <c r="J67" s="3" t="s">
        <v>23</v>
      </c>
      <c r="K67" s="3" t="s">
        <v>50</v>
      </c>
      <c r="L67" s="6">
        <v>3442.07</v>
      </c>
      <c r="M67" s="6">
        <v>801.23</v>
      </c>
      <c r="N67" s="6">
        <v>1048.17</v>
      </c>
      <c r="O67" s="6">
        <v>8331.06</v>
      </c>
      <c r="P67" s="3" t="s">
        <v>51</v>
      </c>
      <c r="Q67" s="3" t="s">
        <v>1077</v>
      </c>
      <c r="R67" s="3" t="s">
        <v>68</v>
      </c>
      <c r="S67" s="3" t="s">
        <v>192</v>
      </c>
      <c r="T67" s="3">
        <v>6</v>
      </c>
      <c r="U67" s="3">
        <f>CAPSTONE_PROJECT[[#This Row],[Discharge Date]]-CAPSTONE_PROJECT[[#This Row],[Admission Date]]</f>
        <v>3</v>
      </c>
      <c r="V67" s="6">
        <f>SUM(CAPSTONE_PROJECT[[#This Row],[Room Cost]:[Treatment Cost]])</f>
        <v>13622.529999999999</v>
      </c>
      <c r="W67" s="6">
        <f t="shared" si="1"/>
        <v>4540.8433333333332</v>
      </c>
      <c r="X67" s="3" t="str">
        <f>TEXT(CAPSTONE_PROJECT[[#This Row],[Admission Date]],"mmmm")</f>
        <v>February</v>
      </c>
      <c r="Y67" s="3" t="str">
        <f>TEXT(CAPSTONE_PROJECT[[#This Row],[Admission Date]],"yyyy")</f>
        <v>2025</v>
      </c>
      <c r="Z67" s="3" t="str">
        <f>TEXT(CAPSTONE_PROJECT[[#This Row],[Admission Date]],"mmm yyyy")</f>
        <v>Feb 2025</v>
      </c>
      <c r="AA67" s="3" t="str">
        <f>TEXT(CAPSTONE_PROJECT[[#This Row],[Admission Date]],"dddd")</f>
        <v>Friday</v>
      </c>
      <c r="AB67" s="3" t="str">
        <f>IF(CAPSTONE_PROJECT[[#This Row],[Age]]&lt;=34,"Young Adults",IF(CAPSTONE_PROJECT[[#This Row],[Age]]&lt;=59,"Adults","Elders"))</f>
        <v>Adults</v>
      </c>
      <c r="AC67" s="3" t="str">
        <f>_xlfn.XLOOKUP(CAPSTONE_PROJECT[[#This Row],[Patient ID]],'Lookup table'!A:A,'Lookup table'!B:B,,0)</f>
        <v>Isabella Green</v>
      </c>
      <c r="AD67" s="3" t="str">
        <f>_xlfn.XLOOKUP(CAPSTONE_PROJECT[[#This Row],[Patient ID]],'Lookup table'!A:A,'Lookup table'!C:C,,0)</f>
        <v>Female</v>
      </c>
      <c r="AE67" s="3" t="str">
        <f>IF(CAPSTONE_PROJECT[[#This Row],[Length of Stay]]&lt;=3,"Short Stay",IF(CAPSTONE_PROJECT[[#This Row],[Length of Stay]]&lt;=7,"Moderate Stay",IF(CAPSTONE_PROJECT[[#This Row],[Length of Stay]]&lt;=14,"Long Stay","Extended Stay")))</f>
        <v>Short Stay</v>
      </c>
    </row>
    <row r="68" spans="1:31" x14ac:dyDescent="0.3">
      <c r="A68" s="3" t="s">
        <v>193</v>
      </c>
      <c r="B68" s="4">
        <v>45414</v>
      </c>
      <c r="C68" s="4">
        <v>45417</v>
      </c>
      <c r="D68" s="4">
        <v>23598</v>
      </c>
      <c r="E68" s="3">
        <v>61</v>
      </c>
      <c r="F68" s="3" t="s">
        <v>33</v>
      </c>
      <c r="G68" s="3" t="s">
        <v>57</v>
      </c>
      <c r="H68" s="3" t="s">
        <v>114</v>
      </c>
      <c r="I68" s="3" t="s">
        <v>13</v>
      </c>
      <c r="J68" s="3" t="s">
        <v>45</v>
      </c>
      <c r="K68" s="3" t="s">
        <v>15</v>
      </c>
      <c r="L68" s="6">
        <v>1257.1500000000001</v>
      </c>
      <c r="M68" s="6">
        <v>187.52</v>
      </c>
      <c r="N68" s="6">
        <v>1013.59</v>
      </c>
      <c r="O68" s="6">
        <v>2972.9</v>
      </c>
      <c r="P68" s="3" t="s">
        <v>31</v>
      </c>
      <c r="Q68" s="3" t="s">
        <v>1077</v>
      </c>
      <c r="R68" s="3" t="s">
        <v>58</v>
      </c>
      <c r="S68" s="3" t="s">
        <v>194</v>
      </c>
      <c r="T68" s="3">
        <v>6</v>
      </c>
      <c r="U68" s="3">
        <f>CAPSTONE_PROJECT[[#This Row],[Discharge Date]]-CAPSTONE_PROJECT[[#This Row],[Admission Date]]</f>
        <v>3</v>
      </c>
      <c r="V68" s="6">
        <f>SUM(CAPSTONE_PROJECT[[#This Row],[Room Cost]:[Treatment Cost]])</f>
        <v>5431.16</v>
      </c>
      <c r="W68" s="6">
        <f t="shared" si="1"/>
        <v>1810.3866666666665</v>
      </c>
      <c r="X68" s="3" t="str">
        <f>TEXT(CAPSTONE_PROJECT[[#This Row],[Admission Date]],"mmmm")</f>
        <v>May</v>
      </c>
      <c r="Y68" s="3" t="str">
        <f>TEXT(CAPSTONE_PROJECT[[#This Row],[Admission Date]],"yyyy")</f>
        <v>2024</v>
      </c>
      <c r="Z68" s="3" t="str">
        <f>TEXT(CAPSTONE_PROJECT[[#This Row],[Admission Date]],"mmm yyyy")</f>
        <v>May 2024</v>
      </c>
      <c r="AA68" s="3" t="str">
        <f>TEXT(CAPSTONE_PROJECT[[#This Row],[Admission Date]],"dddd")</f>
        <v>Thursday</v>
      </c>
      <c r="AB68" s="3" t="str">
        <f>IF(CAPSTONE_PROJECT[[#This Row],[Age]]&lt;=34,"Young Adults",IF(CAPSTONE_PROJECT[[#This Row],[Age]]&lt;=59,"Adults","Elders"))</f>
        <v>Elders</v>
      </c>
      <c r="AC68" s="3" t="str">
        <f>_xlfn.XLOOKUP(CAPSTONE_PROJECT[[#This Row],[Patient ID]],'Lookup table'!A:A,'Lookup table'!B:B,,0)</f>
        <v>Benjamin Wood</v>
      </c>
      <c r="AD68" s="3" t="str">
        <f>_xlfn.XLOOKUP(CAPSTONE_PROJECT[[#This Row],[Patient ID]],'Lookup table'!A:A,'Lookup table'!C:C,,0)</f>
        <v>Male</v>
      </c>
      <c r="AE68" s="3" t="str">
        <f>IF(CAPSTONE_PROJECT[[#This Row],[Length of Stay]]&lt;=3,"Short Stay",IF(CAPSTONE_PROJECT[[#This Row],[Length of Stay]]&lt;=7,"Moderate Stay",IF(CAPSTONE_PROJECT[[#This Row],[Length of Stay]]&lt;=14,"Long Stay","Extended Stay")))</f>
        <v>Short Stay</v>
      </c>
    </row>
    <row r="69" spans="1:31" x14ac:dyDescent="0.3">
      <c r="A69" s="3" t="s">
        <v>195</v>
      </c>
      <c r="B69" s="4">
        <v>45994</v>
      </c>
      <c r="C69" s="4">
        <v>45997</v>
      </c>
      <c r="D69" s="4">
        <v>21013</v>
      </c>
      <c r="E69" s="3">
        <v>68</v>
      </c>
      <c r="F69" s="3" t="s">
        <v>8</v>
      </c>
      <c r="G69" s="3" t="s">
        <v>27</v>
      </c>
      <c r="H69" s="3" t="s">
        <v>21</v>
      </c>
      <c r="I69" s="3" t="s">
        <v>13</v>
      </c>
      <c r="J69" s="3" t="s">
        <v>38</v>
      </c>
      <c r="K69" s="3" t="s">
        <v>15</v>
      </c>
      <c r="L69" s="6">
        <v>3020.47</v>
      </c>
      <c r="M69" s="6">
        <v>416.75</v>
      </c>
      <c r="N69" s="6">
        <v>238.72</v>
      </c>
      <c r="O69" s="6">
        <v>12119.66</v>
      </c>
      <c r="P69" s="3" t="s">
        <v>31</v>
      </c>
      <c r="Q69" s="3" t="s">
        <v>1084</v>
      </c>
      <c r="R69" s="3" t="s">
        <v>58</v>
      </c>
      <c r="S69" s="3" t="s">
        <v>196</v>
      </c>
      <c r="T69" s="3">
        <v>4</v>
      </c>
      <c r="U69" s="3">
        <f>CAPSTONE_PROJECT[[#This Row],[Discharge Date]]-CAPSTONE_PROJECT[[#This Row],[Admission Date]]</f>
        <v>3</v>
      </c>
      <c r="V69" s="6">
        <f>SUM(CAPSTONE_PROJECT[[#This Row],[Room Cost]:[Treatment Cost]])</f>
        <v>15795.599999999999</v>
      </c>
      <c r="W69" s="6">
        <f t="shared" si="1"/>
        <v>5265.2</v>
      </c>
      <c r="X69" s="3" t="str">
        <f>TEXT(CAPSTONE_PROJECT[[#This Row],[Admission Date]],"mmmm")</f>
        <v>December</v>
      </c>
      <c r="Y69" s="3" t="str">
        <f>TEXT(CAPSTONE_PROJECT[[#This Row],[Admission Date]],"yyyy")</f>
        <v>2025</v>
      </c>
      <c r="Z69" s="3" t="str">
        <f>TEXT(CAPSTONE_PROJECT[[#This Row],[Admission Date]],"mmm yyyy")</f>
        <v>Dec 2025</v>
      </c>
      <c r="AA69" s="3" t="str">
        <f>TEXT(CAPSTONE_PROJECT[[#This Row],[Admission Date]],"dddd")</f>
        <v>Wednesday</v>
      </c>
      <c r="AB69" s="3" t="str">
        <f>IF(CAPSTONE_PROJECT[[#This Row],[Age]]&lt;=34,"Young Adults",IF(CAPSTONE_PROJECT[[#This Row],[Age]]&lt;=59,"Adults","Elders"))</f>
        <v>Elders</v>
      </c>
      <c r="AC69" s="3" t="str">
        <f>_xlfn.XLOOKUP(CAPSTONE_PROJECT[[#This Row],[Patient ID]],'Lookup table'!A:A,'Lookup table'!B:B,,0)</f>
        <v>Emily Walker</v>
      </c>
      <c r="AD69" s="3" t="str">
        <f>_xlfn.XLOOKUP(CAPSTONE_PROJECT[[#This Row],[Patient ID]],'Lookup table'!A:A,'Lookup table'!C:C,,0)</f>
        <v>Female</v>
      </c>
      <c r="AE69" s="3" t="str">
        <f>IF(CAPSTONE_PROJECT[[#This Row],[Length of Stay]]&lt;=3,"Short Stay",IF(CAPSTONE_PROJECT[[#This Row],[Length of Stay]]&lt;=7,"Moderate Stay",IF(CAPSTONE_PROJECT[[#This Row],[Length of Stay]]&lt;=14,"Long Stay","Extended Stay")))</f>
        <v>Short Stay</v>
      </c>
    </row>
    <row r="70" spans="1:31" x14ac:dyDescent="0.3">
      <c r="A70" s="3" t="s">
        <v>197</v>
      </c>
      <c r="B70" s="4">
        <v>45923</v>
      </c>
      <c r="C70" s="4">
        <v>45931</v>
      </c>
      <c r="D70" s="4">
        <v>17460</v>
      </c>
      <c r="E70" s="3">
        <v>78</v>
      </c>
      <c r="F70" s="3" t="s">
        <v>18</v>
      </c>
      <c r="G70" s="3" t="s">
        <v>9</v>
      </c>
      <c r="H70" s="3" t="s">
        <v>12</v>
      </c>
      <c r="I70" s="3" t="s">
        <v>13</v>
      </c>
      <c r="J70" s="3" t="s">
        <v>64</v>
      </c>
      <c r="K70" s="3" t="s">
        <v>24</v>
      </c>
      <c r="L70" s="6">
        <v>344.89</v>
      </c>
      <c r="M70" s="6">
        <v>469.47</v>
      </c>
      <c r="N70" s="6">
        <v>307.77</v>
      </c>
      <c r="O70" s="6">
        <v>7133.44</v>
      </c>
      <c r="P70" s="3" t="s">
        <v>16</v>
      </c>
      <c r="Q70" s="3" t="s">
        <v>1078</v>
      </c>
      <c r="R70" s="3" t="s">
        <v>35</v>
      </c>
      <c r="S70" s="3" t="s">
        <v>198</v>
      </c>
      <c r="T70" s="3">
        <v>7</v>
      </c>
      <c r="U70" s="3">
        <f>CAPSTONE_PROJECT[[#This Row],[Discharge Date]]-CAPSTONE_PROJECT[[#This Row],[Admission Date]]</f>
        <v>8</v>
      </c>
      <c r="V70" s="6">
        <f>SUM(CAPSTONE_PROJECT[[#This Row],[Room Cost]:[Treatment Cost]])</f>
        <v>8255.57</v>
      </c>
      <c r="W70" s="6">
        <f t="shared" si="1"/>
        <v>1031.94625</v>
      </c>
      <c r="X70" s="3" t="str">
        <f>TEXT(CAPSTONE_PROJECT[[#This Row],[Admission Date]],"mmmm")</f>
        <v>September</v>
      </c>
      <c r="Y70" s="3" t="str">
        <f>TEXT(CAPSTONE_PROJECT[[#This Row],[Admission Date]],"yyyy")</f>
        <v>2025</v>
      </c>
      <c r="Z70" s="3" t="str">
        <f>TEXT(CAPSTONE_PROJECT[[#This Row],[Admission Date]],"mmm yyyy")</f>
        <v>Sep 2025</v>
      </c>
      <c r="AA70" s="3" t="str">
        <f>TEXT(CAPSTONE_PROJECT[[#This Row],[Admission Date]],"dddd")</f>
        <v>Tuesday</v>
      </c>
      <c r="AB70" s="3" t="str">
        <f>IF(CAPSTONE_PROJECT[[#This Row],[Age]]&lt;=34,"Young Adults",IF(CAPSTONE_PROJECT[[#This Row],[Age]]&lt;=59,"Adults","Elders"))</f>
        <v>Elders</v>
      </c>
      <c r="AC70" s="3" t="str">
        <f>_xlfn.XLOOKUP(CAPSTONE_PROJECT[[#This Row],[Patient ID]],'Lookup table'!A:A,'Lookup table'!B:B,,0)</f>
        <v>Samuel Brown</v>
      </c>
      <c r="AD70" s="3" t="str">
        <f>_xlfn.XLOOKUP(CAPSTONE_PROJECT[[#This Row],[Patient ID]],'Lookup table'!A:A,'Lookup table'!C:C,,0)</f>
        <v>Male</v>
      </c>
      <c r="AE70" s="3" t="str">
        <f>IF(CAPSTONE_PROJECT[[#This Row],[Length of Stay]]&lt;=3,"Short Stay",IF(CAPSTONE_PROJECT[[#This Row],[Length of Stay]]&lt;=7,"Moderate Stay",IF(CAPSTONE_PROJECT[[#This Row],[Length of Stay]]&lt;=14,"Long Stay","Extended Stay")))</f>
        <v>Long Stay</v>
      </c>
    </row>
    <row r="71" spans="1:31" x14ac:dyDescent="0.3">
      <c r="A71" s="3" t="s">
        <v>199</v>
      </c>
      <c r="B71" s="4">
        <v>45658</v>
      </c>
      <c r="C71" s="4">
        <v>45677</v>
      </c>
      <c r="D71" s="4">
        <v>35294</v>
      </c>
      <c r="E71" s="3">
        <v>29</v>
      </c>
      <c r="F71" s="3" t="s">
        <v>33</v>
      </c>
      <c r="G71" s="3" t="s">
        <v>34</v>
      </c>
      <c r="H71" s="3" t="s">
        <v>72</v>
      </c>
      <c r="I71" s="3" t="s">
        <v>22</v>
      </c>
      <c r="J71" s="3" t="s">
        <v>73</v>
      </c>
      <c r="K71" s="3" t="s">
        <v>50</v>
      </c>
      <c r="L71" s="6">
        <v>4186.21</v>
      </c>
      <c r="M71" s="6">
        <v>403.52</v>
      </c>
      <c r="N71" s="6">
        <v>1194.3699999999999</v>
      </c>
      <c r="O71" s="6">
        <v>10673.37</v>
      </c>
      <c r="P71" s="3" t="s">
        <v>51</v>
      </c>
      <c r="Q71" s="3" t="s">
        <v>1081</v>
      </c>
      <c r="R71" s="3" t="s">
        <v>41</v>
      </c>
      <c r="S71" s="3" t="s">
        <v>200</v>
      </c>
      <c r="T71" s="3">
        <v>1</v>
      </c>
      <c r="U71" s="3">
        <f>CAPSTONE_PROJECT[[#This Row],[Discharge Date]]-CAPSTONE_PROJECT[[#This Row],[Admission Date]]</f>
        <v>19</v>
      </c>
      <c r="V71" s="6">
        <f>SUM(CAPSTONE_PROJECT[[#This Row],[Room Cost]:[Treatment Cost]])</f>
        <v>16457.47</v>
      </c>
      <c r="W71" s="6">
        <f t="shared" si="1"/>
        <v>866.18263157894739</v>
      </c>
      <c r="X71" s="3" t="str">
        <f>TEXT(CAPSTONE_PROJECT[[#This Row],[Admission Date]],"mmmm")</f>
        <v>January</v>
      </c>
      <c r="Y71" s="3" t="str">
        <f>TEXT(CAPSTONE_PROJECT[[#This Row],[Admission Date]],"yyyy")</f>
        <v>2025</v>
      </c>
      <c r="Z71" s="3" t="str">
        <f>TEXT(CAPSTONE_PROJECT[[#This Row],[Admission Date]],"mmm yyyy")</f>
        <v>Jan 2025</v>
      </c>
      <c r="AA71" s="3" t="str">
        <f>TEXT(CAPSTONE_PROJECT[[#This Row],[Admission Date]],"dddd")</f>
        <v>Wednesday</v>
      </c>
      <c r="AB71" s="3" t="str">
        <f>IF(CAPSTONE_PROJECT[[#This Row],[Age]]&lt;=34,"Young Adults",IF(CAPSTONE_PROJECT[[#This Row],[Age]]&lt;=59,"Adults","Elders"))</f>
        <v>Young Adults</v>
      </c>
      <c r="AC71" s="3" t="str">
        <f>_xlfn.XLOOKUP(CAPSTONE_PROJECT[[#This Row],[Patient ID]],'Lookup table'!A:A,'Lookup table'!B:B,,0)</f>
        <v>Amelia Wilson</v>
      </c>
      <c r="AD71" s="3" t="str">
        <f>_xlfn.XLOOKUP(CAPSTONE_PROJECT[[#This Row],[Patient ID]],'Lookup table'!A:A,'Lookup table'!C:C,,0)</f>
        <v>Female</v>
      </c>
      <c r="AE71" s="3" t="str">
        <f>IF(CAPSTONE_PROJECT[[#This Row],[Length of Stay]]&lt;=3,"Short Stay",IF(CAPSTONE_PROJECT[[#This Row],[Length of Stay]]&lt;=7,"Moderate Stay",IF(CAPSTONE_PROJECT[[#This Row],[Length of Stay]]&lt;=14,"Long Stay","Extended Stay")))</f>
        <v>Extended Stay</v>
      </c>
    </row>
    <row r="72" spans="1:31" x14ac:dyDescent="0.3">
      <c r="A72" s="3" t="s">
        <v>201</v>
      </c>
      <c r="B72" s="4">
        <v>45312</v>
      </c>
      <c r="C72" s="4">
        <v>45329</v>
      </c>
      <c r="D72" s="4">
        <v>21831</v>
      </c>
      <c r="E72" s="3">
        <v>66</v>
      </c>
      <c r="F72" s="3" t="s">
        <v>47</v>
      </c>
      <c r="G72" s="3" t="s">
        <v>78</v>
      </c>
      <c r="H72" s="3" t="s">
        <v>1080</v>
      </c>
      <c r="I72" s="3" t="s">
        <v>22</v>
      </c>
      <c r="J72" s="3" t="s">
        <v>15</v>
      </c>
      <c r="K72" s="3" t="s">
        <v>65</v>
      </c>
      <c r="L72" s="6">
        <v>1314.59</v>
      </c>
      <c r="M72" s="6">
        <v>1566.43</v>
      </c>
      <c r="N72" s="6">
        <v>618.08000000000004</v>
      </c>
      <c r="O72" s="6">
        <v>6315.77</v>
      </c>
      <c r="P72" s="3" t="s">
        <v>51</v>
      </c>
      <c r="Q72" s="3" t="s">
        <v>1078</v>
      </c>
      <c r="R72" s="3" t="s">
        <v>54</v>
      </c>
      <c r="S72" s="3" t="s">
        <v>202</v>
      </c>
      <c r="T72" s="3">
        <v>3</v>
      </c>
      <c r="U72" s="3">
        <f>CAPSTONE_PROJECT[[#This Row],[Discharge Date]]-CAPSTONE_PROJECT[[#This Row],[Admission Date]]</f>
        <v>17</v>
      </c>
      <c r="V72" s="6">
        <f>SUM(CAPSTONE_PROJECT[[#This Row],[Room Cost]:[Treatment Cost]])</f>
        <v>9814.8700000000008</v>
      </c>
      <c r="W72" s="6">
        <f t="shared" si="1"/>
        <v>577.34529411764709</v>
      </c>
      <c r="X72" s="3" t="str">
        <f>TEXT(CAPSTONE_PROJECT[[#This Row],[Admission Date]],"mmmm")</f>
        <v>January</v>
      </c>
      <c r="Y72" s="3" t="str">
        <f>TEXT(CAPSTONE_PROJECT[[#This Row],[Admission Date]],"yyyy")</f>
        <v>2024</v>
      </c>
      <c r="Z72" s="3" t="str">
        <f>TEXT(CAPSTONE_PROJECT[[#This Row],[Admission Date]],"mmm yyyy")</f>
        <v>Jan 2024</v>
      </c>
      <c r="AA72" s="3" t="str">
        <f>TEXT(CAPSTONE_PROJECT[[#This Row],[Admission Date]],"dddd")</f>
        <v>Sunday</v>
      </c>
      <c r="AB72" s="3" t="str">
        <f>IF(CAPSTONE_PROJECT[[#This Row],[Age]]&lt;=34,"Young Adults",IF(CAPSTONE_PROJECT[[#This Row],[Age]]&lt;=59,"Adults","Elders"))</f>
        <v>Elders</v>
      </c>
      <c r="AC72" s="3" t="str">
        <f>_xlfn.XLOOKUP(CAPSTONE_PROJECT[[#This Row],[Patient ID]],'Lookup table'!A:A,'Lookup table'!B:B,,0)</f>
        <v>Ethan Y Walker</v>
      </c>
      <c r="AD72" s="3" t="str">
        <f>_xlfn.XLOOKUP(CAPSTONE_PROJECT[[#This Row],[Patient ID]],'Lookup table'!A:A,'Lookup table'!C:C,,0)</f>
        <v>Male</v>
      </c>
      <c r="AE72" s="3" t="str">
        <f>IF(CAPSTONE_PROJECT[[#This Row],[Length of Stay]]&lt;=3,"Short Stay",IF(CAPSTONE_PROJECT[[#This Row],[Length of Stay]]&lt;=7,"Moderate Stay",IF(CAPSTONE_PROJECT[[#This Row],[Length of Stay]]&lt;=14,"Long Stay","Extended Stay")))</f>
        <v>Extended Stay</v>
      </c>
    </row>
    <row r="73" spans="1:31" x14ac:dyDescent="0.3">
      <c r="A73" s="3" t="s">
        <v>203</v>
      </c>
      <c r="B73" s="4">
        <v>46002</v>
      </c>
      <c r="C73" s="4">
        <v>46022</v>
      </c>
      <c r="D73" s="4">
        <v>20807</v>
      </c>
      <c r="E73" s="3">
        <v>69</v>
      </c>
      <c r="F73" s="3" t="s">
        <v>33</v>
      </c>
      <c r="G73" s="3" t="s">
        <v>61</v>
      </c>
      <c r="H73" s="3" t="s">
        <v>29</v>
      </c>
      <c r="I73" s="3" t="s">
        <v>44</v>
      </c>
      <c r="J73" s="3" t="s">
        <v>14</v>
      </c>
      <c r="K73" s="3" t="s">
        <v>50</v>
      </c>
      <c r="L73" s="6">
        <v>2083.6799999999998</v>
      </c>
      <c r="M73" s="6">
        <v>682.39</v>
      </c>
      <c r="N73" s="6">
        <v>1629.68</v>
      </c>
      <c r="O73" s="6">
        <v>6670.34</v>
      </c>
      <c r="P73" s="3" t="s">
        <v>51</v>
      </c>
      <c r="Q73" s="3" t="s">
        <v>1082</v>
      </c>
      <c r="R73" s="3" t="s">
        <v>58</v>
      </c>
      <c r="S73" s="3" t="s">
        <v>204</v>
      </c>
      <c r="T73" s="3">
        <v>5</v>
      </c>
      <c r="U73" s="3">
        <f>CAPSTONE_PROJECT[[#This Row],[Discharge Date]]-CAPSTONE_PROJECT[[#This Row],[Admission Date]]</f>
        <v>20</v>
      </c>
      <c r="V73" s="6">
        <f>SUM(CAPSTONE_PROJECT[[#This Row],[Room Cost]:[Treatment Cost]])</f>
        <v>11066.09</v>
      </c>
      <c r="W73" s="6">
        <f t="shared" si="1"/>
        <v>553.30449999999996</v>
      </c>
      <c r="X73" s="3" t="str">
        <f>TEXT(CAPSTONE_PROJECT[[#This Row],[Admission Date]],"mmmm")</f>
        <v>December</v>
      </c>
      <c r="Y73" s="3" t="str">
        <f>TEXT(CAPSTONE_PROJECT[[#This Row],[Admission Date]],"yyyy")</f>
        <v>2025</v>
      </c>
      <c r="Z73" s="3" t="str">
        <f>TEXT(CAPSTONE_PROJECT[[#This Row],[Admission Date]],"mmm yyyy")</f>
        <v>Dec 2025</v>
      </c>
      <c r="AA73" s="3" t="str">
        <f>TEXT(CAPSTONE_PROJECT[[#This Row],[Admission Date]],"dddd")</f>
        <v>Thursday</v>
      </c>
      <c r="AB73" s="3" t="str">
        <f>IF(CAPSTONE_PROJECT[[#This Row],[Age]]&lt;=34,"Young Adults",IF(CAPSTONE_PROJECT[[#This Row],[Age]]&lt;=59,"Adults","Elders"))</f>
        <v>Elders</v>
      </c>
      <c r="AC73" s="3" t="str">
        <f>_xlfn.XLOOKUP(CAPSTONE_PROJECT[[#This Row],[Patient ID]],'Lookup table'!A:A,'Lookup table'!B:B,,0)</f>
        <v>Amelia D Thompson</v>
      </c>
      <c r="AD73" s="3" t="str">
        <f>_xlfn.XLOOKUP(CAPSTONE_PROJECT[[#This Row],[Patient ID]],'Lookup table'!A:A,'Lookup table'!C:C,,0)</f>
        <v>Female</v>
      </c>
      <c r="AE73" s="3" t="str">
        <f>IF(CAPSTONE_PROJECT[[#This Row],[Length of Stay]]&lt;=3,"Short Stay",IF(CAPSTONE_PROJECT[[#This Row],[Length of Stay]]&lt;=7,"Moderate Stay",IF(CAPSTONE_PROJECT[[#This Row],[Length of Stay]]&lt;=14,"Long Stay","Extended Stay")))</f>
        <v>Extended Stay</v>
      </c>
    </row>
    <row r="74" spans="1:31" x14ac:dyDescent="0.3">
      <c r="A74" s="3" t="s">
        <v>205</v>
      </c>
      <c r="B74" s="4">
        <v>45506</v>
      </c>
      <c r="C74" s="4">
        <v>45514</v>
      </c>
      <c r="D74" s="4">
        <v>26673</v>
      </c>
      <c r="E74" s="3">
        <v>53</v>
      </c>
      <c r="F74" s="3" t="s">
        <v>33</v>
      </c>
      <c r="G74" s="3" t="s">
        <v>34</v>
      </c>
      <c r="H74" s="3" t="s">
        <v>100</v>
      </c>
      <c r="I74" s="3" t="s">
        <v>44</v>
      </c>
      <c r="J74" s="3" t="s">
        <v>23</v>
      </c>
      <c r="K74" s="3" t="s">
        <v>65</v>
      </c>
      <c r="L74" s="6">
        <v>2517.0100000000002</v>
      </c>
      <c r="M74" s="6">
        <v>601.58000000000004</v>
      </c>
      <c r="N74" s="6">
        <v>285.58999999999997</v>
      </c>
      <c r="O74" s="6">
        <v>14439.76</v>
      </c>
      <c r="P74" s="3" t="s">
        <v>31</v>
      </c>
      <c r="Q74" s="3" t="s">
        <v>1082</v>
      </c>
      <c r="R74" s="3" t="s">
        <v>35</v>
      </c>
      <c r="S74" s="3" t="s">
        <v>206</v>
      </c>
      <c r="T74" s="3">
        <v>7</v>
      </c>
      <c r="U74" s="3">
        <f>CAPSTONE_PROJECT[[#This Row],[Discharge Date]]-CAPSTONE_PROJECT[[#This Row],[Admission Date]]</f>
        <v>8</v>
      </c>
      <c r="V74" s="6">
        <f>SUM(CAPSTONE_PROJECT[[#This Row],[Room Cost]:[Treatment Cost]])</f>
        <v>17843.940000000002</v>
      </c>
      <c r="W74" s="6">
        <f t="shared" si="1"/>
        <v>2230.4925000000003</v>
      </c>
      <c r="X74" s="3" t="str">
        <f>TEXT(CAPSTONE_PROJECT[[#This Row],[Admission Date]],"mmmm")</f>
        <v>August</v>
      </c>
      <c r="Y74" s="3" t="str">
        <f>TEXT(CAPSTONE_PROJECT[[#This Row],[Admission Date]],"yyyy")</f>
        <v>2024</v>
      </c>
      <c r="Z74" s="3" t="str">
        <f>TEXT(CAPSTONE_PROJECT[[#This Row],[Admission Date]],"mmm yyyy")</f>
        <v>Aug 2024</v>
      </c>
      <c r="AA74" s="3" t="str">
        <f>TEXT(CAPSTONE_PROJECT[[#This Row],[Admission Date]],"dddd")</f>
        <v>Friday</v>
      </c>
      <c r="AB74" s="3" t="str">
        <f>IF(CAPSTONE_PROJECT[[#This Row],[Age]]&lt;=34,"Young Adults",IF(CAPSTONE_PROJECT[[#This Row],[Age]]&lt;=59,"Adults","Elders"))</f>
        <v>Adults</v>
      </c>
      <c r="AC74" s="3" t="str">
        <f>_xlfn.XLOOKUP(CAPSTONE_PROJECT[[#This Row],[Patient ID]],'Lookup table'!A:A,'Lookup table'!B:B,,0)</f>
        <v>Daniel Hall</v>
      </c>
      <c r="AD74" s="3" t="str">
        <f>_xlfn.XLOOKUP(CAPSTONE_PROJECT[[#This Row],[Patient ID]],'Lookup table'!A:A,'Lookup table'!C:C,,0)</f>
        <v>Male</v>
      </c>
      <c r="AE74" s="3" t="str">
        <f>IF(CAPSTONE_PROJECT[[#This Row],[Length of Stay]]&lt;=3,"Short Stay",IF(CAPSTONE_PROJECT[[#This Row],[Length of Stay]]&lt;=7,"Moderate Stay",IF(CAPSTONE_PROJECT[[#This Row],[Length of Stay]]&lt;=14,"Long Stay","Extended Stay")))</f>
        <v>Long Stay</v>
      </c>
    </row>
    <row r="75" spans="1:31" x14ac:dyDescent="0.3">
      <c r="A75" s="3" t="s">
        <v>207</v>
      </c>
      <c r="B75" s="4">
        <v>45368</v>
      </c>
      <c r="C75" s="4">
        <v>45386</v>
      </c>
      <c r="D75" s="4">
        <v>20276</v>
      </c>
      <c r="E75" s="3">
        <v>70</v>
      </c>
      <c r="F75" s="3" t="s">
        <v>8</v>
      </c>
      <c r="G75" s="3" t="s">
        <v>40</v>
      </c>
      <c r="H75" s="3" t="s">
        <v>100</v>
      </c>
      <c r="I75" s="3" t="s">
        <v>22</v>
      </c>
      <c r="J75" s="3" t="s">
        <v>30</v>
      </c>
      <c r="K75" s="3" t="s">
        <v>50</v>
      </c>
      <c r="L75" s="6">
        <v>4837.97</v>
      </c>
      <c r="M75" s="6">
        <v>1032.68</v>
      </c>
      <c r="N75" s="6">
        <v>2938.1</v>
      </c>
      <c r="O75" s="6">
        <v>2120.64</v>
      </c>
      <c r="P75" s="3" t="s">
        <v>16</v>
      </c>
      <c r="Q75" s="3" t="s">
        <v>1085</v>
      </c>
      <c r="R75" s="3" t="s">
        <v>102</v>
      </c>
      <c r="S75" s="3" t="s">
        <v>208</v>
      </c>
      <c r="T75" s="3">
        <v>3</v>
      </c>
      <c r="U75" s="3">
        <f>CAPSTONE_PROJECT[[#This Row],[Discharge Date]]-CAPSTONE_PROJECT[[#This Row],[Admission Date]]</f>
        <v>18</v>
      </c>
      <c r="V75" s="6">
        <f>SUM(CAPSTONE_PROJECT[[#This Row],[Room Cost]:[Treatment Cost]])</f>
        <v>10929.39</v>
      </c>
      <c r="W75" s="6">
        <f t="shared" si="1"/>
        <v>607.18833333333328</v>
      </c>
      <c r="X75" s="3" t="str">
        <f>TEXT(CAPSTONE_PROJECT[[#This Row],[Admission Date]],"mmmm")</f>
        <v>March</v>
      </c>
      <c r="Y75" s="3" t="str">
        <f>TEXT(CAPSTONE_PROJECT[[#This Row],[Admission Date]],"yyyy")</f>
        <v>2024</v>
      </c>
      <c r="Z75" s="3" t="str">
        <f>TEXT(CAPSTONE_PROJECT[[#This Row],[Admission Date]],"mmm yyyy")</f>
        <v>Mar 2024</v>
      </c>
      <c r="AA75" s="3" t="str">
        <f>TEXT(CAPSTONE_PROJECT[[#This Row],[Admission Date]],"dddd")</f>
        <v>Sunday</v>
      </c>
      <c r="AB75" s="3" t="str">
        <f>IF(CAPSTONE_PROJECT[[#This Row],[Age]]&lt;=34,"Young Adults",IF(CAPSTONE_PROJECT[[#This Row],[Age]]&lt;=59,"Adults","Elders"))</f>
        <v>Elders</v>
      </c>
      <c r="AC75" s="3" t="str">
        <f>_xlfn.XLOOKUP(CAPSTONE_PROJECT[[#This Row],[Patient ID]],'Lookup table'!A:A,'Lookup table'!B:B,,0)</f>
        <v>Sophia Wood</v>
      </c>
      <c r="AD75" s="3" t="str">
        <f>_xlfn.XLOOKUP(CAPSTONE_PROJECT[[#This Row],[Patient ID]],'Lookup table'!A:A,'Lookup table'!C:C,,0)</f>
        <v>Female</v>
      </c>
      <c r="AE75" s="3" t="str">
        <f>IF(CAPSTONE_PROJECT[[#This Row],[Length of Stay]]&lt;=3,"Short Stay",IF(CAPSTONE_PROJECT[[#This Row],[Length of Stay]]&lt;=7,"Moderate Stay",IF(CAPSTONE_PROJECT[[#This Row],[Length of Stay]]&lt;=14,"Long Stay","Extended Stay")))</f>
        <v>Extended Stay</v>
      </c>
    </row>
    <row r="76" spans="1:31" x14ac:dyDescent="0.3">
      <c r="A76" s="3" t="s">
        <v>209</v>
      </c>
      <c r="B76" s="4">
        <v>45969</v>
      </c>
      <c r="C76" s="4">
        <v>45989</v>
      </c>
      <c r="D76" s="4">
        <v>26339</v>
      </c>
      <c r="E76" s="3">
        <v>54</v>
      </c>
      <c r="F76" s="3" t="s">
        <v>33</v>
      </c>
      <c r="G76" s="3" t="s">
        <v>139</v>
      </c>
      <c r="H76" s="3" t="s">
        <v>1080</v>
      </c>
      <c r="I76" s="3" t="s">
        <v>22</v>
      </c>
      <c r="J76" s="3" t="s">
        <v>15</v>
      </c>
      <c r="K76" s="3" t="s">
        <v>50</v>
      </c>
      <c r="L76" s="6">
        <v>3748.51</v>
      </c>
      <c r="M76" s="6">
        <v>524.85</v>
      </c>
      <c r="N76" s="6">
        <v>2693.18</v>
      </c>
      <c r="O76" s="6">
        <v>7847.62</v>
      </c>
      <c r="P76" s="3" t="s">
        <v>51</v>
      </c>
      <c r="Q76" s="3" t="s">
        <v>1081</v>
      </c>
      <c r="R76" s="3" t="s">
        <v>62</v>
      </c>
      <c r="S76" s="3" t="s">
        <v>210</v>
      </c>
      <c r="T76" s="3">
        <v>2</v>
      </c>
      <c r="U76" s="3">
        <f>CAPSTONE_PROJECT[[#This Row],[Discharge Date]]-CAPSTONE_PROJECT[[#This Row],[Admission Date]]</f>
        <v>20</v>
      </c>
      <c r="V76" s="6">
        <f>SUM(CAPSTONE_PROJECT[[#This Row],[Room Cost]:[Treatment Cost]])</f>
        <v>14814.16</v>
      </c>
      <c r="W76" s="6">
        <f t="shared" si="1"/>
        <v>740.70799999999997</v>
      </c>
      <c r="X76" s="3" t="str">
        <f>TEXT(CAPSTONE_PROJECT[[#This Row],[Admission Date]],"mmmm")</f>
        <v>November</v>
      </c>
      <c r="Y76" s="3" t="str">
        <f>TEXT(CAPSTONE_PROJECT[[#This Row],[Admission Date]],"yyyy")</f>
        <v>2025</v>
      </c>
      <c r="Z76" s="3" t="str">
        <f>TEXT(CAPSTONE_PROJECT[[#This Row],[Admission Date]],"mmm yyyy")</f>
        <v>Nov 2025</v>
      </c>
      <c r="AA76" s="3" t="str">
        <f>TEXT(CAPSTONE_PROJECT[[#This Row],[Admission Date]],"dddd")</f>
        <v>Saturday</v>
      </c>
      <c r="AB76" s="3" t="str">
        <f>IF(CAPSTONE_PROJECT[[#This Row],[Age]]&lt;=34,"Young Adults",IF(CAPSTONE_PROJECT[[#This Row],[Age]]&lt;=59,"Adults","Elders"))</f>
        <v>Adults</v>
      </c>
      <c r="AC76" s="3" t="str">
        <f>_xlfn.XLOOKUP(CAPSTONE_PROJECT[[#This Row],[Patient ID]],'Lookup table'!A:A,'Lookup table'!B:B,,0)</f>
        <v>John Walker</v>
      </c>
      <c r="AD76" s="3" t="str">
        <f>_xlfn.XLOOKUP(CAPSTONE_PROJECT[[#This Row],[Patient ID]],'Lookup table'!A:A,'Lookup table'!C:C,,0)</f>
        <v>Male</v>
      </c>
      <c r="AE76" s="3" t="str">
        <f>IF(CAPSTONE_PROJECT[[#This Row],[Length of Stay]]&lt;=3,"Short Stay",IF(CAPSTONE_PROJECT[[#This Row],[Length of Stay]]&lt;=7,"Moderate Stay",IF(CAPSTONE_PROJECT[[#This Row],[Length of Stay]]&lt;=14,"Long Stay","Extended Stay")))</f>
        <v>Extended Stay</v>
      </c>
    </row>
    <row r="77" spans="1:31" x14ac:dyDescent="0.3">
      <c r="A77" s="3" t="s">
        <v>211</v>
      </c>
      <c r="B77" s="4">
        <v>45391</v>
      </c>
      <c r="C77" s="4">
        <v>45394</v>
      </c>
      <c r="D77" s="4">
        <v>34325</v>
      </c>
      <c r="E77" s="3">
        <v>32</v>
      </c>
      <c r="F77" s="3" t="s">
        <v>33</v>
      </c>
      <c r="G77" s="3" t="s">
        <v>61</v>
      </c>
      <c r="H77" s="3" t="s">
        <v>29</v>
      </c>
      <c r="I77" s="3" t="s">
        <v>37</v>
      </c>
      <c r="J77" s="3" t="s">
        <v>23</v>
      </c>
      <c r="K77" s="3" t="s">
        <v>15</v>
      </c>
      <c r="L77" s="6">
        <v>1566.22</v>
      </c>
      <c r="M77" s="6">
        <v>1684.64</v>
      </c>
      <c r="N77" s="6">
        <v>2323.1</v>
      </c>
      <c r="O77" s="6">
        <v>4281.0600000000004</v>
      </c>
      <c r="P77" s="3" t="s">
        <v>51</v>
      </c>
      <c r="Q77" s="3" t="s">
        <v>1077</v>
      </c>
      <c r="R77" s="3" t="s">
        <v>102</v>
      </c>
      <c r="S77" s="3" t="s">
        <v>212</v>
      </c>
      <c r="T77" s="3">
        <v>7</v>
      </c>
      <c r="U77" s="3">
        <f>CAPSTONE_PROJECT[[#This Row],[Discharge Date]]-CAPSTONE_PROJECT[[#This Row],[Admission Date]]</f>
        <v>3</v>
      </c>
      <c r="V77" s="6">
        <f>SUM(CAPSTONE_PROJECT[[#This Row],[Room Cost]:[Treatment Cost]])</f>
        <v>9855.02</v>
      </c>
      <c r="W77" s="6">
        <f t="shared" si="1"/>
        <v>3285.0066666666667</v>
      </c>
      <c r="X77" s="3" t="str">
        <f>TEXT(CAPSTONE_PROJECT[[#This Row],[Admission Date]],"mmmm")</f>
        <v>April</v>
      </c>
      <c r="Y77" s="3" t="str">
        <f>TEXT(CAPSTONE_PROJECT[[#This Row],[Admission Date]],"yyyy")</f>
        <v>2024</v>
      </c>
      <c r="Z77" s="3" t="str">
        <f>TEXT(CAPSTONE_PROJECT[[#This Row],[Admission Date]],"mmm yyyy")</f>
        <v>Apr 2024</v>
      </c>
      <c r="AA77" s="3" t="str">
        <f>TEXT(CAPSTONE_PROJECT[[#This Row],[Admission Date]],"dddd")</f>
        <v>Tuesday</v>
      </c>
      <c r="AB77" s="3" t="str">
        <f>IF(CAPSTONE_PROJECT[[#This Row],[Age]]&lt;=34,"Young Adults",IF(CAPSTONE_PROJECT[[#This Row],[Age]]&lt;=59,"Adults","Elders"))</f>
        <v>Young Adults</v>
      </c>
      <c r="AC77" s="3" t="str">
        <f>_xlfn.XLOOKUP(CAPSTONE_PROJECT[[#This Row],[Patient ID]],'Lookup table'!A:A,'Lookup table'!B:B,,0)</f>
        <v>Emily White</v>
      </c>
      <c r="AD77" s="3" t="str">
        <f>_xlfn.XLOOKUP(CAPSTONE_PROJECT[[#This Row],[Patient ID]],'Lookup table'!A:A,'Lookup table'!C:C,,0)</f>
        <v>Female</v>
      </c>
      <c r="AE77" s="3" t="str">
        <f>IF(CAPSTONE_PROJECT[[#This Row],[Length of Stay]]&lt;=3,"Short Stay",IF(CAPSTONE_PROJECT[[#This Row],[Length of Stay]]&lt;=7,"Moderate Stay",IF(CAPSTONE_PROJECT[[#This Row],[Length of Stay]]&lt;=14,"Long Stay","Extended Stay")))</f>
        <v>Short Stay</v>
      </c>
    </row>
    <row r="78" spans="1:31" x14ac:dyDescent="0.3">
      <c r="A78" s="3" t="s">
        <v>213</v>
      </c>
      <c r="B78" s="4">
        <v>45498</v>
      </c>
      <c r="C78" s="4">
        <v>45503</v>
      </c>
      <c r="D78" s="4">
        <v>18581</v>
      </c>
      <c r="E78" s="3">
        <v>75</v>
      </c>
      <c r="F78" s="3" t="s">
        <v>47</v>
      </c>
      <c r="G78" s="3" t="s">
        <v>48</v>
      </c>
      <c r="H78" s="3" t="s">
        <v>21</v>
      </c>
      <c r="I78" s="3" t="s">
        <v>44</v>
      </c>
      <c r="J78" s="3" t="s">
        <v>23</v>
      </c>
      <c r="K78" s="3" t="s">
        <v>65</v>
      </c>
      <c r="L78" s="6">
        <v>1005.57</v>
      </c>
      <c r="M78" s="6">
        <v>1822.78</v>
      </c>
      <c r="N78" s="6">
        <v>444.81</v>
      </c>
      <c r="O78" s="6">
        <v>2792.68</v>
      </c>
      <c r="P78" s="3" t="s">
        <v>31</v>
      </c>
      <c r="Q78" s="3" t="s">
        <v>1078</v>
      </c>
      <c r="R78" s="3" t="s">
        <v>54</v>
      </c>
      <c r="S78" s="3" t="s">
        <v>214</v>
      </c>
      <c r="T78" s="3">
        <v>7</v>
      </c>
      <c r="U78" s="3">
        <f>CAPSTONE_PROJECT[[#This Row],[Discharge Date]]-CAPSTONE_PROJECT[[#This Row],[Admission Date]]</f>
        <v>5</v>
      </c>
      <c r="V78" s="6">
        <f>SUM(CAPSTONE_PROJECT[[#This Row],[Room Cost]:[Treatment Cost]])</f>
        <v>6065.84</v>
      </c>
      <c r="W78" s="6">
        <f t="shared" si="1"/>
        <v>1213.1680000000001</v>
      </c>
      <c r="X78" s="3" t="str">
        <f>TEXT(CAPSTONE_PROJECT[[#This Row],[Admission Date]],"mmmm")</f>
        <v>July</v>
      </c>
      <c r="Y78" s="3" t="str">
        <f>TEXT(CAPSTONE_PROJECT[[#This Row],[Admission Date]],"yyyy")</f>
        <v>2024</v>
      </c>
      <c r="Z78" s="3" t="str">
        <f>TEXT(CAPSTONE_PROJECT[[#This Row],[Admission Date]],"mmm yyyy")</f>
        <v>Jul 2024</v>
      </c>
      <c r="AA78" s="3" t="str">
        <f>TEXT(CAPSTONE_PROJECT[[#This Row],[Admission Date]],"dddd")</f>
        <v>Thursday</v>
      </c>
      <c r="AB78" s="3" t="str">
        <f>IF(CAPSTONE_PROJECT[[#This Row],[Age]]&lt;=34,"Young Adults",IF(CAPSTONE_PROJECT[[#This Row],[Age]]&lt;=59,"Adults","Elders"))</f>
        <v>Elders</v>
      </c>
      <c r="AC78" s="3" t="str">
        <f>_xlfn.XLOOKUP(CAPSTONE_PROJECT[[#This Row],[Patient ID]],'Lookup table'!A:A,'Lookup table'!B:B,,0)</f>
        <v>Samuel U Wilson</v>
      </c>
      <c r="AD78" s="3" t="str">
        <f>_xlfn.XLOOKUP(CAPSTONE_PROJECT[[#This Row],[Patient ID]],'Lookup table'!A:A,'Lookup table'!C:C,,0)</f>
        <v>Male</v>
      </c>
      <c r="AE78" s="3" t="str">
        <f>IF(CAPSTONE_PROJECT[[#This Row],[Length of Stay]]&lt;=3,"Short Stay",IF(CAPSTONE_PROJECT[[#This Row],[Length of Stay]]&lt;=7,"Moderate Stay",IF(CAPSTONE_PROJECT[[#This Row],[Length of Stay]]&lt;=14,"Long Stay","Extended Stay")))</f>
        <v>Moderate Stay</v>
      </c>
    </row>
    <row r="79" spans="1:31" x14ac:dyDescent="0.3">
      <c r="A79" s="3" t="s">
        <v>215</v>
      </c>
      <c r="B79" s="4">
        <v>45789</v>
      </c>
      <c r="C79" s="4">
        <v>45808</v>
      </c>
      <c r="D79" s="4">
        <v>22483</v>
      </c>
      <c r="E79" s="3">
        <v>64</v>
      </c>
      <c r="F79" s="3" t="s">
        <v>18</v>
      </c>
      <c r="G79" s="3" t="s">
        <v>126</v>
      </c>
      <c r="H79" s="3" t="s">
        <v>21</v>
      </c>
      <c r="I79" s="3" t="s">
        <v>22</v>
      </c>
      <c r="J79" s="3" t="s">
        <v>30</v>
      </c>
      <c r="K79" s="3" t="s">
        <v>15</v>
      </c>
      <c r="L79" s="6">
        <v>1001.25</v>
      </c>
      <c r="M79" s="6">
        <v>492.72</v>
      </c>
      <c r="N79" s="6">
        <v>700.82</v>
      </c>
      <c r="O79" s="6">
        <v>15257.18</v>
      </c>
      <c r="P79" s="3" t="s">
        <v>1083</v>
      </c>
      <c r="Q79" s="3" t="s">
        <v>1085</v>
      </c>
      <c r="R79" s="3" t="s">
        <v>68</v>
      </c>
      <c r="S79" s="3" t="s">
        <v>216</v>
      </c>
      <c r="T79" s="3">
        <v>7</v>
      </c>
      <c r="U79" s="3">
        <f>CAPSTONE_PROJECT[[#This Row],[Discharge Date]]-CAPSTONE_PROJECT[[#This Row],[Admission Date]]</f>
        <v>19</v>
      </c>
      <c r="V79" s="6">
        <f>SUM(CAPSTONE_PROJECT[[#This Row],[Room Cost]:[Treatment Cost]])</f>
        <v>17451.97</v>
      </c>
      <c r="W79" s="6">
        <f t="shared" si="1"/>
        <v>918.52473684210531</v>
      </c>
      <c r="X79" s="3" t="str">
        <f>TEXT(CAPSTONE_PROJECT[[#This Row],[Admission Date]],"mmmm")</f>
        <v>May</v>
      </c>
      <c r="Y79" s="3" t="str">
        <f>TEXT(CAPSTONE_PROJECT[[#This Row],[Admission Date]],"yyyy")</f>
        <v>2025</v>
      </c>
      <c r="Z79" s="3" t="str">
        <f>TEXT(CAPSTONE_PROJECT[[#This Row],[Admission Date]],"mmm yyyy")</f>
        <v>May 2025</v>
      </c>
      <c r="AA79" s="3" t="str">
        <f>TEXT(CAPSTONE_PROJECT[[#This Row],[Admission Date]],"dddd")</f>
        <v>Monday</v>
      </c>
      <c r="AB79" s="3" t="str">
        <f>IF(CAPSTONE_PROJECT[[#This Row],[Age]]&lt;=34,"Young Adults",IF(CAPSTONE_PROJECT[[#This Row],[Age]]&lt;=59,"Adults","Elders"))</f>
        <v>Elders</v>
      </c>
      <c r="AC79" s="3" t="str">
        <f>_xlfn.XLOOKUP(CAPSTONE_PROJECT[[#This Row],[Patient ID]],'Lookup table'!A:A,'Lookup table'!B:B,,0)</f>
        <v>Ava Martin</v>
      </c>
      <c r="AD79" s="3" t="str">
        <f>_xlfn.XLOOKUP(CAPSTONE_PROJECT[[#This Row],[Patient ID]],'Lookup table'!A:A,'Lookup table'!C:C,,0)</f>
        <v>Female</v>
      </c>
      <c r="AE79" s="3" t="str">
        <f>IF(CAPSTONE_PROJECT[[#This Row],[Length of Stay]]&lt;=3,"Short Stay",IF(CAPSTONE_PROJECT[[#This Row],[Length of Stay]]&lt;=7,"Moderate Stay",IF(CAPSTONE_PROJECT[[#This Row],[Length of Stay]]&lt;=14,"Long Stay","Extended Stay")))</f>
        <v>Extended Stay</v>
      </c>
    </row>
    <row r="80" spans="1:31" x14ac:dyDescent="0.3">
      <c r="A80" s="3" t="s">
        <v>217</v>
      </c>
      <c r="B80" s="4">
        <v>45911</v>
      </c>
      <c r="C80" s="4">
        <v>45914</v>
      </c>
      <c r="D80" s="4">
        <v>22994</v>
      </c>
      <c r="E80" s="3">
        <v>63</v>
      </c>
      <c r="F80" s="3" t="s">
        <v>8</v>
      </c>
      <c r="G80" s="3" t="s">
        <v>48</v>
      </c>
      <c r="H80" s="3" t="s">
        <v>72</v>
      </c>
      <c r="I80" s="3" t="s">
        <v>44</v>
      </c>
      <c r="J80" s="3" t="s">
        <v>45</v>
      </c>
      <c r="K80" s="3" t="s">
        <v>65</v>
      </c>
      <c r="L80" s="6">
        <v>605.79999999999995</v>
      </c>
      <c r="M80" s="6">
        <v>1472.96</v>
      </c>
      <c r="N80" s="6">
        <v>2109.9499999999998</v>
      </c>
      <c r="O80" s="6">
        <v>4620.07</v>
      </c>
      <c r="P80" s="3" t="s">
        <v>16</v>
      </c>
      <c r="Q80" s="3" t="s">
        <v>1076</v>
      </c>
      <c r="R80" s="3" t="s">
        <v>35</v>
      </c>
      <c r="S80" s="3" t="s">
        <v>218</v>
      </c>
      <c r="T80" s="3">
        <v>6</v>
      </c>
      <c r="U80" s="3">
        <f>CAPSTONE_PROJECT[[#This Row],[Discharge Date]]-CAPSTONE_PROJECT[[#This Row],[Admission Date]]</f>
        <v>3</v>
      </c>
      <c r="V80" s="6">
        <f>SUM(CAPSTONE_PROJECT[[#This Row],[Room Cost]:[Treatment Cost]])</f>
        <v>8808.7799999999988</v>
      </c>
      <c r="W80" s="6">
        <f t="shared" si="1"/>
        <v>2936.2599999999998</v>
      </c>
      <c r="X80" s="3" t="str">
        <f>TEXT(CAPSTONE_PROJECT[[#This Row],[Admission Date]],"mmmm")</f>
        <v>September</v>
      </c>
      <c r="Y80" s="3" t="str">
        <f>TEXT(CAPSTONE_PROJECT[[#This Row],[Admission Date]],"yyyy")</f>
        <v>2025</v>
      </c>
      <c r="Z80" s="3" t="str">
        <f>TEXT(CAPSTONE_PROJECT[[#This Row],[Admission Date]],"mmm yyyy")</f>
        <v>Sep 2025</v>
      </c>
      <c r="AA80" s="3" t="str">
        <f>TEXT(CAPSTONE_PROJECT[[#This Row],[Admission Date]],"dddd")</f>
        <v>Thursday</v>
      </c>
      <c r="AB80" s="3" t="str">
        <f>IF(CAPSTONE_PROJECT[[#This Row],[Age]]&lt;=34,"Young Adults",IF(CAPSTONE_PROJECT[[#This Row],[Age]]&lt;=59,"Adults","Elders"))</f>
        <v>Elders</v>
      </c>
      <c r="AC80" s="3" t="str">
        <f>_xlfn.XLOOKUP(CAPSTONE_PROJECT[[#This Row],[Patient ID]],'Lookup table'!A:A,'Lookup table'!B:B,,0)</f>
        <v>David Y Evans</v>
      </c>
      <c r="AD80" s="3" t="str">
        <f>_xlfn.XLOOKUP(CAPSTONE_PROJECT[[#This Row],[Patient ID]],'Lookup table'!A:A,'Lookup table'!C:C,,0)</f>
        <v>Male</v>
      </c>
      <c r="AE80" s="3" t="str">
        <f>IF(CAPSTONE_PROJECT[[#This Row],[Length of Stay]]&lt;=3,"Short Stay",IF(CAPSTONE_PROJECT[[#This Row],[Length of Stay]]&lt;=7,"Moderate Stay",IF(CAPSTONE_PROJECT[[#This Row],[Length of Stay]]&lt;=14,"Long Stay","Extended Stay")))</f>
        <v>Short Stay</v>
      </c>
    </row>
    <row r="81" spans="1:31" x14ac:dyDescent="0.3">
      <c r="A81" s="3" t="s">
        <v>219</v>
      </c>
      <c r="B81" s="4">
        <v>45418</v>
      </c>
      <c r="C81" s="4">
        <v>45419</v>
      </c>
      <c r="D81" s="4">
        <v>28327</v>
      </c>
      <c r="E81" s="3">
        <v>48</v>
      </c>
      <c r="F81" s="3" t="s">
        <v>47</v>
      </c>
      <c r="G81" s="3" t="s">
        <v>67</v>
      </c>
      <c r="H81" s="3" t="s">
        <v>72</v>
      </c>
      <c r="I81" s="3" t="s">
        <v>44</v>
      </c>
      <c r="J81" s="3" t="s">
        <v>45</v>
      </c>
      <c r="K81" s="3" t="s">
        <v>50</v>
      </c>
      <c r="L81" s="6">
        <v>4306.01</v>
      </c>
      <c r="M81" s="6">
        <v>1666.36</v>
      </c>
      <c r="N81" s="6">
        <v>2051.69</v>
      </c>
      <c r="O81" s="6">
        <v>5559.59</v>
      </c>
      <c r="P81" s="3" t="s">
        <v>51</v>
      </c>
      <c r="Q81" s="3" t="s">
        <v>1076</v>
      </c>
      <c r="R81" s="3" t="s">
        <v>58</v>
      </c>
      <c r="S81" s="3" t="s">
        <v>220</v>
      </c>
      <c r="T81" s="3">
        <v>6</v>
      </c>
      <c r="U81" s="3">
        <f>CAPSTONE_PROJECT[[#This Row],[Discharge Date]]-CAPSTONE_PROJECT[[#This Row],[Admission Date]]</f>
        <v>1</v>
      </c>
      <c r="V81" s="6">
        <f>SUM(CAPSTONE_PROJECT[[#This Row],[Room Cost]:[Treatment Cost]])</f>
        <v>13583.65</v>
      </c>
      <c r="W81" s="6">
        <f t="shared" si="1"/>
        <v>13583.65</v>
      </c>
      <c r="X81" s="3" t="str">
        <f>TEXT(CAPSTONE_PROJECT[[#This Row],[Admission Date]],"mmmm")</f>
        <v>May</v>
      </c>
      <c r="Y81" s="3" t="str">
        <f>TEXT(CAPSTONE_PROJECT[[#This Row],[Admission Date]],"yyyy")</f>
        <v>2024</v>
      </c>
      <c r="Z81" s="3" t="str">
        <f>TEXT(CAPSTONE_PROJECT[[#This Row],[Admission Date]],"mmm yyyy")</f>
        <v>May 2024</v>
      </c>
      <c r="AA81" s="3" t="str">
        <f>TEXT(CAPSTONE_PROJECT[[#This Row],[Admission Date]],"dddd")</f>
        <v>Monday</v>
      </c>
      <c r="AB81" s="3" t="str">
        <f>IF(CAPSTONE_PROJECT[[#This Row],[Age]]&lt;=34,"Young Adults",IF(CAPSTONE_PROJECT[[#This Row],[Age]]&lt;=59,"Adults","Elders"))</f>
        <v>Adults</v>
      </c>
      <c r="AC81" s="3" t="str">
        <f>_xlfn.XLOOKUP(CAPSTONE_PROJECT[[#This Row],[Patient ID]],'Lookup table'!A:A,'Lookup table'!B:B,,0)</f>
        <v>Sophia Brown</v>
      </c>
      <c r="AD81" s="3" t="str">
        <f>_xlfn.XLOOKUP(CAPSTONE_PROJECT[[#This Row],[Patient ID]],'Lookup table'!A:A,'Lookup table'!C:C,,0)</f>
        <v>Female</v>
      </c>
      <c r="AE81" s="3" t="str">
        <f>IF(CAPSTONE_PROJECT[[#This Row],[Length of Stay]]&lt;=3,"Short Stay",IF(CAPSTONE_PROJECT[[#This Row],[Length of Stay]]&lt;=7,"Moderate Stay",IF(CAPSTONE_PROJECT[[#This Row],[Length of Stay]]&lt;=14,"Long Stay","Extended Stay")))</f>
        <v>Short Stay</v>
      </c>
    </row>
    <row r="82" spans="1:31" x14ac:dyDescent="0.3">
      <c r="A82" s="3" t="s">
        <v>221</v>
      </c>
      <c r="B82" s="4">
        <v>45469</v>
      </c>
      <c r="C82" s="4">
        <v>45489</v>
      </c>
      <c r="D82" s="4">
        <v>37701</v>
      </c>
      <c r="E82" s="3">
        <v>23</v>
      </c>
      <c r="F82" s="3" t="s">
        <v>8</v>
      </c>
      <c r="G82" s="3" t="s">
        <v>40</v>
      </c>
      <c r="H82" s="3" t="s">
        <v>43</v>
      </c>
      <c r="I82" s="3" t="s">
        <v>37</v>
      </c>
      <c r="J82" s="3" t="s">
        <v>73</v>
      </c>
      <c r="K82" s="3" t="s">
        <v>24</v>
      </c>
      <c r="L82" s="6">
        <v>2444.85</v>
      </c>
      <c r="M82" s="6">
        <v>265.08999999999997</v>
      </c>
      <c r="N82" s="6">
        <v>3065.7</v>
      </c>
      <c r="O82" s="6">
        <v>10345.34</v>
      </c>
      <c r="P82" s="3" t="s">
        <v>25</v>
      </c>
      <c r="Q82" s="3" t="s">
        <v>1079</v>
      </c>
      <c r="R82" s="3" t="s">
        <v>68</v>
      </c>
      <c r="S82" s="3" t="s">
        <v>222</v>
      </c>
      <c r="T82" s="3">
        <v>5</v>
      </c>
      <c r="U82" s="3">
        <f>CAPSTONE_PROJECT[[#This Row],[Discharge Date]]-CAPSTONE_PROJECT[[#This Row],[Admission Date]]</f>
        <v>20</v>
      </c>
      <c r="V82" s="6">
        <f>SUM(CAPSTONE_PROJECT[[#This Row],[Room Cost]:[Treatment Cost]])</f>
        <v>16120.98</v>
      </c>
      <c r="W82" s="6">
        <f t="shared" si="1"/>
        <v>806.04899999999998</v>
      </c>
      <c r="X82" s="3" t="str">
        <f>TEXT(CAPSTONE_PROJECT[[#This Row],[Admission Date]],"mmmm")</f>
        <v>June</v>
      </c>
      <c r="Y82" s="3" t="str">
        <f>TEXT(CAPSTONE_PROJECT[[#This Row],[Admission Date]],"yyyy")</f>
        <v>2024</v>
      </c>
      <c r="Z82" s="3" t="str">
        <f>TEXT(CAPSTONE_PROJECT[[#This Row],[Admission Date]],"mmm yyyy")</f>
        <v>Jun 2024</v>
      </c>
      <c r="AA82" s="3" t="str">
        <f>TEXT(CAPSTONE_PROJECT[[#This Row],[Admission Date]],"dddd")</f>
        <v>Wednesday</v>
      </c>
      <c r="AB82" s="3" t="str">
        <f>IF(CAPSTONE_PROJECT[[#This Row],[Age]]&lt;=34,"Young Adults",IF(CAPSTONE_PROJECT[[#This Row],[Age]]&lt;=59,"Adults","Elders"))</f>
        <v>Young Adults</v>
      </c>
      <c r="AC82" s="3" t="str">
        <f>_xlfn.XLOOKUP(CAPSTONE_PROJECT[[#This Row],[Patient ID]],'Lookup table'!A:A,'Lookup table'!B:B,,0)</f>
        <v>Benjamin Thompson</v>
      </c>
      <c r="AD82" s="3" t="str">
        <f>_xlfn.XLOOKUP(CAPSTONE_PROJECT[[#This Row],[Patient ID]],'Lookup table'!A:A,'Lookup table'!C:C,,0)</f>
        <v>Male</v>
      </c>
      <c r="AE82" s="3" t="str">
        <f>IF(CAPSTONE_PROJECT[[#This Row],[Length of Stay]]&lt;=3,"Short Stay",IF(CAPSTONE_PROJECT[[#This Row],[Length of Stay]]&lt;=7,"Moderate Stay",IF(CAPSTONE_PROJECT[[#This Row],[Length of Stay]]&lt;=14,"Long Stay","Extended Stay")))</f>
        <v>Extended Stay</v>
      </c>
    </row>
    <row r="83" spans="1:31" x14ac:dyDescent="0.3">
      <c r="A83" s="3" t="s">
        <v>223</v>
      </c>
      <c r="B83" s="4">
        <v>45575</v>
      </c>
      <c r="C83" s="4">
        <v>45584</v>
      </c>
      <c r="D83" s="4">
        <v>31226</v>
      </c>
      <c r="E83" s="3">
        <v>40</v>
      </c>
      <c r="F83" s="3" t="s">
        <v>47</v>
      </c>
      <c r="G83" s="3" t="s">
        <v>9</v>
      </c>
      <c r="H83" s="3" t="s">
        <v>12</v>
      </c>
      <c r="I83" s="3" t="s">
        <v>37</v>
      </c>
      <c r="J83" s="3" t="s">
        <v>45</v>
      </c>
      <c r="K83" s="3" t="s">
        <v>50</v>
      </c>
      <c r="L83" s="6">
        <v>4087.65</v>
      </c>
      <c r="M83" s="6">
        <v>1412.92</v>
      </c>
      <c r="N83" s="6">
        <v>362.54</v>
      </c>
      <c r="O83" s="6">
        <v>12278.64</v>
      </c>
      <c r="P83" s="3" t="s">
        <v>51</v>
      </c>
      <c r="Q83" s="3" t="s">
        <v>1081</v>
      </c>
      <c r="R83" s="3" t="s">
        <v>68</v>
      </c>
      <c r="S83" s="3" t="s">
        <v>224</v>
      </c>
      <c r="T83" s="3">
        <v>10</v>
      </c>
      <c r="U83" s="3">
        <f>CAPSTONE_PROJECT[[#This Row],[Discharge Date]]-CAPSTONE_PROJECT[[#This Row],[Admission Date]]</f>
        <v>9</v>
      </c>
      <c r="V83" s="6">
        <f>SUM(CAPSTONE_PROJECT[[#This Row],[Room Cost]:[Treatment Cost]])</f>
        <v>18141.75</v>
      </c>
      <c r="W83" s="6">
        <f t="shared" si="1"/>
        <v>2015.75</v>
      </c>
      <c r="X83" s="3" t="str">
        <f>TEXT(CAPSTONE_PROJECT[[#This Row],[Admission Date]],"mmmm")</f>
        <v>October</v>
      </c>
      <c r="Y83" s="3" t="str">
        <f>TEXT(CAPSTONE_PROJECT[[#This Row],[Admission Date]],"yyyy")</f>
        <v>2024</v>
      </c>
      <c r="Z83" s="3" t="str">
        <f>TEXT(CAPSTONE_PROJECT[[#This Row],[Admission Date]],"mmm yyyy")</f>
        <v>Oct 2024</v>
      </c>
      <c r="AA83" s="3" t="str">
        <f>TEXT(CAPSTONE_PROJECT[[#This Row],[Admission Date]],"dddd")</f>
        <v>Thursday</v>
      </c>
      <c r="AB83" s="3" t="str">
        <f>IF(CAPSTONE_PROJECT[[#This Row],[Age]]&lt;=34,"Young Adults",IF(CAPSTONE_PROJECT[[#This Row],[Age]]&lt;=59,"Adults","Elders"))</f>
        <v>Adults</v>
      </c>
      <c r="AC83" s="3" t="str">
        <f>_xlfn.XLOOKUP(CAPSTONE_PROJECT[[#This Row],[Patient ID]],'Lookup table'!A:A,'Lookup table'!B:B,,0)</f>
        <v>Mia Brown</v>
      </c>
      <c r="AD83" s="3" t="str">
        <f>_xlfn.XLOOKUP(CAPSTONE_PROJECT[[#This Row],[Patient ID]],'Lookup table'!A:A,'Lookup table'!C:C,,0)</f>
        <v>Female</v>
      </c>
      <c r="AE83" s="3" t="str">
        <f>IF(CAPSTONE_PROJECT[[#This Row],[Length of Stay]]&lt;=3,"Short Stay",IF(CAPSTONE_PROJECT[[#This Row],[Length of Stay]]&lt;=7,"Moderate Stay",IF(CAPSTONE_PROJECT[[#This Row],[Length of Stay]]&lt;=14,"Long Stay","Extended Stay")))</f>
        <v>Long Stay</v>
      </c>
    </row>
    <row r="84" spans="1:31" x14ac:dyDescent="0.3">
      <c r="A84" s="3" t="s">
        <v>225</v>
      </c>
      <c r="B84" s="4">
        <v>45477</v>
      </c>
      <c r="C84" s="4">
        <v>45487</v>
      </c>
      <c r="D84" s="4">
        <v>36117</v>
      </c>
      <c r="E84" s="3">
        <v>27</v>
      </c>
      <c r="F84" s="3" t="s">
        <v>33</v>
      </c>
      <c r="G84" s="3" t="s">
        <v>34</v>
      </c>
      <c r="H84" s="3" t="s">
        <v>100</v>
      </c>
      <c r="I84" s="3" t="s">
        <v>13</v>
      </c>
      <c r="J84" s="3" t="s">
        <v>73</v>
      </c>
      <c r="K84" s="3" t="s">
        <v>65</v>
      </c>
      <c r="L84" s="6">
        <v>4210.9799999999996</v>
      </c>
      <c r="M84" s="6">
        <v>1433.08</v>
      </c>
      <c r="N84" s="6">
        <v>2923.96</v>
      </c>
      <c r="O84" s="6">
        <v>9125.43</v>
      </c>
      <c r="P84" s="3" t="s">
        <v>51</v>
      </c>
      <c r="Q84" s="3" t="s">
        <v>1078</v>
      </c>
      <c r="R84" s="3" t="s">
        <v>75</v>
      </c>
      <c r="S84" s="3" t="s">
        <v>226</v>
      </c>
      <c r="T84" s="3">
        <v>2</v>
      </c>
      <c r="U84" s="3">
        <f>CAPSTONE_PROJECT[[#This Row],[Discharge Date]]-CAPSTONE_PROJECT[[#This Row],[Admission Date]]</f>
        <v>10</v>
      </c>
      <c r="V84" s="6">
        <f>SUM(CAPSTONE_PROJECT[[#This Row],[Room Cost]:[Treatment Cost]])</f>
        <v>17693.45</v>
      </c>
      <c r="W84" s="6">
        <f t="shared" si="1"/>
        <v>1769.345</v>
      </c>
      <c r="X84" s="3" t="str">
        <f>TEXT(CAPSTONE_PROJECT[[#This Row],[Admission Date]],"mmmm")</f>
        <v>July</v>
      </c>
      <c r="Y84" s="3" t="str">
        <f>TEXT(CAPSTONE_PROJECT[[#This Row],[Admission Date]],"yyyy")</f>
        <v>2024</v>
      </c>
      <c r="Z84" s="3" t="str">
        <f>TEXT(CAPSTONE_PROJECT[[#This Row],[Admission Date]],"mmm yyyy")</f>
        <v>Jul 2024</v>
      </c>
      <c r="AA84" s="3" t="str">
        <f>TEXT(CAPSTONE_PROJECT[[#This Row],[Admission Date]],"dddd")</f>
        <v>Thursday</v>
      </c>
      <c r="AB84" s="3" t="str">
        <f>IF(CAPSTONE_PROJECT[[#This Row],[Age]]&lt;=34,"Young Adults",IF(CAPSTONE_PROJECT[[#This Row],[Age]]&lt;=59,"Adults","Elders"))</f>
        <v>Young Adults</v>
      </c>
      <c r="AC84" s="3" t="str">
        <f>_xlfn.XLOOKUP(CAPSTONE_PROJECT[[#This Row],[Patient ID]],'Lookup table'!A:A,'Lookup table'!B:B,,0)</f>
        <v>Michael Evans</v>
      </c>
      <c r="AD84" s="3" t="str">
        <f>_xlfn.XLOOKUP(CAPSTONE_PROJECT[[#This Row],[Patient ID]],'Lookup table'!A:A,'Lookup table'!C:C,,0)</f>
        <v>Male</v>
      </c>
      <c r="AE84" s="3" t="str">
        <f>IF(CAPSTONE_PROJECT[[#This Row],[Length of Stay]]&lt;=3,"Short Stay",IF(CAPSTONE_PROJECT[[#This Row],[Length of Stay]]&lt;=7,"Moderate Stay",IF(CAPSTONE_PROJECT[[#This Row],[Length of Stay]]&lt;=14,"Long Stay","Extended Stay")))</f>
        <v>Long Stay</v>
      </c>
    </row>
    <row r="85" spans="1:31" x14ac:dyDescent="0.3">
      <c r="A85" s="3" t="s">
        <v>227</v>
      </c>
      <c r="B85" s="4">
        <v>45497</v>
      </c>
      <c r="C85" s="4">
        <v>45508</v>
      </c>
      <c r="D85" s="4">
        <v>17597</v>
      </c>
      <c r="E85" s="3">
        <v>78</v>
      </c>
      <c r="F85" s="3" t="s">
        <v>18</v>
      </c>
      <c r="G85" s="3" t="s">
        <v>34</v>
      </c>
      <c r="H85" s="3" t="s">
        <v>111</v>
      </c>
      <c r="I85" s="3" t="s">
        <v>44</v>
      </c>
      <c r="J85" s="3" t="s">
        <v>23</v>
      </c>
      <c r="K85" s="3" t="s">
        <v>65</v>
      </c>
      <c r="L85" s="6">
        <v>3657.34</v>
      </c>
      <c r="M85" s="6">
        <v>2019.87</v>
      </c>
      <c r="N85" s="6">
        <v>667.64</v>
      </c>
      <c r="O85" s="6">
        <v>3234.48</v>
      </c>
      <c r="P85" s="3" t="s">
        <v>16</v>
      </c>
      <c r="Q85" s="3" t="s">
        <v>1082</v>
      </c>
      <c r="R85" s="3" t="s">
        <v>58</v>
      </c>
      <c r="S85" s="3" t="s">
        <v>228</v>
      </c>
      <c r="T85" s="3">
        <v>3</v>
      </c>
      <c r="U85" s="3">
        <f>CAPSTONE_PROJECT[[#This Row],[Discharge Date]]-CAPSTONE_PROJECT[[#This Row],[Admission Date]]</f>
        <v>11</v>
      </c>
      <c r="V85" s="6">
        <f>SUM(CAPSTONE_PROJECT[[#This Row],[Room Cost]:[Treatment Cost]])</f>
        <v>9579.33</v>
      </c>
      <c r="W85" s="6">
        <f t="shared" si="1"/>
        <v>870.84818181818184</v>
      </c>
      <c r="X85" s="3" t="str">
        <f>TEXT(CAPSTONE_PROJECT[[#This Row],[Admission Date]],"mmmm")</f>
        <v>July</v>
      </c>
      <c r="Y85" s="3" t="str">
        <f>TEXT(CAPSTONE_PROJECT[[#This Row],[Admission Date]],"yyyy")</f>
        <v>2024</v>
      </c>
      <c r="Z85" s="3" t="str">
        <f>TEXT(CAPSTONE_PROJECT[[#This Row],[Admission Date]],"mmm yyyy")</f>
        <v>Jul 2024</v>
      </c>
      <c r="AA85" s="3" t="str">
        <f>TEXT(CAPSTONE_PROJECT[[#This Row],[Admission Date]],"dddd")</f>
        <v>Wednesday</v>
      </c>
      <c r="AB85" s="3" t="str">
        <f>IF(CAPSTONE_PROJECT[[#This Row],[Age]]&lt;=34,"Young Adults",IF(CAPSTONE_PROJECT[[#This Row],[Age]]&lt;=59,"Adults","Elders"))</f>
        <v>Elders</v>
      </c>
      <c r="AC85" s="3" t="str">
        <f>_xlfn.XLOOKUP(CAPSTONE_PROJECT[[#This Row],[Patient ID]],'Lookup table'!A:A,'Lookup table'!B:B,,0)</f>
        <v>Freya Robinson</v>
      </c>
      <c r="AD85" s="3" t="str">
        <f>_xlfn.XLOOKUP(CAPSTONE_PROJECT[[#This Row],[Patient ID]],'Lookup table'!A:A,'Lookup table'!C:C,,0)</f>
        <v>Female</v>
      </c>
      <c r="AE85" s="3" t="str">
        <f>IF(CAPSTONE_PROJECT[[#This Row],[Length of Stay]]&lt;=3,"Short Stay",IF(CAPSTONE_PROJECT[[#This Row],[Length of Stay]]&lt;=7,"Moderate Stay",IF(CAPSTONE_PROJECT[[#This Row],[Length of Stay]]&lt;=14,"Long Stay","Extended Stay")))</f>
        <v>Long Stay</v>
      </c>
    </row>
    <row r="86" spans="1:31" x14ac:dyDescent="0.3">
      <c r="A86" s="3" t="s">
        <v>229</v>
      </c>
      <c r="B86" s="4">
        <v>45674</v>
      </c>
      <c r="C86" s="4">
        <v>45675</v>
      </c>
      <c r="D86" s="4">
        <v>28969</v>
      </c>
      <c r="E86" s="3">
        <v>47</v>
      </c>
      <c r="F86" s="3" t="s">
        <v>47</v>
      </c>
      <c r="G86" s="3" t="s">
        <v>53</v>
      </c>
      <c r="H86" s="3" t="s">
        <v>29</v>
      </c>
      <c r="I86" s="3" t="s">
        <v>22</v>
      </c>
      <c r="J86" s="3" t="s">
        <v>30</v>
      </c>
      <c r="K86" s="3" t="s">
        <v>24</v>
      </c>
      <c r="L86" s="6">
        <v>1230.27</v>
      </c>
      <c r="M86" s="6">
        <v>1890.51</v>
      </c>
      <c r="N86" s="6">
        <v>2821.41</v>
      </c>
      <c r="O86" s="6">
        <v>8492.9699999999993</v>
      </c>
      <c r="P86" s="3" t="s">
        <v>31</v>
      </c>
      <c r="Q86" s="3" t="s">
        <v>1082</v>
      </c>
      <c r="R86" s="3" t="s">
        <v>35</v>
      </c>
      <c r="S86" s="3" t="s">
        <v>230</v>
      </c>
      <c r="T86" s="3">
        <v>4</v>
      </c>
      <c r="U86" s="3">
        <f>CAPSTONE_PROJECT[[#This Row],[Discharge Date]]-CAPSTONE_PROJECT[[#This Row],[Admission Date]]</f>
        <v>1</v>
      </c>
      <c r="V86" s="6">
        <f>SUM(CAPSTONE_PROJECT[[#This Row],[Room Cost]:[Treatment Cost]])</f>
        <v>14435.16</v>
      </c>
      <c r="W86" s="6">
        <f t="shared" si="1"/>
        <v>14435.16</v>
      </c>
      <c r="X86" s="3" t="str">
        <f>TEXT(CAPSTONE_PROJECT[[#This Row],[Admission Date]],"mmmm")</f>
        <v>January</v>
      </c>
      <c r="Y86" s="3" t="str">
        <f>TEXT(CAPSTONE_PROJECT[[#This Row],[Admission Date]],"yyyy")</f>
        <v>2025</v>
      </c>
      <c r="Z86" s="3" t="str">
        <f>TEXT(CAPSTONE_PROJECT[[#This Row],[Admission Date]],"mmm yyyy")</f>
        <v>Jan 2025</v>
      </c>
      <c r="AA86" s="3" t="str">
        <f>TEXT(CAPSTONE_PROJECT[[#This Row],[Admission Date]],"dddd")</f>
        <v>Friday</v>
      </c>
      <c r="AB86" s="3" t="str">
        <f>IF(CAPSTONE_PROJECT[[#This Row],[Age]]&lt;=34,"Young Adults",IF(CAPSTONE_PROJECT[[#This Row],[Age]]&lt;=59,"Adults","Elders"))</f>
        <v>Adults</v>
      </c>
      <c r="AC86" s="3" t="str">
        <f>_xlfn.XLOOKUP(CAPSTONE_PROJECT[[#This Row],[Patient ID]],'Lookup table'!A:A,'Lookup table'!B:B,,0)</f>
        <v>James Smith</v>
      </c>
      <c r="AD86" s="3" t="str">
        <f>_xlfn.XLOOKUP(CAPSTONE_PROJECT[[#This Row],[Patient ID]],'Lookup table'!A:A,'Lookup table'!C:C,,0)</f>
        <v>Male</v>
      </c>
      <c r="AE86" s="3" t="str">
        <f>IF(CAPSTONE_PROJECT[[#This Row],[Length of Stay]]&lt;=3,"Short Stay",IF(CAPSTONE_PROJECT[[#This Row],[Length of Stay]]&lt;=7,"Moderate Stay",IF(CAPSTONE_PROJECT[[#This Row],[Length of Stay]]&lt;=14,"Long Stay","Extended Stay")))</f>
        <v>Short Stay</v>
      </c>
    </row>
    <row r="87" spans="1:31" x14ac:dyDescent="0.3">
      <c r="A87" s="3" t="s">
        <v>231</v>
      </c>
      <c r="B87" s="4">
        <v>45525</v>
      </c>
      <c r="C87" s="4">
        <v>45533</v>
      </c>
      <c r="D87" s="4">
        <v>38534</v>
      </c>
      <c r="E87" s="3">
        <v>20</v>
      </c>
      <c r="F87" s="3" t="s">
        <v>47</v>
      </c>
      <c r="G87" s="3" t="s">
        <v>61</v>
      </c>
      <c r="H87" s="3" t="s">
        <v>114</v>
      </c>
      <c r="I87" s="3" t="s">
        <v>37</v>
      </c>
      <c r="J87" s="3" t="s">
        <v>15</v>
      </c>
      <c r="K87" s="3" t="s">
        <v>15</v>
      </c>
      <c r="L87" s="6">
        <v>4056.19</v>
      </c>
      <c r="M87" s="6">
        <v>474.76</v>
      </c>
      <c r="N87" s="6">
        <v>590.66</v>
      </c>
      <c r="O87" s="6">
        <v>3071.28</v>
      </c>
      <c r="P87" s="3" t="s">
        <v>51</v>
      </c>
      <c r="Q87" s="3" t="s">
        <v>1082</v>
      </c>
      <c r="R87" s="3" t="s">
        <v>58</v>
      </c>
      <c r="S87" s="3" t="s">
        <v>232</v>
      </c>
      <c r="T87" s="3">
        <v>1</v>
      </c>
      <c r="U87" s="3">
        <f>CAPSTONE_PROJECT[[#This Row],[Discharge Date]]-CAPSTONE_PROJECT[[#This Row],[Admission Date]]</f>
        <v>8</v>
      </c>
      <c r="V87" s="6">
        <f>SUM(CAPSTONE_PROJECT[[#This Row],[Room Cost]:[Treatment Cost]])</f>
        <v>8192.89</v>
      </c>
      <c r="W87" s="6">
        <f t="shared" si="1"/>
        <v>1024.1112499999999</v>
      </c>
      <c r="X87" s="3" t="str">
        <f>TEXT(CAPSTONE_PROJECT[[#This Row],[Admission Date]],"mmmm")</f>
        <v>August</v>
      </c>
      <c r="Y87" s="3" t="str">
        <f>TEXT(CAPSTONE_PROJECT[[#This Row],[Admission Date]],"yyyy")</f>
        <v>2024</v>
      </c>
      <c r="Z87" s="3" t="str">
        <f>TEXT(CAPSTONE_PROJECT[[#This Row],[Admission Date]],"mmm yyyy")</f>
        <v>Aug 2024</v>
      </c>
      <c r="AA87" s="3" t="str">
        <f>TEXT(CAPSTONE_PROJECT[[#This Row],[Admission Date]],"dddd")</f>
        <v>Wednesday</v>
      </c>
      <c r="AB87" s="3" t="str">
        <f>IF(CAPSTONE_PROJECT[[#This Row],[Age]]&lt;=34,"Young Adults",IF(CAPSTONE_PROJECT[[#This Row],[Age]]&lt;=59,"Adults","Elders"))</f>
        <v>Young Adults</v>
      </c>
      <c r="AC87" s="3" t="str">
        <f>_xlfn.XLOOKUP(CAPSTONE_PROJECT[[#This Row],[Patient ID]],'Lookup table'!A:A,'Lookup table'!B:B,,0)</f>
        <v>Olivia Taylor</v>
      </c>
      <c r="AD87" s="3" t="str">
        <f>_xlfn.XLOOKUP(CAPSTONE_PROJECT[[#This Row],[Patient ID]],'Lookup table'!A:A,'Lookup table'!C:C,,0)</f>
        <v>Female</v>
      </c>
      <c r="AE87" s="3" t="str">
        <f>IF(CAPSTONE_PROJECT[[#This Row],[Length of Stay]]&lt;=3,"Short Stay",IF(CAPSTONE_PROJECT[[#This Row],[Length of Stay]]&lt;=7,"Moderate Stay",IF(CAPSTONE_PROJECT[[#This Row],[Length of Stay]]&lt;=14,"Long Stay","Extended Stay")))</f>
        <v>Long Stay</v>
      </c>
    </row>
    <row r="88" spans="1:31" x14ac:dyDescent="0.3">
      <c r="A88" s="3" t="s">
        <v>233</v>
      </c>
      <c r="B88" s="4">
        <v>45970</v>
      </c>
      <c r="C88" s="4">
        <v>45987</v>
      </c>
      <c r="D88" s="4">
        <v>26241</v>
      </c>
      <c r="E88" s="3">
        <v>54</v>
      </c>
      <c r="F88" s="3" t="s">
        <v>18</v>
      </c>
      <c r="G88" s="3" t="s">
        <v>61</v>
      </c>
      <c r="H88" s="3" t="s">
        <v>12</v>
      </c>
      <c r="I88" s="3" t="s">
        <v>13</v>
      </c>
      <c r="J88" s="3" t="s">
        <v>30</v>
      </c>
      <c r="K88" s="3" t="s">
        <v>65</v>
      </c>
      <c r="L88" s="6">
        <v>1869.82</v>
      </c>
      <c r="M88" s="6">
        <v>1020.53</v>
      </c>
      <c r="N88" s="6">
        <v>530.16</v>
      </c>
      <c r="O88" s="6">
        <v>9976.35</v>
      </c>
      <c r="P88" s="3" t="s">
        <v>16</v>
      </c>
      <c r="Q88" s="3" t="s">
        <v>1086</v>
      </c>
      <c r="R88" s="3" t="s">
        <v>102</v>
      </c>
      <c r="S88" s="3" t="s">
        <v>234</v>
      </c>
      <c r="T88" s="3">
        <v>10</v>
      </c>
      <c r="U88" s="3">
        <f>CAPSTONE_PROJECT[[#This Row],[Discharge Date]]-CAPSTONE_PROJECT[[#This Row],[Admission Date]]</f>
        <v>17</v>
      </c>
      <c r="V88" s="6">
        <f>SUM(CAPSTONE_PROJECT[[#This Row],[Room Cost]:[Treatment Cost]])</f>
        <v>13396.86</v>
      </c>
      <c r="W88" s="6">
        <f t="shared" si="1"/>
        <v>788.05058823529419</v>
      </c>
      <c r="X88" s="3" t="str">
        <f>TEXT(CAPSTONE_PROJECT[[#This Row],[Admission Date]],"mmmm")</f>
        <v>November</v>
      </c>
      <c r="Y88" s="3" t="str">
        <f>TEXT(CAPSTONE_PROJECT[[#This Row],[Admission Date]],"yyyy")</f>
        <v>2025</v>
      </c>
      <c r="Z88" s="3" t="str">
        <f>TEXT(CAPSTONE_PROJECT[[#This Row],[Admission Date]],"mmm yyyy")</f>
        <v>Nov 2025</v>
      </c>
      <c r="AA88" s="3" t="str">
        <f>TEXT(CAPSTONE_PROJECT[[#This Row],[Admission Date]],"dddd")</f>
        <v>Sunday</v>
      </c>
      <c r="AB88" s="3" t="str">
        <f>IF(CAPSTONE_PROJECT[[#This Row],[Age]]&lt;=34,"Young Adults",IF(CAPSTONE_PROJECT[[#This Row],[Age]]&lt;=59,"Adults","Elders"))</f>
        <v>Adults</v>
      </c>
      <c r="AC88" s="3" t="str">
        <f>_xlfn.XLOOKUP(CAPSTONE_PROJECT[[#This Row],[Patient ID]],'Lookup table'!A:A,'Lookup table'!B:B,,0)</f>
        <v>Michael Clarke</v>
      </c>
      <c r="AD88" s="3" t="str">
        <f>_xlfn.XLOOKUP(CAPSTONE_PROJECT[[#This Row],[Patient ID]],'Lookup table'!A:A,'Lookup table'!C:C,,0)</f>
        <v>Male</v>
      </c>
      <c r="AE88" s="3" t="str">
        <f>IF(CAPSTONE_PROJECT[[#This Row],[Length of Stay]]&lt;=3,"Short Stay",IF(CAPSTONE_PROJECT[[#This Row],[Length of Stay]]&lt;=7,"Moderate Stay",IF(CAPSTONE_PROJECT[[#This Row],[Length of Stay]]&lt;=14,"Long Stay","Extended Stay")))</f>
        <v>Extended Stay</v>
      </c>
    </row>
    <row r="89" spans="1:31" x14ac:dyDescent="0.3">
      <c r="A89" s="3" t="s">
        <v>235</v>
      </c>
      <c r="B89" s="4">
        <v>45879</v>
      </c>
      <c r="C89" s="4">
        <v>45895</v>
      </c>
      <c r="D89" s="4">
        <v>31812</v>
      </c>
      <c r="E89" s="3">
        <v>39</v>
      </c>
      <c r="F89" s="3" t="s">
        <v>47</v>
      </c>
      <c r="G89" s="3" t="s">
        <v>27</v>
      </c>
      <c r="H89" s="3" t="s">
        <v>114</v>
      </c>
      <c r="I89" s="3" t="s">
        <v>22</v>
      </c>
      <c r="J89" s="3" t="s">
        <v>15</v>
      </c>
      <c r="K89" s="3" t="s">
        <v>65</v>
      </c>
      <c r="L89" s="6">
        <v>475.97</v>
      </c>
      <c r="M89" s="6">
        <v>336.17</v>
      </c>
      <c r="N89" s="6">
        <v>554.48</v>
      </c>
      <c r="O89" s="6">
        <v>15204.2</v>
      </c>
      <c r="P89" s="3" t="s">
        <v>31</v>
      </c>
      <c r="Q89" s="3" t="s">
        <v>1077</v>
      </c>
      <c r="R89" s="3" t="s">
        <v>41</v>
      </c>
      <c r="S89" s="3" t="s">
        <v>236</v>
      </c>
      <c r="T89" s="3">
        <v>4</v>
      </c>
      <c r="U89" s="3">
        <f>CAPSTONE_PROJECT[[#This Row],[Discharge Date]]-CAPSTONE_PROJECT[[#This Row],[Admission Date]]</f>
        <v>16</v>
      </c>
      <c r="V89" s="6">
        <f>SUM(CAPSTONE_PROJECT[[#This Row],[Room Cost]:[Treatment Cost]])</f>
        <v>16570.82</v>
      </c>
      <c r="W89" s="6">
        <f t="shared" si="1"/>
        <v>1035.67625</v>
      </c>
      <c r="X89" s="3" t="str">
        <f>TEXT(CAPSTONE_PROJECT[[#This Row],[Admission Date]],"mmmm")</f>
        <v>August</v>
      </c>
      <c r="Y89" s="3" t="str">
        <f>TEXT(CAPSTONE_PROJECT[[#This Row],[Admission Date]],"yyyy")</f>
        <v>2025</v>
      </c>
      <c r="Z89" s="3" t="str">
        <f>TEXT(CAPSTONE_PROJECT[[#This Row],[Admission Date]],"mmm yyyy")</f>
        <v>Aug 2025</v>
      </c>
      <c r="AA89" s="3" t="str">
        <f>TEXT(CAPSTONE_PROJECT[[#This Row],[Admission Date]],"dddd")</f>
        <v>Sunday</v>
      </c>
      <c r="AB89" s="3" t="str">
        <f>IF(CAPSTONE_PROJECT[[#This Row],[Age]]&lt;=34,"Young Adults",IF(CAPSTONE_PROJECT[[#This Row],[Age]]&lt;=59,"Adults","Elders"))</f>
        <v>Adults</v>
      </c>
      <c r="AC89" s="3" t="str">
        <f>_xlfn.XLOOKUP(CAPSTONE_PROJECT[[#This Row],[Patient ID]],'Lookup table'!A:A,'Lookup table'!B:B,,0)</f>
        <v>Chloe Taylor</v>
      </c>
      <c r="AD89" s="3" t="str">
        <f>_xlfn.XLOOKUP(CAPSTONE_PROJECT[[#This Row],[Patient ID]],'Lookup table'!A:A,'Lookup table'!C:C,,0)</f>
        <v>Female</v>
      </c>
      <c r="AE89" s="3" t="str">
        <f>IF(CAPSTONE_PROJECT[[#This Row],[Length of Stay]]&lt;=3,"Short Stay",IF(CAPSTONE_PROJECT[[#This Row],[Length of Stay]]&lt;=7,"Moderate Stay",IF(CAPSTONE_PROJECT[[#This Row],[Length of Stay]]&lt;=14,"Long Stay","Extended Stay")))</f>
        <v>Extended Stay</v>
      </c>
    </row>
    <row r="90" spans="1:31" x14ac:dyDescent="0.3">
      <c r="A90" s="3" t="s">
        <v>237</v>
      </c>
      <c r="B90" s="4">
        <v>45566</v>
      </c>
      <c r="C90" s="4">
        <v>45569</v>
      </c>
      <c r="D90" s="4">
        <v>24704</v>
      </c>
      <c r="E90" s="3">
        <v>58</v>
      </c>
      <c r="F90" s="3" t="s">
        <v>33</v>
      </c>
      <c r="G90" s="3" t="s">
        <v>9</v>
      </c>
      <c r="H90" s="3" t="s">
        <v>29</v>
      </c>
      <c r="I90" s="3" t="s">
        <v>13</v>
      </c>
      <c r="J90" s="3" t="s">
        <v>38</v>
      </c>
      <c r="K90" s="3" t="s">
        <v>15</v>
      </c>
      <c r="L90" s="6">
        <v>3098.14</v>
      </c>
      <c r="M90" s="6">
        <v>1820.22</v>
      </c>
      <c r="N90" s="6">
        <v>1785.23</v>
      </c>
      <c r="O90" s="6">
        <v>4080.32</v>
      </c>
      <c r="P90" s="3" t="s">
        <v>16</v>
      </c>
      <c r="Q90" s="3" t="s">
        <v>1078</v>
      </c>
      <c r="R90" s="3" t="s">
        <v>41</v>
      </c>
      <c r="S90" s="3" t="s">
        <v>238</v>
      </c>
      <c r="T90" s="3">
        <v>5</v>
      </c>
      <c r="U90" s="3">
        <f>CAPSTONE_PROJECT[[#This Row],[Discharge Date]]-CAPSTONE_PROJECT[[#This Row],[Admission Date]]</f>
        <v>3</v>
      </c>
      <c r="V90" s="6">
        <f>SUM(CAPSTONE_PROJECT[[#This Row],[Room Cost]:[Treatment Cost]])</f>
        <v>10783.91</v>
      </c>
      <c r="W90" s="6">
        <f t="shared" si="1"/>
        <v>3594.6366666666668</v>
      </c>
      <c r="X90" s="3" t="str">
        <f>TEXT(CAPSTONE_PROJECT[[#This Row],[Admission Date]],"mmmm")</f>
        <v>October</v>
      </c>
      <c r="Y90" s="3" t="str">
        <f>TEXT(CAPSTONE_PROJECT[[#This Row],[Admission Date]],"yyyy")</f>
        <v>2024</v>
      </c>
      <c r="Z90" s="3" t="str">
        <f>TEXT(CAPSTONE_PROJECT[[#This Row],[Admission Date]],"mmm yyyy")</f>
        <v>Oct 2024</v>
      </c>
      <c r="AA90" s="3" t="str">
        <f>TEXT(CAPSTONE_PROJECT[[#This Row],[Admission Date]],"dddd")</f>
        <v>Tuesday</v>
      </c>
      <c r="AB90" s="3" t="str">
        <f>IF(CAPSTONE_PROJECT[[#This Row],[Age]]&lt;=34,"Young Adults",IF(CAPSTONE_PROJECT[[#This Row],[Age]]&lt;=59,"Adults","Elders"))</f>
        <v>Adults</v>
      </c>
      <c r="AC90" s="3" t="str">
        <f>_xlfn.XLOOKUP(CAPSTONE_PROJECT[[#This Row],[Patient ID]],'Lookup table'!A:A,'Lookup table'!B:B,,0)</f>
        <v>Henry Thomas</v>
      </c>
      <c r="AD90" s="3" t="str">
        <f>_xlfn.XLOOKUP(CAPSTONE_PROJECT[[#This Row],[Patient ID]],'Lookup table'!A:A,'Lookup table'!C:C,,0)</f>
        <v>Male</v>
      </c>
      <c r="AE90" s="3" t="str">
        <f>IF(CAPSTONE_PROJECT[[#This Row],[Length of Stay]]&lt;=3,"Short Stay",IF(CAPSTONE_PROJECT[[#This Row],[Length of Stay]]&lt;=7,"Moderate Stay",IF(CAPSTONE_PROJECT[[#This Row],[Length of Stay]]&lt;=14,"Long Stay","Extended Stay")))</f>
        <v>Short Stay</v>
      </c>
    </row>
    <row r="91" spans="1:31" x14ac:dyDescent="0.3">
      <c r="A91" s="3" t="s">
        <v>239</v>
      </c>
      <c r="B91" s="4">
        <v>45713</v>
      </c>
      <c r="C91" s="4">
        <v>45728</v>
      </c>
      <c r="D91" s="4">
        <v>37837</v>
      </c>
      <c r="E91" s="3">
        <v>22</v>
      </c>
      <c r="F91" s="3" t="s">
        <v>8</v>
      </c>
      <c r="G91" s="3" t="s">
        <v>57</v>
      </c>
      <c r="H91" s="3" t="s">
        <v>43</v>
      </c>
      <c r="I91" s="3" t="s">
        <v>44</v>
      </c>
      <c r="J91" s="3" t="s">
        <v>38</v>
      </c>
      <c r="K91" s="3" t="s">
        <v>15</v>
      </c>
      <c r="L91" s="6">
        <v>4762.21</v>
      </c>
      <c r="M91" s="6">
        <v>1277.73</v>
      </c>
      <c r="N91" s="6">
        <v>170.46</v>
      </c>
      <c r="O91" s="6">
        <v>3774.03</v>
      </c>
      <c r="P91" s="3" t="s">
        <v>25</v>
      </c>
      <c r="Q91" s="3" t="s">
        <v>1081</v>
      </c>
      <c r="R91" s="3" t="s">
        <v>35</v>
      </c>
      <c r="S91" s="3" t="s">
        <v>240</v>
      </c>
      <c r="T91" s="3">
        <v>9</v>
      </c>
      <c r="U91" s="3">
        <f>CAPSTONE_PROJECT[[#This Row],[Discharge Date]]-CAPSTONE_PROJECT[[#This Row],[Admission Date]]</f>
        <v>15</v>
      </c>
      <c r="V91" s="6">
        <f>SUM(CAPSTONE_PROJECT[[#This Row],[Room Cost]:[Treatment Cost]])</f>
        <v>9984.43</v>
      </c>
      <c r="W91" s="6">
        <f t="shared" si="1"/>
        <v>665.62866666666673</v>
      </c>
      <c r="X91" s="3" t="str">
        <f>TEXT(CAPSTONE_PROJECT[[#This Row],[Admission Date]],"mmmm")</f>
        <v>February</v>
      </c>
      <c r="Y91" s="3" t="str">
        <f>TEXT(CAPSTONE_PROJECT[[#This Row],[Admission Date]],"yyyy")</f>
        <v>2025</v>
      </c>
      <c r="Z91" s="3" t="str">
        <f>TEXT(CAPSTONE_PROJECT[[#This Row],[Admission Date]],"mmm yyyy")</f>
        <v>Feb 2025</v>
      </c>
      <c r="AA91" s="3" t="str">
        <f>TEXT(CAPSTONE_PROJECT[[#This Row],[Admission Date]],"dddd")</f>
        <v>Tuesday</v>
      </c>
      <c r="AB91" s="3" t="str">
        <f>IF(CAPSTONE_PROJECT[[#This Row],[Age]]&lt;=34,"Young Adults",IF(CAPSTONE_PROJECT[[#This Row],[Age]]&lt;=59,"Adults","Elders"))</f>
        <v>Young Adults</v>
      </c>
      <c r="AC91" s="3" t="str">
        <f>_xlfn.XLOOKUP(CAPSTONE_PROJECT[[#This Row],[Patient ID]],'Lookup table'!A:A,'Lookup table'!B:B,,0)</f>
        <v>Sophia Clarke</v>
      </c>
      <c r="AD91" s="3" t="str">
        <f>_xlfn.XLOOKUP(CAPSTONE_PROJECT[[#This Row],[Patient ID]],'Lookup table'!A:A,'Lookup table'!C:C,,0)</f>
        <v>Female</v>
      </c>
      <c r="AE91" s="3" t="str">
        <f>IF(CAPSTONE_PROJECT[[#This Row],[Length of Stay]]&lt;=3,"Short Stay",IF(CAPSTONE_PROJECT[[#This Row],[Length of Stay]]&lt;=7,"Moderate Stay",IF(CAPSTONE_PROJECT[[#This Row],[Length of Stay]]&lt;=14,"Long Stay","Extended Stay")))</f>
        <v>Extended Stay</v>
      </c>
    </row>
    <row r="92" spans="1:31" x14ac:dyDescent="0.3">
      <c r="A92" s="3" t="s">
        <v>241</v>
      </c>
      <c r="B92" s="4">
        <v>45461</v>
      </c>
      <c r="C92" s="4">
        <v>45464</v>
      </c>
      <c r="D92" s="4">
        <v>36400</v>
      </c>
      <c r="E92" s="3">
        <v>26</v>
      </c>
      <c r="F92" s="3" t="s">
        <v>33</v>
      </c>
      <c r="G92" s="3" t="s">
        <v>139</v>
      </c>
      <c r="H92" s="3" t="s">
        <v>1080</v>
      </c>
      <c r="I92" s="3" t="s">
        <v>37</v>
      </c>
      <c r="J92" s="3" t="s">
        <v>38</v>
      </c>
      <c r="K92" s="3" t="s">
        <v>65</v>
      </c>
      <c r="L92" s="6">
        <v>4718.91</v>
      </c>
      <c r="M92" s="6">
        <v>1715.54</v>
      </c>
      <c r="N92" s="6">
        <v>306.69</v>
      </c>
      <c r="O92" s="6">
        <v>7521.34</v>
      </c>
      <c r="P92" s="3" t="s">
        <v>25</v>
      </c>
      <c r="Q92" s="3" t="s">
        <v>1084</v>
      </c>
      <c r="R92" s="3" t="s">
        <v>54</v>
      </c>
      <c r="S92" s="3" t="s">
        <v>242</v>
      </c>
      <c r="T92" s="3">
        <v>9</v>
      </c>
      <c r="U92" s="3">
        <f>CAPSTONE_PROJECT[[#This Row],[Discharge Date]]-CAPSTONE_PROJECT[[#This Row],[Admission Date]]</f>
        <v>3</v>
      </c>
      <c r="V92" s="6">
        <f>SUM(CAPSTONE_PROJECT[[#This Row],[Room Cost]:[Treatment Cost]])</f>
        <v>14262.48</v>
      </c>
      <c r="W92" s="6">
        <f t="shared" si="1"/>
        <v>4754.16</v>
      </c>
      <c r="X92" s="3" t="str">
        <f>TEXT(CAPSTONE_PROJECT[[#This Row],[Admission Date]],"mmmm")</f>
        <v>June</v>
      </c>
      <c r="Y92" s="3" t="str">
        <f>TEXT(CAPSTONE_PROJECT[[#This Row],[Admission Date]],"yyyy")</f>
        <v>2024</v>
      </c>
      <c r="Z92" s="3" t="str">
        <f>TEXT(CAPSTONE_PROJECT[[#This Row],[Admission Date]],"mmm yyyy")</f>
        <v>Jun 2024</v>
      </c>
      <c r="AA92" s="3" t="str">
        <f>TEXT(CAPSTONE_PROJECT[[#This Row],[Admission Date]],"dddd")</f>
        <v>Tuesday</v>
      </c>
      <c r="AB92" s="3" t="str">
        <f>IF(CAPSTONE_PROJECT[[#This Row],[Age]]&lt;=34,"Young Adults",IF(CAPSTONE_PROJECT[[#This Row],[Age]]&lt;=59,"Adults","Elders"))</f>
        <v>Young Adults</v>
      </c>
      <c r="AC92" s="3" t="str">
        <f>_xlfn.XLOOKUP(CAPSTONE_PROJECT[[#This Row],[Patient ID]],'Lookup table'!A:A,'Lookup table'!B:B,,0)</f>
        <v>Samuel White</v>
      </c>
      <c r="AD92" s="3" t="str">
        <f>_xlfn.XLOOKUP(CAPSTONE_PROJECT[[#This Row],[Patient ID]],'Lookup table'!A:A,'Lookup table'!C:C,,0)</f>
        <v>Male</v>
      </c>
      <c r="AE92" s="3" t="str">
        <f>IF(CAPSTONE_PROJECT[[#This Row],[Length of Stay]]&lt;=3,"Short Stay",IF(CAPSTONE_PROJECT[[#This Row],[Length of Stay]]&lt;=7,"Moderate Stay",IF(CAPSTONE_PROJECT[[#This Row],[Length of Stay]]&lt;=14,"Long Stay","Extended Stay")))</f>
        <v>Short Stay</v>
      </c>
    </row>
    <row r="93" spans="1:31" x14ac:dyDescent="0.3">
      <c r="A93" s="3" t="s">
        <v>243</v>
      </c>
      <c r="B93" s="4">
        <v>45641</v>
      </c>
      <c r="C93" s="4">
        <v>45653</v>
      </c>
      <c r="D93" s="4">
        <v>31731</v>
      </c>
      <c r="E93" s="3">
        <v>39</v>
      </c>
      <c r="F93" s="3" t="s">
        <v>47</v>
      </c>
      <c r="G93" s="3" t="s">
        <v>27</v>
      </c>
      <c r="H93" s="3" t="s">
        <v>43</v>
      </c>
      <c r="I93" s="3" t="s">
        <v>22</v>
      </c>
      <c r="J93" s="3" t="s">
        <v>64</v>
      </c>
      <c r="K93" s="3" t="s">
        <v>65</v>
      </c>
      <c r="L93" s="6">
        <v>3462.7</v>
      </c>
      <c r="M93" s="6">
        <v>1280.8</v>
      </c>
      <c r="N93" s="6">
        <v>2420.7399999999998</v>
      </c>
      <c r="O93" s="6">
        <v>3681.42</v>
      </c>
      <c r="P93" s="3" t="s">
        <v>25</v>
      </c>
      <c r="Q93" s="3" t="s">
        <v>1077</v>
      </c>
      <c r="R93" s="3" t="s">
        <v>102</v>
      </c>
      <c r="S93" s="3" t="s">
        <v>244</v>
      </c>
      <c r="T93" s="3">
        <v>10</v>
      </c>
      <c r="U93" s="3">
        <f>CAPSTONE_PROJECT[[#This Row],[Discharge Date]]-CAPSTONE_PROJECT[[#This Row],[Admission Date]]</f>
        <v>12</v>
      </c>
      <c r="V93" s="6">
        <f>SUM(CAPSTONE_PROJECT[[#This Row],[Room Cost]:[Treatment Cost]])</f>
        <v>10845.66</v>
      </c>
      <c r="W93" s="6">
        <f t="shared" si="1"/>
        <v>903.80499999999995</v>
      </c>
      <c r="X93" s="3" t="str">
        <f>TEXT(CAPSTONE_PROJECT[[#This Row],[Admission Date]],"mmmm")</f>
        <v>December</v>
      </c>
      <c r="Y93" s="3" t="str">
        <f>TEXT(CAPSTONE_PROJECT[[#This Row],[Admission Date]],"yyyy")</f>
        <v>2024</v>
      </c>
      <c r="Z93" s="3" t="str">
        <f>TEXT(CAPSTONE_PROJECT[[#This Row],[Admission Date]],"mmm yyyy")</f>
        <v>Dec 2024</v>
      </c>
      <c r="AA93" s="3" t="str">
        <f>TEXT(CAPSTONE_PROJECT[[#This Row],[Admission Date]],"dddd")</f>
        <v>Sunday</v>
      </c>
      <c r="AB93" s="3" t="str">
        <f>IF(CAPSTONE_PROJECT[[#This Row],[Age]]&lt;=34,"Young Adults",IF(CAPSTONE_PROJECT[[#This Row],[Age]]&lt;=59,"Adults","Elders"))</f>
        <v>Adults</v>
      </c>
      <c r="AC93" s="3" t="str">
        <f>_xlfn.XLOOKUP(CAPSTONE_PROJECT[[#This Row],[Patient ID]],'Lookup table'!A:A,'Lookup table'!B:B,,0)</f>
        <v>Ava Hall</v>
      </c>
      <c r="AD93" s="3" t="str">
        <f>_xlfn.XLOOKUP(CAPSTONE_PROJECT[[#This Row],[Patient ID]],'Lookup table'!A:A,'Lookup table'!C:C,,0)</f>
        <v>Female</v>
      </c>
      <c r="AE93" s="3" t="str">
        <f>IF(CAPSTONE_PROJECT[[#This Row],[Length of Stay]]&lt;=3,"Short Stay",IF(CAPSTONE_PROJECT[[#This Row],[Length of Stay]]&lt;=7,"Moderate Stay",IF(CAPSTONE_PROJECT[[#This Row],[Length of Stay]]&lt;=14,"Long Stay","Extended Stay")))</f>
        <v>Long Stay</v>
      </c>
    </row>
    <row r="94" spans="1:31" x14ac:dyDescent="0.3">
      <c r="A94" s="3" t="s">
        <v>245</v>
      </c>
      <c r="B94" s="4">
        <v>45487</v>
      </c>
      <c r="C94" s="4">
        <v>45498</v>
      </c>
      <c r="D94" s="4">
        <v>21424</v>
      </c>
      <c r="E94" s="3">
        <v>67</v>
      </c>
      <c r="F94" s="3" t="s">
        <v>47</v>
      </c>
      <c r="G94" s="3" t="s">
        <v>57</v>
      </c>
      <c r="H94" s="3" t="s">
        <v>100</v>
      </c>
      <c r="I94" s="3" t="s">
        <v>44</v>
      </c>
      <c r="J94" s="3" t="s">
        <v>23</v>
      </c>
      <c r="K94" s="3" t="s">
        <v>15</v>
      </c>
      <c r="L94" s="6">
        <v>2786.41</v>
      </c>
      <c r="M94" s="6">
        <v>827.93</v>
      </c>
      <c r="N94" s="6">
        <v>1940.74</v>
      </c>
      <c r="O94" s="6">
        <v>11872.55</v>
      </c>
      <c r="P94" s="3" t="s">
        <v>31</v>
      </c>
      <c r="Q94" s="3" t="s">
        <v>1077</v>
      </c>
      <c r="R94" s="3" t="s">
        <v>10</v>
      </c>
      <c r="S94" s="3" t="s">
        <v>246</v>
      </c>
      <c r="T94" s="3">
        <v>10</v>
      </c>
      <c r="U94" s="3">
        <f>CAPSTONE_PROJECT[[#This Row],[Discharge Date]]-CAPSTONE_PROJECT[[#This Row],[Admission Date]]</f>
        <v>11</v>
      </c>
      <c r="V94" s="6">
        <f>SUM(CAPSTONE_PROJECT[[#This Row],[Room Cost]:[Treatment Cost]])</f>
        <v>17427.629999999997</v>
      </c>
      <c r="W94" s="6">
        <f t="shared" si="1"/>
        <v>1584.3299999999997</v>
      </c>
      <c r="X94" s="3" t="str">
        <f>TEXT(CAPSTONE_PROJECT[[#This Row],[Admission Date]],"mmmm")</f>
        <v>July</v>
      </c>
      <c r="Y94" s="3" t="str">
        <f>TEXT(CAPSTONE_PROJECT[[#This Row],[Admission Date]],"yyyy")</f>
        <v>2024</v>
      </c>
      <c r="Z94" s="3" t="str">
        <f>TEXT(CAPSTONE_PROJECT[[#This Row],[Admission Date]],"mmm yyyy")</f>
        <v>Jul 2024</v>
      </c>
      <c r="AA94" s="3" t="str">
        <f>TEXT(CAPSTONE_PROJECT[[#This Row],[Admission Date]],"dddd")</f>
        <v>Sunday</v>
      </c>
      <c r="AB94" s="3" t="str">
        <f>IF(CAPSTONE_PROJECT[[#This Row],[Age]]&lt;=34,"Young Adults",IF(CAPSTONE_PROJECT[[#This Row],[Age]]&lt;=59,"Adults","Elders"))</f>
        <v>Elders</v>
      </c>
      <c r="AC94" s="3" t="str">
        <f>_xlfn.XLOOKUP(CAPSTONE_PROJECT[[#This Row],[Patient ID]],'Lookup table'!A:A,'Lookup table'!B:B,,0)</f>
        <v>James Martin</v>
      </c>
      <c r="AD94" s="3" t="str">
        <f>_xlfn.XLOOKUP(CAPSTONE_PROJECT[[#This Row],[Patient ID]],'Lookup table'!A:A,'Lookup table'!C:C,,0)</f>
        <v>Male</v>
      </c>
      <c r="AE94" s="3" t="str">
        <f>IF(CAPSTONE_PROJECT[[#This Row],[Length of Stay]]&lt;=3,"Short Stay",IF(CAPSTONE_PROJECT[[#This Row],[Length of Stay]]&lt;=7,"Moderate Stay",IF(CAPSTONE_PROJECT[[#This Row],[Length of Stay]]&lt;=14,"Long Stay","Extended Stay")))</f>
        <v>Long Stay</v>
      </c>
    </row>
    <row r="95" spans="1:31" x14ac:dyDescent="0.3">
      <c r="A95" s="3" t="s">
        <v>247</v>
      </c>
      <c r="B95" s="4">
        <v>45755</v>
      </c>
      <c r="C95" s="4">
        <v>45760</v>
      </c>
      <c r="D95" s="4">
        <v>25729</v>
      </c>
      <c r="E95" s="3">
        <v>56</v>
      </c>
      <c r="F95" s="3" t="s">
        <v>18</v>
      </c>
      <c r="G95" s="3" t="s">
        <v>40</v>
      </c>
      <c r="H95" s="3" t="s">
        <v>114</v>
      </c>
      <c r="I95" s="3" t="s">
        <v>44</v>
      </c>
      <c r="J95" s="3" t="s">
        <v>64</v>
      </c>
      <c r="K95" s="3" t="s">
        <v>24</v>
      </c>
      <c r="L95" s="6">
        <v>4868.2700000000004</v>
      </c>
      <c r="M95" s="6">
        <v>1494.87</v>
      </c>
      <c r="N95" s="6">
        <v>2977.78</v>
      </c>
      <c r="O95" s="6">
        <v>10192.370000000001</v>
      </c>
      <c r="P95" s="3" t="s">
        <v>25</v>
      </c>
      <c r="Q95" s="3" t="s">
        <v>1077</v>
      </c>
      <c r="R95" s="3" t="s">
        <v>54</v>
      </c>
      <c r="S95" s="3" t="s">
        <v>248</v>
      </c>
      <c r="T95" s="3">
        <v>6</v>
      </c>
      <c r="U95" s="3">
        <f>CAPSTONE_PROJECT[[#This Row],[Discharge Date]]-CAPSTONE_PROJECT[[#This Row],[Admission Date]]</f>
        <v>5</v>
      </c>
      <c r="V95" s="6">
        <f>SUM(CAPSTONE_PROJECT[[#This Row],[Room Cost]:[Treatment Cost]])</f>
        <v>19533.29</v>
      </c>
      <c r="W95" s="6">
        <f t="shared" si="1"/>
        <v>3906.6580000000004</v>
      </c>
      <c r="X95" s="3" t="str">
        <f>TEXT(CAPSTONE_PROJECT[[#This Row],[Admission Date]],"mmmm")</f>
        <v>April</v>
      </c>
      <c r="Y95" s="3" t="str">
        <f>TEXT(CAPSTONE_PROJECT[[#This Row],[Admission Date]],"yyyy")</f>
        <v>2025</v>
      </c>
      <c r="Z95" s="3" t="str">
        <f>TEXT(CAPSTONE_PROJECT[[#This Row],[Admission Date]],"mmm yyyy")</f>
        <v>Apr 2025</v>
      </c>
      <c r="AA95" s="3" t="str">
        <f>TEXT(CAPSTONE_PROJECT[[#This Row],[Admission Date]],"dddd")</f>
        <v>Tuesday</v>
      </c>
      <c r="AB95" s="3" t="str">
        <f>IF(CAPSTONE_PROJECT[[#This Row],[Age]]&lt;=34,"Young Adults",IF(CAPSTONE_PROJECT[[#This Row],[Age]]&lt;=59,"Adults","Elders"))</f>
        <v>Adults</v>
      </c>
      <c r="AC95" s="3" t="str">
        <f>_xlfn.XLOOKUP(CAPSTONE_PROJECT[[#This Row],[Patient ID]],'Lookup table'!A:A,'Lookup table'!B:B,,0)</f>
        <v>Ella Robinson</v>
      </c>
      <c r="AD95" s="3" t="str">
        <f>_xlfn.XLOOKUP(CAPSTONE_PROJECT[[#This Row],[Patient ID]],'Lookup table'!A:A,'Lookup table'!C:C,,0)</f>
        <v>Female</v>
      </c>
      <c r="AE95" s="3" t="str">
        <f>IF(CAPSTONE_PROJECT[[#This Row],[Length of Stay]]&lt;=3,"Short Stay",IF(CAPSTONE_PROJECT[[#This Row],[Length of Stay]]&lt;=7,"Moderate Stay",IF(CAPSTONE_PROJECT[[#This Row],[Length of Stay]]&lt;=14,"Long Stay","Extended Stay")))</f>
        <v>Moderate Stay</v>
      </c>
    </row>
    <row r="96" spans="1:31" x14ac:dyDescent="0.3">
      <c r="A96" s="3" t="s">
        <v>249</v>
      </c>
      <c r="B96" s="4">
        <v>45401</v>
      </c>
      <c r="C96" s="4">
        <v>45402</v>
      </c>
      <c r="D96" s="4">
        <v>35081</v>
      </c>
      <c r="E96" s="3">
        <v>30</v>
      </c>
      <c r="F96" s="3" t="s">
        <v>47</v>
      </c>
      <c r="G96" s="3" t="s">
        <v>48</v>
      </c>
      <c r="H96" s="3" t="s">
        <v>111</v>
      </c>
      <c r="I96" s="3" t="s">
        <v>13</v>
      </c>
      <c r="J96" s="3" t="s">
        <v>14</v>
      </c>
      <c r="K96" s="3" t="s">
        <v>50</v>
      </c>
      <c r="L96" s="6">
        <v>3308.76</v>
      </c>
      <c r="M96" s="6">
        <v>1665.84</v>
      </c>
      <c r="N96" s="6">
        <v>1218.02</v>
      </c>
      <c r="O96" s="6">
        <v>13310.12</v>
      </c>
      <c r="P96" s="3" t="s">
        <v>51</v>
      </c>
      <c r="Q96" s="3" t="s">
        <v>1078</v>
      </c>
      <c r="R96" s="3" t="s">
        <v>62</v>
      </c>
      <c r="S96" s="3" t="s">
        <v>250</v>
      </c>
      <c r="T96" s="3">
        <v>3</v>
      </c>
      <c r="U96" s="3">
        <f>CAPSTONE_PROJECT[[#This Row],[Discharge Date]]-CAPSTONE_PROJECT[[#This Row],[Admission Date]]</f>
        <v>1</v>
      </c>
      <c r="V96" s="6">
        <f>SUM(CAPSTONE_PROJECT[[#This Row],[Room Cost]:[Treatment Cost]])</f>
        <v>19502.740000000002</v>
      </c>
      <c r="W96" s="6">
        <f t="shared" si="1"/>
        <v>19502.740000000002</v>
      </c>
      <c r="X96" s="3" t="str">
        <f>TEXT(CAPSTONE_PROJECT[[#This Row],[Admission Date]],"mmmm")</f>
        <v>April</v>
      </c>
      <c r="Y96" s="3" t="str">
        <f>TEXT(CAPSTONE_PROJECT[[#This Row],[Admission Date]],"yyyy")</f>
        <v>2024</v>
      </c>
      <c r="Z96" s="3" t="str">
        <f>TEXT(CAPSTONE_PROJECT[[#This Row],[Admission Date]],"mmm yyyy")</f>
        <v>Apr 2024</v>
      </c>
      <c r="AA96" s="3" t="str">
        <f>TEXT(CAPSTONE_PROJECT[[#This Row],[Admission Date]],"dddd")</f>
        <v>Friday</v>
      </c>
      <c r="AB96" s="3" t="str">
        <f>IF(CAPSTONE_PROJECT[[#This Row],[Age]]&lt;=34,"Young Adults",IF(CAPSTONE_PROJECT[[#This Row],[Age]]&lt;=59,"Adults","Elders"))</f>
        <v>Young Adults</v>
      </c>
      <c r="AC96" s="3" t="str">
        <f>_xlfn.XLOOKUP(CAPSTONE_PROJECT[[#This Row],[Patient ID]],'Lookup table'!A:A,'Lookup table'!B:B,,0)</f>
        <v>Oliver Evans</v>
      </c>
      <c r="AD96" s="3" t="str">
        <f>_xlfn.XLOOKUP(CAPSTONE_PROJECT[[#This Row],[Patient ID]],'Lookup table'!A:A,'Lookup table'!C:C,,0)</f>
        <v>Male</v>
      </c>
      <c r="AE96" s="3" t="str">
        <f>IF(CAPSTONE_PROJECT[[#This Row],[Length of Stay]]&lt;=3,"Short Stay",IF(CAPSTONE_PROJECT[[#This Row],[Length of Stay]]&lt;=7,"Moderate Stay",IF(CAPSTONE_PROJECT[[#This Row],[Length of Stay]]&lt;=14,"Long Stay","Extended Stay")))</f>
        <v>Short Stay</v>
      </c>
    </row>
    <row r="97" spans="1:31" x14ac:dyDescent="0.3">
      <c r="A97" s="3" t="s">
        <v>251</v>
      </c>
      <c r="B97" s="4">
        <v>45718</v>
      </c>
      <c r="C97" s="4">
        <v>45729</v>
      </c>
      <c r="D97" s="4">
        <v>38181</v>
      </c>
      <c r="E97" s="3">
        <v>21</v>
      </c>
      <c r="F97" s="3" t="s">
        <v>8</v>
      </c>
      <c r="G97" s="3" t="s">
        <v>61</v>
      </c>
      <c r="H97" s="3" t="s">
        <v>104</v>
      </c>
      <c r="I97" s="3" t="s">
        <v>44</v>
      </c>
      <c r="J97" s="3" t="s">
        <v>14</v>
      </c>
      <c r="K97" s="3" t="s">
        <v>50</v>
      </c>
      <c r="L97" s="6">
        <v>3194.06</v>
      </c>
      <c r="M97" s="6">
        <v>618.83000000000004</v>
      </c>
      <c r="N97" s="6">
        <v>943.06</v>
      </c>
      <c r="O97" s="6">
        <v>13056.85</v>
      </c>
      <c r="P97" s="3" t="s">
        <v>25</v>
      </c>
      <c r="Q97" s="3" t="s">
        <v>1086</v>
      </c>
      <c r="R97" s="3" t="s">
        <v>35</v>
      </c>
      <c r="S97" s="3" t="s">
        <v>252</v>
      </c>
      <c r="T97" s="3">
        <v>8</v>
      </c>
      <c r="U97" s="3">
        <f>CAPSTONE_PROJECT[[#This Row],[Discharge Date]]-CAPSTONE_PROJECT[[#This Row],[Admission Date]]</f>
        <v>11</v>
      </c>
      <c r="V97" s="6">
        <f>SUM(CAPSTONE_PROJECT[[#This Row],[Room Cost]:[Treatment Cost]])</f>
        <v>17812.8</v>
      </c>
      <c r="W97" s="6">
        <f t="shared" si="1"/>
        <v>1619.3454545454545</v>
      </c>
      <c r="X97" s="3" t="str">
        <f>TEXT(CAPSTONE_PROJECT[[#This Row],[Admission Date]],"mmmm")</f>
        <v>March</v>
      </c>
      <c r="Y97" s="3" t="str">
        <f>TEXT(CAPSTONE_PROJECT[[#This Row],[Admission Date]],"yyyy")</f>
        <v>2025</v>
      </c>
      <c r="Z97" s="3" t="str">
        <f>TEXT(CAPSTONE_PROJECT[[#This Row],[Admission Date]],"mmm yyyy")</f>
        <v>Mar 2025</v>
      </c>
      <c r="AA97" s="3" t="str">
        <f>TEXT(CAPSTONE_PROJECT[[#This Row],[Admission Date]],"dddd")</f>
        <v>Sunday</v>
      </c>
      <c r="AB97" s="3" t="str">
        <f>IF(CAPSTONE_PROJECT[[#This Row],[Age]]&lt;=34,"Young Adults",IF(CAPSTONE_PROJECT[[#This Row],[Age]]&lt;=59,"Adults","Elders"))</f>
        <v>Young Adults</v>
      </c>
      <c r="AC97" s="3" t="str">
        <f>_xlfn.XLOOKUP(CAPSTONE_PROJECT[[#This Row],[Patient ID]],'Lookup table'!A:A,'Lookup table'!B:B,,0)</f>
        <v>Mia Wood</v>
      </c>
      <c r="AD97" s="3" t="str">
        <f>_xlfn.XLOOKUP(CAPSTONE_PROJECT[[#This Row],[Patient ID]],'Lookup table'!A:A,'Lookup table'!C:C,,0)</f>
        <v>Female</v>
      </c>
      <c r="AE97" s="3" t="str">
        <f>IF(CAPSTONE_PROJECT[[#This Row],[Length of Stay]]&lt;=3,"Short Stay",IF(CAPSTONE_PROJECT[[#This Row],[Length of Stay]]&lt;=7,"Moderate Stay",IF(CAPSTONE_PROJECT[[#This Row],[Length of Stay]]&lt;=14,"Long Stay","Extended Stay")))</f>
        <v>Long Stay</v>
      </c>
    </row>
    <row r="98" spans="1:31" x14ac:dyDescent="0.3">
      <c r="A98" s="3" t="s">
        <v>253</v>
      </c>
      <c r="B98" s="4">
        <v>45630</v>
      </c>
      <c r="C98" s="4">
        <v>45645</v>
      </c>
      <c r="D98" s="4">
        <v>30072</v>
      </c>
      <c r="E98" s="3">
        <v>44</v>
      </c>
      <c r="F98" s="3" t="s">
        <v>8</v>
      </c>
      <c r="G98" s="3" t="s">
        <v>27</v>
      </c>
      <c r="H98" s="3" t="s">
        <v>114</v>
      </c>
      <c r="I98" s="3" t="s">
        <v>44</v>
      </c>
      <c r="J98" s="3" t="s">
        <v>15</v>
      </c>
      <c r="K98" s="3" t="s">
        <v>15</v>
      </c>
      <c r="L98" s="6">
        <v>1913.33</v>
      </c>
      <c r="M98" s="6">
        <v>716.04</v>
      </c>
      <c r="N98" s="6">
        <v>2499.09</v>
      </c>
      <c r="O98" s="6">
        <v>2355.4</v>
      </c>
      <c r="P98" s="3" t="s">
        <v>25</v>
      </c>
      <c r="Q98" s="3" t="s">
        <v>1079</v>
      </c>
      <c r="R98" s="3" t="s">
        <v>75</v>
      </c>
      <c r="S98" s="3" t="s">
        <v>254</v>
      </c>
      <c r="T98" s="3">
        <v>10</v>
      </c>
      <c r="U98" s="3">
        <f>CAPSTONE_PROJECT[[#This Row],[Discharge Date]]-CAPSTONE_PROJECT[[#This Row],[Admission Date]]</f>
        <v>15</v>
      </c>
      <c r="V98" s="6">
        <f>SUM(CAPSTONE_PROJECT[[#This Row],[Room Cost]:[Treatment Cost]])</f>
        <v>7483.8600000000006</v>
      </c>
      <c r="W98" s="6">
        <f t="shared" si="1"/>
        <v>498.92400000000004</v>
      </c>
      <c r="X98" s="3" t="str">
        <f>TEXT(CAPSTONE_PROJECT[[#This Row],[Admission Date]],"mmmm")</f>
        <v>December</v>
      </c>
      <c r="Y98" s="3" t="str">
        <f>TEXT(CAPSTONE_PROJECT[[#This Row],[Admission Date]],"yyyy")</f>
        <v>2024</v>
      </c>
      <c r="Z98" s="3" t="str">
        <f>TEXT(CAPSTONE_PROJECT[[#This Row],[Admission Date]],"mmm yyyy")</f>
        <v>Dec 2024</v>
      </c>
      <c r="AA98" s="3" t="str">
        <f>TEXT(CAPSTONE_PROJECT[[#This Row],[Admission Date]],"dddd")</f>
        <v>Wednesday</v>
      </c>
      <c r="AB98" s="3" t="str">
        <f>IF(CAPSTONE_PROJECT[[#This Row],[Age]]&lt;=34,"Young Adults",IF(CAPSTONE_PROJECT[[#This Row],[Age]]&lt;=59,"Adults","Elders"))</f>
        <v>Adults</v>
      </c>
      <c r="AC98" s="3" t="str">
        <f>_xlfn.XLOOKUP(CAPSTONE_PROJECT[[#This Row],[Patient ID]],'Lookup table'!A:A,'Lookup table'!B:B,,0)</f>
        <v>Michael H Jones</v>
      </c>
      <c r="AD98" s="3" t="str">
        <f>_xlfn.XLOOKUP(CAPSTONE_PROJECT[[#This Row],[Patient ID]],'Lookup table'!A:A,'Lookup table'!C:C,,0)</f>
        <v>Male</v>
      </c>
      <c r="AE98" s="3" t="str">
        <f>IF(CAPSTONE_PROJECT[[#This Row],[Length of Stay]]&lt;=3,"Short Stay",IF(CAPSTONE_PROJECT[[#This Row],[Length of Stay]]&lt;=7,"Moderate Stay",IF(CAPSTONE_PROJECT[[#This Row],[Length of Stay]]&lt;=14,"Long Stay","Extended Stay")))</f>
        <v>Extended Stay</v>
      </c>
    </row>
    <row r="99" spans="1:31" x14ac:dyDescent="0.3">
      <c r="A99" s="3" t="s">
        <v>255</v>
      </c>
      <c r="B99" s="4">
        <v>45409</v>
      </c>
      <c r="C99" s="4">
        <v>45421</v>
      </c>
      <c r="D99" s="4">
        <v>29526</v>
      </c>
      <c r="E99" s="3">
        <v>45</v>
      </c>
      <c r="F99" s="3" t="s">
        <v>8</v>
      </c>
      <c r="G99" s="3" t="s">
        <v>57</v>
      </c>
      <c r="H99" s="3" t="s">
        <v>1080</v>
      </c>
      <c r="I99" s="3" t="s">
        <v>13</v>
      </c>
      <c r="J99" s="3" t="s">
        <v>38</v>
      </c>
      <c r="K99" s="3" t="s">
        <v>24</v>
      </c>
      <c r="L99" s="6">
        <v>4317.2299999999996</v>
      </c>
      <c r="M99" s="6">
        <v>224.37</v>
      </c>
      <c r="N99" s="6">
        <v>281.26</v>
      </c>
      <c r="O99" s="6">
        <v>11366.51</v>
      </c>
      <c r="P99" s="3" t="s">
        <v>51</v>
      </c>
      <c r="Q99" s="3" t="s">
        <v>1084</v>
      </c>
      <c r="R99" s="3" t="s">
        <v>62</v>
      </c>
      <c r="S99" s="3" t="s">
        <v>256</v>
      </c>
      <c r="T99" s="3">
        <v>6</v>
      </c>
      <c r="U99" s="3">
        <f>CAPSTONE_PROJECT[[#This Row],[Discharge Date]]-CAPSTONE_PROJECT[[#This Row],[Admission Date]]</f>
        <v>12</v>
      </c>
      <c r="V99" s="6">
        <f>SUM(CAPSTONE_PROJECT[[#This Row],[Room Cost]:[Treatment Cost]])</f>
        <v>16189.369999999999</v>
      </c>
      <c r="W99" s="6">
        <f t="shared" si="1"/>
        <v>1349.1141666666665</v>
      </c>
      <c r="X99" s="3" t="str">
        <f>TEXT(CAPSTONE_PROJECT[[#This Row],[Admission Date]],"mmmm")</f>
        <v>April</v>
      </c>
      <c r="Y99" s="3" t="str">
        <f>TEXT(CAPSTONE_PROJECT[[#This Row],[Admission Date]],"yyyy")</f>
        <v>2024</v>
      </c>
      <c r="Z99" s="3" t="str">
        <f>TEXT(CAPSTONE_PROJECT[[#This Row],[Admission Date]],"mmm yyyy")</f>
        <v>Apr 2024</v>
      </c>
      <c r="AA99" s="3" t="str">
        <f>TEXT(CAPSTONE_PROJECT[[#This Row],[Admission Date]],"dddd")</f>
        <v>Saturday</v>
      </c>
      <c r="AB99" s="3" t="str">
        <f>IF(CAPSTONE_PROJECT[[#This Row],[Age]]&lt;=34,"Young Adults",IF(CAPSTONE_PROJECT[[#This Row],[Age]]&lt;=59,"Adults","Elders"))</f>
        <v>Adults</v>
      </c>
      <c r="AC99" s="3" t="str">
        <f>_xlfn.XLOOKUP(CAPSTONE_PROJECT[[#This Row],[Patient ID]],'Lookup table'!A:A,'Lookup table'!B:B,,0)</f>
        <v>Emma Thompson</v>
      </c>
      <c r="AD99" s="3" t="str">
        <f>_xlfn.XLOOKUP(CAPSTONE_PROJECT[[#This Row],[Patient ID]],'Lookup table'!A:A,'Lookup table'!C:C,,0)</f>
        <v>Female</v>
      </c>
      <c r="AE99" s="3" t="str">
        <f>IF(CAPSTONE_PROJECT[[#This Row],[Length of Stay]]&lt;=3,"Short Stay",IF(CAPSTONE_PROJECT[[#This Row],[Length of Stay]]&lt;=7,"Moderate Stay",IF(CAPSTONE_PROJECT[[#This Row],[Length of Stay]]&lt;=14,"Long Stay","Extended Stay")))</f>
        <v>Long Stay</v>
      </c>
    </row>
    <row r="100" spans="1:31" x14ac:dyDescent="0.3">
      <c r="A100" s="3" t="s">
        <v>257</v>
      </c>
      <c r="B100" s="4">
        <v>45510</v>
      </c>
      <c r="C100" s="4">
        <v>45524</v>
      </c>
      <c r="D100" s="4">
        <v>21510</v>
      </c>
      <c r="E100" s="3">
        <v>67</v>
      </c>
      <c r="F100" s="3" t="s">
        <v>8</v>
      </c>
      <c r="G100" s="3" t="s">
        <v>126</v>
      </c>
      <c r="H100" s="3" t="s">
        <v>100</v>
      </c>
      <c r="I100" s="3" t="s">
        <v>37</v>
      </c>
      <c r="J100" s="3" t="s">
        <v>45</v>
      </c>
      <c r="K100" s="3" t="s">
        <v>15</v>
      </c>
      <c r="L100" s="6">
        <v>3456.3</v>
      </c>
      <c r="M100" s="6">
        <v>73.48</v>
      </c>
      <c r="N100" s="6">
        <v>2779.68</v>
      </c>
      <c r="O100" s="6">
        <v>7308.13</v>
      </c>
      <c r="P100" s="3" t="s">
        <v>16</v>
      </c>
      <c r="Q100" s="3" t="s">
        <v>1085</v>
      </c>
      <c r="R100" s="3" t="s">
        <v>19</v>
      </c>
      <c r="S100" s="3" t="s">
        <v>258</v>
      </c>
      <c r="T100" s="3">
        <v>2</v>
      </c>
      <c r="U100" s="3">
        <f>CAPSTONE_PROJECT[[#This Row],[Discharge Date]]-CAPSTONE_PROJECT[[#This Row],[Admission Date]]</f>
        <v>14</v>
      </c>
      <c r="V100" s="6">
        <f>SUM(CAPSTONE_PROJECT[[#This Row],[Room Cost]:[Treatment Cost]])</f>
        <v>13617.59</v>
      </c>
      <c r="W100" s="6">
        <f t="shared" si="1"/>
        <v>972.68500000000006</v>
      </c>
      <c r="X100" s="3" t="str">
        <f>TEXT(CAPSTONE_PROJECT[[#This Row],[Admission Date]],"mmmm")</f>
        <v>August</v>
      </c>
      <c r="Y100" s="3" t="str">
        <f>TEXT(CAPSTONE_PROJECT[[#This Row],[Admission Date]],"yyyy")</f>
        <v>2024</v>
      </c>
      <c r="Z100" s="3" t="str">
        <f>TEXT(CAPSTONE_PROJECT[[#This Row],[Admission Date]],"mmm yyyy")</f>
        <v>Aug 2024</v>
      </c>
      <c r="AA100" s="3" t="str">
        <f>TEXT(CAPSTONE_PROJECT[[#This Row],[Admission Date]],"dddd")</f>
        <v>Tuesday</v>
      </c>
      <c r="AB100" s="3" t="str">
        <f>IF(CAPSTONE_PROJECT[[#This Row],[Age]]&lt;=34,"Young Adults",IF(CAPSTONE_PROJECT[[#This Row],[Age]]&lt;=59,"Adults","Elders"))</f>
        <v>Elders</v>
      </c>
      <c r="AC100" s="3" t="str">
        <f>_xlfn.XLOOKUP(CAPSTONE_PROJECT[[#This Row],[Patient ID]],'Lookup table'!A:A,'Lookup table'!B:B,,0)</f>
        <v>John S Jones</v>
      </c>
      <c r="AD100" s="3" t="str">
        <f>_xlfn.XLOOKUP(CAPSTONE_PROJECT[[#This Row],[Patient ID]],'Lookup table'!A:A,'Lookup table'!C:C,,0)</f>
        <v>Male</v>
      </c>
      <c r="AE100" s="3" t="str">
        <f>IF(CAPSTONE_PROJECT[[#This Row],[Length of Stay]]&lt;=3,"Short Stay",IF(CAPSTONE_PROJECT[[#This Row],[Length of Stay]]&lt;=7,"Moderate Stay",IF(CAPSTONE_PROJECT[[#This Row],[Length of Stay]]&lt;=14,"Long Stay","Extended Stay")))</f>
        <v>Long Stay</v>
      </c>
    </row>
    <row r="101" spans="1:31" x14ac:dyDescent="0.3">
      <c r="A101" s="3" t="s">
        <v>259</v>
      </c>
      <c r="B101" s="4">
        <v>45356</v>
      </c>
      <c r="C101" s="4">
        <v>45375</v>
      </c>
      <c r="D101" s="4">
        <v>31766</v>
      </c>
      <c r="E101" s="3">
        <v>39</v>
      </c>
      <c r="F101" s="3" t="s">
        <v>33</v>
      </c>
      <c r="G101" s="3" t="s">
        <v>53</v>
      </c>
      <c r="H101" s="3" t="s">
        <v>43</v>
      </c>
      <c r="I101" s="3" t="s">
        <v>13</v>
      </c>
      <c r="J101" s="3" t="s">
        <v>30</v>
      </c>
      <c r="K101" s="3" t="s">
        <v>24</v>
      </c>
      <c r="L101" s="6">
        <v>3251.74</v>
      </c>
      <c r="M101" s="6">
        <v>69.680000000000007</v>
      </c>
      <c r="N101" s="6">
        <v>1315.69</v>
      </c>
      <c r="O101" s="6">
        <v>12482.98</v>
      </c>
      <c r="P101" s="3" t="s">
        <v>31</v>
      </c>
      <c r="Q101" s="3" t="s">
        <v>1086</v>
      </c>
      <c r="R101" s="3" t="s">
        <v>58</v>
      </c>
      <c r="S101" s="3" t="s">
        <v>260</v>
      </c>
      <c r="T101" s="3">
        <v>5</v>
      </c>
      <c r="U101" s="3">
        <f>CAPSTONE_PROJECT[[#This Row],[Discharge Date]]-CAPSTONE_PROJECT[[#This Row],[Admission Date]]</f>
        <v>19</v>
      </c>
      <c r="V101" s="6">
        <f>SUM(CAPSTONE_PROJECT[[#This Row],[Room Cost]:[Treatment Cost]])</f>
        <v>17120.09</v>
      </c>
      <c r="W101" s="6">
        <f t="shared" si="1"/>
        <v>901.05736842105262</v>
      </c>
      <c r="X101" s="3" t="str">
        <f>TEXT(CAPSTONE_PROJECT[[#This Row],[Admission Date]],"mmmm")</f>
        <v>March</v>
      </c>
      <c r="Y101" s="3" t="str">
        <f>TEXT(CAPSTONE_PROJECT[[#This Row],[Admission Date]],"yyyy")</f>
        <v>2024</v>
      </c>
      <c r="Z101" s="3" t="str">
        <f>TEXT(CAPSTONE_PROJECT[[#This Row],[Admission Date]],"mmm yyyy")</f>
        <v>Mar 2024</v>
      </c>
      <c r="AA101" s="3" t="str">
        <f>TEXT(CAPSTONE_PROJECT[[#This Row],[Admission Date]],"dddd")</f>
        <v>Tuesday</v>
      </c>
      <c r="AB101" s="3" t="str">
        <f>IF(CAPSTONE_PROJECT[[#This Row],[Age]]&lt;=34,"Young Adults",IF(CAPSTONE_PROJECT[[#This Row],[Age]]&lt;=59,"Adults","Elders"))</f>
        <v>Adults</v>
      </c>
      <c r="AC101" s="3" t="str">
        <f>_xlfn.XLOOKUP(CAPSTONE_PROJECT[[#This Row],[Patient ID]],'Lookup table'!A:A,'Lookup table'!B:B,,0)</f>
        <v>Olivia Brown</v>
      </c>
      <c r="AD101" s="3" t="str">
        <f>_xlfn.XLOOKUP(CAPSTONE_PROJECT[[#This Row],[Patient ID]],'Lookup table'!A:A,'Lookup table'!C:C,,0)</f>
        <v>Female</v>
      </c>
      <c r="AE101" s="3" t="str">
        <f>IF(CAPSTONE_PROJECT[[#This Row],[Length of Stay]]&lt;=3,"Short Stay",IF(CAPSTONE_PROJECT[[#This Row],[Length of Stay]]&lt;=7,"Moderate Stay",IF(CAPSTONE_PROJECT[[#This Row],[Length of Stay]]&lt;=14,"Long Stay","Extended Stay")))</f>
        <v>Extended Stay</v>
      </c>
    </row>
    <row r="102" spans="1:31" x14ac:dyDescent="0.3">
      <c r="A102" s="3" t="s">
        <v>261</v>
      </c>
      <c r="B102" s="4">
        <v>45902</v>
      </c>
      <c r="C102" s="4">
        <v>45915</v>
      </c>
      <c r="D102" s="4">
        <v>17186</v>
      </c>
      <c r="E102" s="3">
        <v>79</v>
      </c>
      <c r="F102" s="3" t="s">
        <v>8</v>
      </c>
      <c r="G102" s="3" t="s">
        <v>40</v>
      </c>
      <c r="H102" s="3" t="s">
        <v>104</v>
      </c>
      <c r="I102" s="3" t="s">
        <v>13</v>
      </c>
      <c r="J102" s="3" t="s">
        <v>14</v>
      </c>
      <c r="K102" s="3" t="s">
        <v>65</v>
      </c>
      <c r="L102" s="6">
        <v>4904.72</v>
      </c>
      <c r="M102" s="6">
        <v>714.86</v>
      </c>
      <c r="N102" s="6">
        <v>1479.17</v>
      </c>
      <c r="O102" s="6">
        <v>4705.2</v>
      </c>
      <c r="P102" s="3" t="s">
        <v>51</v>
      </c>
      <c r="Q102" s="3" t="s">
        <v>1085</v>
      </c>
      <c r="R102" s="3" t="s">
        <v>19</v>
      </c>
      <c r="S102" s="3" t="s">
        <v>262</v>
      </c>
      <c r="T102" s="3">
        <v>9</v>
      </c>
      <c r="U102" s="3">
        <f>CAPSTONE_PROJECT[[#This Row],[Discharge Date]]-CAPSTONE_PROJECT[[#This Row],[Admission Date]]</f>
        <v>13</v>
      </c>
      <c r="V102" s="6">
        <f>SUM(CAPSTONE_PROJECT[[#This Row],[Room Cost]:[Treatment Cost]])</f>
        <v>11803.95</v>
      </c>
      <c r="W102" s="6">
        <f t="shared" si="1"/>
        <v>907.9961538461539</v>
      </c>
      <c r="X102" s="3" t="str">
        <f>TEXT(CAPSTONE_PROJECT[[#This Row],[Admission Date]],"mmmm")</f>
        <v>September</v>
      </c>
      <c r="Y102" s="3" t="str">
        <f>TEXT(CAPSTONE_PROJECT[[#This Row],[Admission Date]],"yyyy")</f>
        <v>2025</v>
      </c>
      <c r="Z102" s="3" t="str">
        <f>TEXT(CAPSTONE_PROJECT[[#This Row],[Admission Date]],"mmm yyyy")</f>
        <v>Sep 2025</v>
      </c>
      <c r="AA102" s="3" t="str">
        <f>TEXT(CAPSTONE_PROJECT[[#This Row],[Admission Date]],"dddd")</f>
        <v>Tuesday</v>
      </c>
      <c r="AB102" s="3" t="str">
        <f>IF(CAPSTONE_PROJECT[[#This Row],[Age]]&lt;=34,"Young Adults",IF(CAPSTONE_PROJECT[[#This Row],[Age]]&lt;=59,"Adults","Elders"))</f>
        <v>Elders</v>
      </c>
      <c r="AC102" s="3" t="str">
        <f>_xlfn.XLOOKUP(CAPSTONE_PROJECT[[#This Row],[Patient ID]],'Lookup table'!A:A,'Lookup table'!B:B,,0)</f>
        <v>Michael H Smith</v>
      </c>
      <c r="AD102" s="3" t="str">
        <f>_xlfn.XLOOKUP(CAPSTONE_PROJECT[[#This Row],[Patient ID]],'Lookup table'!A:A,'Lookup table'!C:C,,0)</f>
        <v>Male</v>
      </c>
      <c r="AE102" s="3" t="str">
        <f>IF(CAPSTONE_PROJECT[[#This Row],[Length of Stay]]&lt;=3,"Short Stay",IF(CAPSTONE_PROJECT[[#This Row],[Length of Stay]]&lt;=7,"Moderate Stay",IF(CAPSTONE_PROJECT[[#This Row],[Length of Stay]]&lt;=14,"Long Stay","Extended Stay")))</f>
        <v>Long Stay</v>
      </c>
    </row>
    <row r="103" spans="1:31" x14ac:dyDescent="0.3">
      <c r="A103" s="3" t="s">
        <v>263</v>
      </c>
      <c r="B103" s="4">
        <v>45490</v>
      </c>
      <c r="C103" s="4">
        <v>45501</v>
      </c>
      <c r="D103" s="4">
        <v>23287</v>
      </c>
      <c r="E103" s="3">
        <v>62</v>
      </c>
      <c r="F103" s="3" t="s">
        <v>18</v>
      </c>
      <c r="G103" s="3" t="s">
        <v>126</v>
      </c>
      <c r="H103" s="3" t="s">
        <v>1080</v>
      </c>
      <c r="I103" s="3" t="s">
        <v>44</v>
      </c>
      <c r="J103" s="3" t="s">
        <v>64</v>
      </c>
      <c r="K103" s="3" t="s">
        <v>15</v>
      </c>
      <c r="L103" s="6">
        <v>2650.7</v>
      </c>
      <c r="M103" s="6">
        <v>250.79</v>
      </c>
      <c r="N103" s="6">
        <v>2948.42</v>
      </c>
      <c r="O103" s="6">
        <v>8154.74</v>
      </c>
      <c r="P103" s="3" t="s">
        <v>25</v>
      </c>
      <c r="Q103" s="3" t="s">
        <v>1082</v>
      </c>
      <c r="R103" s="3" t="s">
        <v>75</v>
      </c>
      <c r="S103" s="3" t="s">
        <v>264</v>
      </c>
      <c r="T103" s="3">
        <v>10</v>
      </c>
      <c r="U103" s="3">
        <f>CAPSTONE_PROJECT[[#This Row],[Discharge Date]]-CAPSTONE_PROJECT[[#This Row],[Admission Date]]</f>
        <v>11</v>
      </c>
      <c r="V103" s="6">
        <f>SUM(CAPSTONE_PROJECT[[#This Row],[Room Cost]:[Treatment Cost]])</f>
        <v>14004.65</v>
      </c>
      <c r="W103" s="6">
        <f t="shared" si="1"/>
        <v>1273.1499999999999</v>
      </c>
      <c r="X103" s="3" t="str">
        <f>TEXT(CAPSTONE_PROJECT[[#This Row],[Admission Date]],"mmmm")</f>
        <v>July</v>
      </c>
      <c r="Y103" s="3" t="str">
        <f>TEXT(CAPSTONE_PROJECT[[#This Row],[Admission Date]],"yyyy")</f>
        <v>2024</v>
      </c>
      <c r="Z103" s="3" t="str">
        <f>TEXT(CAPSTONE_PROJECT[[#This Row],[Admission Date]],"mmm yyyy")</f>
        <v>Jul 2024</v>
      </c>
      <c r="AA103" s="3" t="str">
        <f>TEXT(CAPSTONE_PROJECT[[#This Row],[Admission Date]],"dddd")</f>
        <v>Wednesday</v>
      </c>
      <c r="AB103" s="3" t="str">
        <f>IF(CAPSTONE_PROJECT[[#This Row],[Age]]&lt;=34,"Young Adults",IF(CAPSTONE_PROJECT[[#This Row],[Age]]&lt;=59,"Adults","Elders"))</f>
        <v>Elders</v>
      </c>
      <c r="AC103" s="3" t="str">
        <f>_xlfn.XLOOKUP(CAPSTONE_PROJECT[[#This Row],[Patient ID]],'Lookup table'!A:A,'Lookup table'!B:B,,0)</f>
        <v>Emma Smith</v>
      </c>
      <c r="AD103" s="3" t="str">
        <f>_xlfn.XLOOKUP(CAPSTONE_PROJECT[[#This Row],[Patient ID]],'Lookup table'!A:A,'Lookup table'!C:C,,0)</f>
        <v>Female</v>
      </c>
      <c r="AE103" s="3" t="str">
        <f>IF(CAPSTONE_PROJECT[[#This Row],[Length of Stay]]&lt;=3,"Short Stay",IF(CAPSTONE_PROJECT[[#This Row],[Length of Stay]]&lt;=7,"Moderate Stay",IF(CAPSTONE_PROJECT[[#This Row],[Length of Stay]]&lt;=14,"Long Stay","Extended Stay")))</f>
        <v>Long Stay</v>
      </c>
    </row>
    <row r="104" spans="1:31" x14ac:dyDescent="0.3">
      <c r="A104" s="3" t="s">
        <v>265</v>
      </c>
      <c r="B104" s="4">
        <v>45493</v>
      </c>
      <c r="C104" s="4">
        <v>45502</v>
      </c>
      <c r="D104" s="4">
        <v>36237</v>
      </c>
      <c r="E104" s="3">
        <v>27</v>
      </c>
      <c r="F104" s="3" t="s">
        <v>33</v>
      </c>
      <c r="G104" s="3" t="s">
        <v>9</v>
      </c>
      <c r="H104" s="3" t="s">
        <v>100</v>
      </c>
      <c r="I104" s="3" t="s">
        <v>22</v>
      </c>
      <c r="J104" s="3" t="s">
        <v>23</v>
      </c>
      <c r="K104" s="3" t="s">
        <v>65</v>
      </c>
      <c r="L104" s="6">
        <v>252.27</v>
      </c>
      <c r="M104" s="6">
        <v>1804.2</v>
      </c>
      <c r="N104" s="6">
        <v>2490.89</v>
      </c>
      <c r="O104" s="6">
        <v>7363.87</v>
      </c>
      <c r="P104" s="3" t="s">
        <v>31</v>
      </c>
      <c r="Q104" s="3" t="s">
        <v>1082</v>
      </c>
      <c r="R104" s="3" t="s">
        <v>41</v>
      </c>
      <c r="S104" s="3" t="s">
        <v>266</v>
      </c>
      <c r="T104" s="3">
        <v>9</v>
      </c>
      <c r="U104" s="3">
        <f>CAPSTONE_PROJECT[[#This Row],[Discharge Date]]-CAPSTONE_PROJECT[[#This Row],[Admission Date]]</f>
        <v>9</v>
      </c>
      <c r="V104" s="6">
        <f>SUM(CAPSTONE_PROJECT[[#This Row],[Room Cost]:[Treatment Cost]])</f>
        <v>11911.23</v>
      </c>
      <c r="W104" s="6">
        <f t="shared" si="1"/>
        <v>1323.47</v>
      </c>
      <c r="X104" s="3" t="str">
        <f>TEXT(CAPSTONE_PROJECT[[#This Row],[Admission Date]],"mmmm")</f>
        <v>July</v>
      </c>
      <c r="Y104" s="3" t="str">
        <f>TEXT(CAPSTONE_PROJECT[[#This Row],[Admission Date]],"yyyy")</f>
        <v>2024</v>
      </c>
      <c r="Z104" s="3" t="str">
        <f>TEXT(CAPSTONE_PROJECT[[#This Row],[Admission Date]],"mmm yyyy")</f>
        <v>Jul 2024</v>
      </c>
      <c r="AA104" s="3" t="str">
        <f>TEXT(CAPSTONE_PROJECT[[#This Row],[Admission Date]],"dddd")</f>
        <v>Saturday</v>
      </c>
      <c r="AB104" s="3" t="str">
        <f>IF(CAPSTONE_PROJECT[[#This Row],[Age]]&lt;=34,"Young Adults",IF(CAPSTONE_PROJECT[[#This Row],[Age]]&lt;=59,"Adults","Elders"))</f>
        <v>Young Adults</v>
      </c>
      <c r="AC104" s="3" t="str">
        <f>_xlfn.XLOOKUP(CAPSTONE_PROJECT[[#This Row],[Patient ID]],'Lookup table'!A:A,'Lookup table'!B:B,,0)</f>
        <v>Leo Thompson</v>
      </c>
      <c r="AD104" s="3" t="str">
        <f>_xlfn.XLOOKUP(CAPSTONE_PROJECT[[#This Row],[Patient ID]],'Lookup table'!A:A,'Lookup table'!C:C,,0)</f>
        <v>Male</v>
      </c>
      <c r="AE104" s="3" t="str">
        <f>IF(CAPSTONE_PROJECT[[#This Row],[Length of Stay]]&lt;=3,"Short Stay",IF(CAPSTONE_PROJECT[[#This Row],[Length of Stay]]&lt;=7,"Moderate Stay",IF(CAPSTONE_PROJECT[[#This Row],[Length of Stay]]&lt;=14,"Long Stay","Extended Stay")))</f>
        <v>Long Stay</v>
      </c>
    </row>
    <row r="105" spans="1:31" x14ac:dyDescent="0.3">
      <c r="A105" s="3" t="s">
        <v>267</v>
      </c>
      <c r="B105" s="4">
        <v>45871</v>
      </c>
      <c r="C105" s="4">
        <v>45890</v>
      </c>
      <c r="D105" s="4">
        <v>26729</v>
      </c>
      <c r="E105" s="3">
        <v>53</v>
      </c>
      <c r="F105" s="3" t="s">
        <v>18</v>
      </c>
      <c r="G105" s="3" t="s">
        <v>57</v>
      </c>
      <c r="H105" s="3" t="s">
        <v>114</v>
      </c>
      <c r="I105" s="3" t="s">
        <v>22</v>
      </c>
      <c r="J105" s="3" t="s">
        <v>14</v>
      </c>
      <c r="K105" s="3" t="s">
        <v>24</v>
      </c>
      <c r="L105" s="6">
        <v>4894.4399999999996</v>
      </c>
      <c r="M105" s="6">
        <v>394.83</v>
      </c>
      <c r="N105" s="6">
        <v>236.88</v>
      </c>
      <c r="O105" s="6">
        <v>14919.91</v>
      </c>
      <c r="P105" s="3" t="s">
        <v>25</v>
      </c>
      <c r="Q105" s="3" t="s">
        <v>1079</v>
      </c>
      <c r="R105" s="3" t="s">
        <v>75</v>
      </c>
      <c r="S105" s="3" t="s">
        <v>268</v>
      </c>
      <c r="T105" s="3">
        <v>8</v>
      </c>
      <c r="U105" s="3">
        <f>CAPSTONE_PROJECT[[#This Row],[Discharge Date]]-CAPSTONE_PROJECT[[#This Row],[Admission Date]]</f>
        <v>19</v>
      </c>
      <c r="V105" s="6">
        <f>SUM(CAPSTONE_PROJECT[[#This Row],[Room Cost]:[Treatment Cost]])</f>
        <v>20446.059999999998</v>
      </c>
      <c r="W105" s="6">
        <f t="shared" si="1"/>
        <v>1076.1084210526315</v>
      </c>
      <c r="X105" s="3" t="str">
        <f>TEXT(CAPSTONE_PROJECT[[#This Row],[Admission Date]],"mmmm")</f>
        <v>August</v>
      </c>
      <c r="Y105" s="3" t="str">
        <f>TEXT(CAPSTONE_PROJECT[[#This Row],[Admission Date]],"yyyy")</f>
        <v>2025</v>
      </c>
      <c r="Z105" s="3" t="str">
        <f>TEXT(CAPSTONE_PROJECT[[#This Row],[Admission Date]],"mmm yyyy")</f>
        <v>Aug 2025</v>
      </c>
      <c r="AA105" s="3" t="str">
        <f>TEXT(CAPSTONE_PROJECT[[#This Row],[Admission Date]],"dddd")</f>
        <v>Saturday</v>
      </c>
      <c r="AB105" s="3" t="str">
        <f>IF(CAPSTONE_PROJECT[[#This Row],[Age]]&lt;=34,"Young Adults",IF(CAPSTONE_PROJECT[[#This Row],[Age]]&lt;=59,"Adults","Elders"))</f>
        <v>Adults</v>
      </c>
      <c r="AC105" s="3" t="str">
        <f>_xlfn.XLOOKUP(CAPSTONE_PROJECT[[#This Row],[Patient ID]],'Lookup table'!A:A,'Lookup table'!B:B,,0)</f>
        <v>Emma Jones</v>
      </c>
      <c r="AD105" s="3" t="str">
        <f>_xlfn.XLOOKUP(CAPSTONE_PROJECT[[#This Row],[Patient ID]],'Lookup table'!A:A,'Lookup table'!C:C,,0)</f>
        <v>Female</v>
      </c>
      <c r="AE105" s="3" t="str">
        <f>IF(CAPSTONE_PROJECT[[#This Row],[Length of Stay]]&lt;=3,"Short Stay",IF(CAPSTONE_PROJECT[[#This Row],[Length of Stay]]&lt;=7,"Moderate Stay",IF(CAPSTONE_PROJECT[[#This Row],[Length of Stay]]&lt;=14,"Long Stay","Extended Stay")))</f>
        <v>Extended Stay</v>
      </c>
    </row>
    <row r="106" spans="1:31" x14ac:dyDescent="0.3">
      <c r="A106" s="3" t="s">
        <v>269</v>
      </c>
      <c r="B106" s="4">
        <v>45371</v>
      </c>
      <c r="C106" s="4">
        <v>45388</v>
      </c>
      <c r="D106" s="4">
        <v>30282</v>
      </c>
      <c r="E106" s="3">
        <v>43</v>
      </c>
      <c r="F106" s="3" t="s">
        <v>18</v>
      </c>
      <c r="G106" s="3" t="s">
        <v>139</v>
      </c>
      <c r="H106" s="3" t="s">
        <v>12</v>
      </c>
      <c r="I106" s="3" t="s">
        <v>44</v>
      </c>
      <c r="J106" s="3" t="s">
        <v>23</v>
      </c>
      <c r="K106" s="3" t="s">
        <v>50</v>
      </c>
      <c r="L106" s="6">
        <v>1135.1099999999999</v>
      </c>
      <c r="M106" s="6">
        <v>909.56</v>
      </c>
      <c r="N106" s="6">
        <v>1576.72</v>
      </c>
      <c r="O106" s="6">
        <v>7036.02</v>
      </c>
      <c r="P106" s="3" t="s">
        <v>16</v>
      </c>
      <c r="Q106" s="3" t="s">
        <v>1086</v>
      </c>
      <c r="R106" s="3" t="s">
        <v>41</v>
      </c>
      <c r="S106" s="3" t="s">
        <v>270</v>
      </c>
      <c r="T106" s="3">
        <v>6</v>
      </c>
      <c r="U106" s="3">
        <f>CAPSTONE_PROJECT[[#This Row],[Discharge Date]]-CAPSTONE_PROJECT[[#This Row],[Admission Date]]</f>
        <v>17</v>
      </c>
      <c r="V106" s="6">
        <f>SUM(CAPSTONE_PROJECT[[#This Row],[Room Cost]:[Treatment Cost]])</f>
        <v>10657.41</v>
      </c>
      <c r="W106" s="6">
        <f t="shared" si="1"/>
        <v>626.90647058823527</v>
      </c>
      <c r="X106" s="3" t="str">
        <f>TEXT(CAPSTONE_PROJECT[[#This Row],[Admission Date]],"mmmm")</f>
        <v>March</v>
      </c>
      <c r="Y106" s="3" t="str">
        <f>TEXT(CAPSTONE_PROJECT[[#This Row],[Admission Date]],"yyyy")</f>
        <v>2024</v>
      </c>
      <c r="Z106" s="3" t="str">
        <f>TEXT(CAPSTONE_PROJECT[[#This Row],[Admission Date]],"mmm yyyy")</f>
        <v>Mar 2024</v>
      </c>
      <c r="AA106" s="3" t="str">
        <f>TEXT(CAPSTONE_PROJECT[[#This Row],[Admission Date]],"dddd")</f>
        <v>Wednesday</v>
      </c>
      <c r="AB106" s="3" t="str">
        <f>IF(CAPSTONE_PROJECT[[#This Row],[Age]]&lt;=34,"Young Adults",IF(CAPSTONE_PROJECT[[#This Row],[Age]]&lt;=59,"Adults","Elders"))</f>
        <v>Adults</v>
      </c>
      <c r="AC106" s="3" t="str">
        <f>_xlfn.XLOOKUP(CAPSTONE_PROJECT[[#This Row],[Patient ID]],'Lookup table'!A:A,'Lookup table'!B:B,,0)</f>
        <v>Daniel Clarke</v>
      </c>
      <c r="AD106" s="3" t="str">
        <f>_xlfn.XLOOKUP(CAPSTONE_PROJECT[[#This Row],[Patient ID]],'Lookup table'!A:A,'Lookup table'!C:C,,0)</f>
        <v>Male</v>
      </c>
      <c r="AE106" s="3" t="str">
        <f>IF(CAPSTONE_PROJECT[[#This Row],[Length of Stay]]&lt;=3,"Short Stay",IF(CAPSTONE_PROJECT[[#This Row],[Length of Stay]]&lt;=7,"Moderate Stay",IF(CAPSTONE_PROJECT[[#This Row],[Length of Stay]]&lt;=14,"Long Stay","Extended Stay")))</f>
        <v>Extended Stay</v>
      </c>
    </row>
    <row r="107" spans="1:31" x14ac:dyDescent="0.3">
      <c r="A107" s="3" t="s">
        <v>271</v>
      </c>
      <c r="B107" s="4">
        <v>45507</v>
      </c>
      <c r="C107" s="4">
        <v>45526</v>
      </c>
      <c r="D107" s="4">
        <v>32371</v>
      </c>
      <c r="E107" s="3">
        <v>37</v>
      </c>
      <c r="F107" s="3" t="s">
        <v>18</v>
      </c>
      <c r="G107" s="3" t="s">
        <v>126</v>
      </c>
      <c r="H107" s="3" t="s">
        <v>114</v>
      </c>
      <c r="I107" s="3" t="s">
        <v>37</v>
      </c>
      <c r="J107" s="3" t="s">
        <v>30</v>
      </c>
      <c r="K107" s="3" t="s">
        <v>50</v>
      </c>
      <c r="L107" s="6">
        <v>4047.73</v>
      </c>
      <c r="M107" s="6">
        <v>379.97</v>
      </c>
      <c r="N107" s="6">
        <v>0</v>
      </c>
      <c r="O107" s="6">
        <v>0</v>
      </c>
      <c r="P107" s="3" t="s">
        <v>51</v>
      </c>
      <c r="Q107" s="3" t="s">
        <v>1077</v>
      </c>
      <c r="R107" s="3" t="s">
        <v>41</v>
      </c>
      <c r="S107" s="3" t="s">
        <v>272</v>
      </c>
      <c r="T107" s="3">
        <v>10</v>
      </c>
      <c r="U107" s="3">
        <f>CAPSTONE_PROJECT[[#This Row],[Discharge Date]]-CAPSTONE_PROJECT[[#This Row],[Admission Date]]</f>
        <v>19</v>
      </c>
      <c r="V107" s="6">
        <f>SUM(CAPSTONE_PROJECT[[#This Row],[Room Cost]:[Treatment Cost]])</f>
        <v>4427.7</v>
      </c>
      <c r="W107" s="6">
        <f t="shared" si="1"/>
        <v>233.03684210526316</v>
      </c>
      <c r="X107" s="3" t="str">
        <f>TEXT(CAPSTONE_PROJECT[[#This Row],[Admission Date]],"mmmm")</f>
        <v>August</v>
      </c>
      <c r="Y107" s="3" t="str">
        <f>TEXT(CAPSTONE_PROJECT[[#This Row],[Admission Date]],"yyyy")</f>
        <v>2024</v>
      </c>
      <c r="Z107" s="3" t="str">
        <f>TEXT(CAPSTONE_PROJECT[[#This Row],[Admission Date]],"mmm yyyy")</f>
        <v>Aug 2024</v>
      </c>
      <c r="AA107" s="3" t="str">
        <f>TEXT(CAPSTONE_PROJECT[[#This Row],[Admission Date]],"dddd")</f>
        <v>Saturday</v>
      </c>
      <c r="AB107" s="3" t="str">
        <f>IF(CAPSTONE_PROJECT[[#This Row],[Age]]&lt;=34,"Young Adults",IF(CAPSTONE_PROJECT[[#This Row],[Age]]&lt;=59,"Adults","Elders"))</f>
        <v>Adults</v>
      </c>
      <c r="AC107" s="3" t="str">
        <f>_xlfn.XLOOKUP(CAPSTONE_PROJECT[[#This Row],[Patient ID]],'Lookup table'!A:A,'Lookup table'!B:B,,0)</f>
        <v>Olivia Thomas</v>
      </c>
      <c r="AD107" s="3" t="str">
        <f>_xlfn.XLOOKUP(CAPSTONE_PROJECT[[#This Row],[Patient ID]],'Lookup table'!A:A,'Lookup table'!C:C,,0)</f>
        <v>Female</v>
      </c>
      <c r="AE107" s="3" t="str">
        <f>IF(CAPSTONE_PROJECT[[#This Row],[Length of Stay]]&lt;=3,"Short Stay",IF(CAPSTONE_PROJECT[[#This Row],[Length of Stay]]&lt;=7,"Moderate Stay",IF(CAPSTONE_PROJECT[[#This Row],[Length of Stay]]&lt;=14,"Long Stay","Extended Stay")))</f>
        <v>Extended Stay</v>
      </c>
    </row>
    <row r="108" spans="1:31" x14ac:dyDescent="0.3">
      <c r="A108" s="3" t="s">
        <v>273</v>
      </c>
      <c r="B108" s="4">
        <v>45478</v>
      </c>
      <c r="C108" s="4">
        <v>45498</v>
      </c>
      <c r="D108" s="4">
        <v>34999</v>
      </c>
      <c r="E108" s="3">
        <v>30</v>
      </c>
      <c r="F108" s="3" t="s">
        <v>18</v>
      </c>
      <c r="G108" s="3" t="s">
        <v>57</v>
      </c>
      <c r="H108" s="3" t="s">
        <v>104</v>
      </c>
      <c r="I108" s="3" t="s">
        <v>37</v>
      </c>
      <c r="J108" s="3" t="s">
        <v>14</v>
      </c>
      <c r="K108" s="3" t="s">
        <v>15</v>
      </c>
      <c r="L108" s="6">
        <v>4599.75</v>
      </c>
      <c r="M108" s="6">
        <v>1902.89</v>
      </c>
      <c r="N108" s="6">
        <v>1966.65</v>
      </c>
      <c r="O108" s="6">
        <v>11433.33</v>
      </c>
      <c r="P108" s="3" t="s">
        <v>25</v>
      </c>
      <c r="Q108" s="3" t="s">
        <v>1077</v>
      </c>
      <c r="R108" s="3" t="s">
        <v>35</v>
      </c>
      <c r="S108" s="3" t="s">
        <v>274</v>
      </c>
      <c r="T108" s="3">
        <v>2</v>
      </c>
      <c r="U108" s="3">
        <f>CAPSTONE_PROJECT[[#This Row],[Discharge Date]]-CAPSTONE_PROJECT[[#This Row],[Admission Date]]</f>
        <v>20</v>
      </c>
      <c r="V108" s="6">
        <f>SUM(CAPSTONE_PROJECT[[#This Row],[Room Cost]:[Treatment Cost]])</f>
        <v>19902.620000000003</v>
      </c>
      <c r="W108" s="6">
        <f t="shared" si="1"/>
        <v>995.13100000000009</v>
      </c>
      <c r="X108" s="3" t="str">
        <f>TEXT(CAPSTONE_PROJECT[[#This Row],[Admission Date]],"mmmm")</f>
        <v>July</v>
      </c>
      <c r="Y108" s="3" t="str">
        <f>TEXT(CAPSTONE_PROJECT[[#This Row],[Admission Date]],"yyyy")</f>
        <v>2024</v>
      </c>
      <c r="Z108" s="3" t="str">
        <f>TEXT(CAPSTONE_PROJECT[[#This Row],[Admission Date]],"mmm yyyy")</f>
        <v>Jul 2024</v>
      </c>
      <c r="AA108" s="3" t="str">
        <f>TEXT(CAPSTONE_PROJECT[[#This Row],[Admission Date]],"dddd")</f>
        <v>Friday</v>
      </c>
      <c r="AB108" s="3" t="str">
        <f>IF(CAPSTONE_PROJECT[[#This Row],[Age]]&lt;=34,"Young Adults",IF(CAPSTONE_PROJECT[[#This Row],[Age]]&lt;=59,"Adults","Elders"))</f>
        <v>Young Adults</v>
      </c>
      <c r="AC108" s="3" t="str">
        <f>_xlfn.XLOOKUP(CAPSTONE_PROJECT[[#This Row],[Patient ID]],'Lookup table'!A:A,'Lookup table'!B:B,,0)</f>
        <v>Lucas Clarke</v>
      </c>
      <c r="AD108" s="3" t="str">
        <f>_xlfn.XLOOKUP(CAPSTONE_PROJECT[[#This Row],[Patient ID]],'Lookup table'!A:A,'Lookup table'!C:C,,0)</f>
        <v>Male</v>
      </c>
      <c r="AE108" s="3" t="str">
        <f>IF(CAPSTONE_PROJECT[[#This Row],[Length of Stay]]&lt;=3,"Short Stay",IF(CAPSTONE_PROJECT[[#This Row],[Length of Stay]]&lt;=7,"Moderate Stay",IF(CAPSTONE_PROJECT[[#This Row],[Length of Stay]]&lt;=14,"Long Stay","Extended Stay")))</f>
        <v>Extended Stay</v>
      </c>
    </row>
    <row r="109" spans="1:31" x14ac:dyDescent="0.3">
      <c r="A109" s="3" t="s">
        <v>275</v>
      </c>
      <c r="B109" s="4">
        <v>45834</v>
      </c>
      <c r="C109" s="4">
        <v>45848</v>
      </c>
      <c r="D109" s="4">
        <v>24860</v>
      </c>
      <c r="E109" s="3">
        <v>58</v>
      </c>
      <c r="F109" s="3" t="s">
        <v>18</v>
      </c>
      <c r="G109" s="3" t="s">
        <v>27</v>
      </c>
      <c r="H109" s="3" t="s">
        <v>72</v>
      </c>
      <c r="I109" s="3" t="s">
        <v>37</v>
      </c>
      <c r="J109" s="3" t="s">
        <v>73</v>
      </c>
      <c r="K109" s="3" t="s">
        <v>65</v>
      </c>
      <c r="L109" s="6">
        <v>1850.78</v>
      </c>
      <c r="M109" s="6">
        <v>686.44</v>
      </c>
      <c r="N109" s="6">
        <v>1543.9</v>
      </c>
      <c r="O109" s="6">
        <v>9022.19</v>
      </c>
      <c r="P109" s="3" t="s">
        <v>16</v>
      </c>
      <c r="Q109" s="3" t="s">
        <v>1078</v>
      </c>
      <c r="R109" s="3" t="s">
        <v>62</v>
      </c>
      <c r="S109" s="3" t="s">
        <v>276</v>
      </c>
      <c r="T109" s="3">
        <v>10</v>
      </c>
      <c r="U109" s="3">
        <f>CAPSTONE_PROJECT[[#This Row],[Discharge Date]]-CAPSTONE_PROJECT[[#This Row],[Admission Date]]</f>
        <v>14</v>
      </c>
      <c r="V109" s="6">
        <f>SUM(CAPSTONE_PROJECT[[#This Row],[Room Cost]:[Treatment Cost]])</f>
        <v>13103.310000000001</v>
      </c>
      <c r="W109" s="6">
        <f t="shared" si="1"/>
        <v>935.95071428571441</v>
      </c>
      <c r="X109" s="3" t="str">
        <f>TEXT(CAPSTONE_PROJECT[[#This Row],[Admission Date]],"mmmm")</f>
        <v>June</v>
      </c>
      <c r="Y109" s="3" t="str">
        <f>TEXT(CAPSTONE_PROJECT[[#This Row],[Admission Date]],"yyyy")</f>
        <v>2025</v>
      </c>
      <c r="Z109" s="3" t="str">
        <f>TEXT(CAPSTONE_PROJECT[[#This Row],[Admission Date]],"mmm yyyy")</f>
        <v>Jun 2025</v>
      </c>
      <c r="AA109" s="3" t="str">
        <f>TEXT(CAPSTONE_PROJECT[[#This Row],[Admission Date]],"dddd")</f>
        <v>Thursday</v>
      </c>
      <c r="AB109" s="3" t="str">
        <f>IF(CAPSTONE_PROJECT[[#This Row],[Age]]&lt;=34,"Young Adults",IF(CAPSTONE_PROJECT[[#This Row],[Age]]&lt;=59,"Adults","Elders"))</f>
        <v>Adults</v>
      </c>
      <c r="AC109" s="3" t="str">
        <f>_xlfn.XLOOKUP(CAPSTONE_PROJECT[[#This Row],[Patient ID]],'Lookup table'!A:A,'Lookup table'!B:B,,0)</f>
        <v>Olivia Z Clarke</v>
      </c>
      <c r="AD109" s="3" t="str">
        <f>_xlfn.XLOOKUP(CAPSTONE_PROJECT[[#This Row],[Patient ID]],'Lookup table'!A:A,'Lookup table'!C:C,,0)</f>
        <v>Female</v>
      </c>
      <c r="AE109" s="3" t="str">
        <f>IF(CAPSTONE_PROJECT[[#This Row],[Length of Stay]]&lt;=3,"Short Stay",IF(CAPSTONE_PROJECT[[#This Row],[Length of Stay]]&lt;=7,"Moderate Stay",IF(CAPSTONE_PROJECT[[#This Row],[Length of Stay]]&lt;=14,"Long Stay","Extended Stay")))</f>
        <v>Long Stay</v>
      </c>
    </row>
    <row r="110" spans="1:31" x14ac:dyDescent="0.3">
      <c r="A110" s="3" t="s">
        <v>277</v>
      </c>
      <c r="B110" s="4">
        <v>45551</v>
      </c>
      <c r="C110" s="4">
        <v>45560</v>
      </c>
      <c r="D110" s="4">
        <v>26622</v>
      </c>
      <c r="E110" s="3">
        <v>53</v>
      </c>
      <c r="F110" s="3" t="s">
        <v>8</v>
      </c>
      <c r="G110" s="3" t="s">
        <v>57</v>
      </c>
      <c r="H110" s="3" t="s">
        <v>104</v>
      </c>
      <c r="I110" s="3" t="s">
        <v>13</v>
      </c>
      <c r="J110" s="3" t="s">
        <v>23</v>
      </c>
      <c r="K110" s="3" t="s">
        <v>50</v>
      </c>
      <c r="L110" s="6">
        <v>1435.03</v>
      </c>
      <c r="M110" s="6">
        <v>1081.03</v>
      </c>
      <c r="N110" s="6">
        <v>2876.75</v>
      </c>
      <c r="O110" s="6">
        <v>8600.11</v>
      </c>
      <c r="P110" s="3" t="s">
        <v>25</v>
      </c>
      <c r="Q110" s="3" t="s">
        <v>1077</v>
      </c>
      <c r="R110" s="3" t="s">
        <v>35</v>
      </c>
      <c r="S110" s="3" t="s">
        <v>278</v>
      </c>
      <c r="T110" s="3">
        <v>4</v>
      </c>
      <c r="U110" s="3">
        <f>CAPSTONE_PROJECT[[#This Row],[Discharge Date]]-CAPSTONE_PROJECT[[#This Row],[Admission Date]]</f>
        <v>9</v>
      </c>
      <c r="V110" s="6">
        <f>SUM(CAPSTONE_PROJECT[[#This Row],[Room Cost]:[Treatment Cost]])</f>
        <v>13992.92</v>
      </c>
      <c r="W110" s="6">
        <f t="shared" si="1"/>
        <v>1554.7688888888888</v>
      </c>
      <c r="X110" s="3" t="str">
        <f>TEXT(CAPSTONE_PROJECT[[#This Row],[Admission Date]],"mmmm")</f>
        <v>September</v>
      </c>
      <c r="Y110" s="3" t="str">
        <f>TEXT(CAPSTONE_PROJECT[[#This Row],[Admission Date]],"yyyy")</f>
        <v>2024</v>
      </c>
      <c r="Z110" s="3" t="str">
        <f>TEXT(CAPSTONE_PROJECT[[#This Row],[Admission Date]],"mmm yyyy")</f>
        <v>Sep 2024</v>
      </c>
      <c r="AA110" s="3" t="str">
        <f>TEXT(CAPSTONE_PROJECT[[#This Row],[Admission Date]],"dddd")</f>
        <v>Monday</v>
      </c>
      <c r="AB110" s="3" t="str">
        <f>IF(CAPSTONE_PROJECT[[#This Row],[Age]]&lt;=34,"Young Adults",IF(CAPSTONE_PROJECT[[#This Row],[Age]]&lt;=59,"Adults","Elders"))</f>
        <v>Adults</v>
      </c>
      <c r="AC110" s="3" t="str">
        <f>_xlfn.XLOOKUP(CAPSTONE_PROJECT[[#This Row],[Patient ID]],'Lookup table'!A:A,'Lookup table'!B:B,,0)</f>
        <v>Oliver Martin</v>
      </c>
      <c r="AD110" s="3" t="str">
        <f>_xlfn.XLOOKUP(CAPSTONE_PROJECT[[#This Row],[Patient ID]],'Lookup table'!A:A,'Lookup table'!C:C,,0)</f>
        <v>Male</v>
      </c>
      <c r="AE110" s="3" t="str">
        <f>IF(CAPSTONE_PROJECT[[#This Row],[Length of Stay]]&lt;=3,"Short Stay",IF(CAPSTONE_PROJECT[[#This Row],[Length of Stay]]&lt;=7,"Moderate Stay",IF(CAPSTONE_PROJECT[[#This Row],[Length of Stay]]&lt;=14,"Long Stay","Extended Stay")))</f>
        <v>Long Stay</v>
      </c>
    </row>
    <row r="111" spans="1:31" x14ac:dyDescent="0.3">
      <c r="A111" s="3" t="s">
        <v>279</v>
      </c>
      <c r="B111" s="4">
        <v>45297</v>
      </c>
      <c r="C111" s="4">
        <v>45300</v>
      </c>
      <c r="D111" s="4">
        <v>20291</v>
      </c>
      <c r="E111" s="3">
        <v>70</v>
      </c>
      <c r="F111" s="3" t="s">
        <v>33</v>
      </c>
      <c r="G111" s="3" t="s">
        <v>61</v>
      </c>
      <c r="H111" s="3" t="s">
        <v>114</v>
      </c>
      <c r="I111" s="3" t="s">
        <v>13</v>
      </c>
      <c r="J111" s="3" t="s">
        <v>38</v>
      </c>
      <c r="K111" s="3" t="s">
        <v>50</v>
      </c>
      <c r="L111" s="6">
        <v>4372.6000000000004</v>
      </c>
      <c r="M111" s="6">
        <v>127.2</v>
      </c>
      <c r="N111" s="6">
        <v>338.31</v>
      </c>
      <c r="O111" s="6">
        <v>15091.88</v>
      </c>
      <c r="P111" s="3" t="s">
        <v>31</v>
      </c>
      <c r="Q111" s="3" t="s">
        <v>1084</v>
      </c>
      <c r="R111" s="3" t="s">
        <v>35</v>
      </c>
      <c r="S111" s="3" t="s">
        <v>280</v>
      </c>
      <c r="T111" s="3">
        <v>9</v>
      </c>
      <c r="U111" s="3">
        <f>CAPSTONE_PROJECT[[#This Row],[Discharge Date]]-CAPSTONE_PROJECT[[#This Row],[Admission Date]]</f>
        <v>3</v>
      </c>
      <c r="V111" s="6">
        <f>SUM(CAPSTONE_PROJECT[[#This Row],[Room Cost]:[Treatment Cost]])</f>
        <v>19929.989999999998</v>
      </c>
      <c r="W111" s="6">
        <f t="shared" si="1"/>
        <v>6643.329999999999</v>
      </c>
      <c r="X111" s="3" t="str">
        <f>TEXT(CAPSTONE_PROJECT[[#This Row],[Admission Date]],"mmmm")</f>
        <v>January</v>
      </c>
      <c r="Y111" s="3" t="str">
        <f>TEXT(CAPSTONE_PROJECT[[#This Row],[Admission Date]],"yyyy")</f>
        <v>2024</v>
      </c>
      <c r="Z111" s="3" t="str">
        <f>TEXT(CAPSTONE_PROJECT[[#This Row],[Admission Date]],"mmm yyyy")</f>
        <v>Jan 2024</v>
      </c>
      <c r="AA111" s="3" t="str">
        <f>TEXT(CAPSTONE_PROJECT[[#This Row],[Admission Date]],"dddd")</f>
        <v>Saturday</v>
      </c>
      <c r="AB111" s="3" t="str">
        <f>IF(CAPSTONE_PROJECT[[#This Row],[Age]]&lt;=34,"Young Adults",IF(CAPSTONE_PROJECT[[#This Row],[Age]]&lt;=59,"Adults","Elders"))</f>
        <v>Elders</v>
      </c>
      <c r="AC111" s="3" t="str">
        <f>_xlfn.XLOOKUP(CAPSTONE_PROJECT[[#This Row],[Patient ID]],'Lookup table'!A:A,'Lookup table'!B:B,,0)</f>
        <v>Emma Wilson</v>
      </c>
      <c r="AD111" s="3" t="str">
        <f>_xlfn.XLOOKUP(CAPSTONE_PROJECT[[#This Row],[Patient ID]],'Lookup table'!A:A,'Lookup table'!C:C,,0)</f>
        <v>Female</v>
      </c>
      <c r="AE111" s="3" t="str">
        <f>IF(CAPSTONE_PROJECT[[#This Row],[Length of Stay]]&lt;=3,"Short Stay",IF(CAPSTONE_PROJECT[[#This Row],[Length of Stay]]&lt;=7,"Moderate Stay",IF(CAPSTONE_PROJECT[[#This Row],[Length of Stay]]&lt;=14,"Long Stay","Extended Stay")))</f>
        <v>Short Stay</v>
      </c>
    </row>
    <row r="112" spans="1:31" x14ac:dyDescent="0.3">
      <c r="A112" s="3" t="s">
        <v>281</v>
      </c>
      <c r="B112" s="4">
        <v>45536</v>
      </c>
      <c r="C112" s="4">
        <v>45537</v>
      </c>
      <c r="D112" s="4">
        <v>32154</v>
      </c>
      <c r="E112" s="3">
        <v>38</v>
      </c>
      <c r="F112" s="3" t="s">
        <v>47</v>
      </c>
      <c r="G112" s="3" t="s">
        <v>27</v>
      </c>
      <c r="H112" s="3" t="s">
        <v>114</v>
      </c>
      <c r="I112" s="3" t="s">
        <v>37</v>
      </c>
      <c r="J112" s="3" t="s">
        <v>30</v>
      </c>
      <c r="K112" s="3" t="s">
        <v>50</v>
      </c>
      <c r="L112" s="6">
        <v>4809.47</v>
      </c>
      <c r="M112" s="6">
        <v>398.36</v>
      </c>
      <c r="N112" s="6">
        <v>0</v>
      </c>
      <c r="O112" s="6">
        <v>0</v>
      </c>
      <c r="P112" s="3" t="s">
        <v>25</v>
      </c>
      <c r="Q112" s="3" t="s">
        <v>1076</v>
      </c>
      <c r="R112" s="3" t="s">
        <v>35</v>
      </c>
      <c r="S112" s="3" t="s">
        <v>282</v>
      </c>
      <c r="T112" s="3">
        <v>7</v>
      </c>
      <c r="U112" s="3">
        <f>CAPSTONE_PROJECT[[#This Row],[Discharge Date]]-CAPSTONE_PROJECT[[#This Row],[Admission Date]]</f>
        <v>1</v>
      </c>
      <c r="V112" s="6">
        <f>SUM(CAPSTONE_PROJECT[[#This Row],[Room Cost]:[Treatment Cost]])</f>
        <v>5207.83</v>
      </c>
      <c r="W112" s="6">
        <f t="shared" si="1"/>
        <v>5207.83</v>
      </c>
      <c r="X112" s="3" t="str">
        <f>TEXT(CAPSTONE_PROJECT[[#This Row],[Admission Date]],"mmmm")</f>
        <v>September</v>
      </c>
      <c r="Y112" s="3" t="str">
        <f>TEXT(CAPSTONE_PROJECT[[#This Row],[Admission Date]],"yyyy")</f>
        <v>2024</v>
      </c>
      <c r="Z112" s="3" t="str">
        <f>TEXT(CAPSTONE_PROJECT[[#This Row],[Admission Date]],"mmm yyyy")</f>
        <v>Sep 2024</v>
      </c>
      <c r="AA112" s="3" t="str">
        <f>TEXT(CAPSTONE_PROJECT[[#This Row],[Admission Date]],"dddd")</f>
        <v>Sunday</v>
      </c>
      <c r="AB112" s="3" t="str">
        <f>IF(CAPSTONE_PROJECT[[#This Row],[Age]]&lt;=34,"Young Adults",IF(CAPSTONE_PROJECT[[#This Row],[Age]]&lt;=59,"Adults","Elders"))</f>
        <v>Adults</v>
      </c>
      <c r="AC112" s="3" t="str">
        <f>_xlfn.XLOOKUP(CAPSTONE_PROJECT[[#This Row],[Patient ID]],'Lookup table'!A:A,'Lookup table'!B:B,,0)</f>
        <v>Ethan Hall</v>
      </c>
      <c r="AD112" s="3" t="str">
        <f>_xlfn.XLOOKUP(CAPSTONE_PROJECT[[#This Row],[Patient ID]],'Lookup table'!A:A,'Lookup table'!C:C,,0)</f>
        <v>Male</v>
      </c>
      <c r="AE112" s="3" t="str">
        <f>IF(CAPSTONE_PROJECT[[#This Row],[Length of Stay]]&lt;=3,"Short Stay",IF(CAPSTONE_PROJECT[[#This Row],[Length of Stay]]&lt;=7,"Moderate Stay",IF(CAPSTONE_PROJECT[[#This Row],[Length of Stay]]&lt;=14,"Long Stay","Extended Stay")))</f>
        <v>Short Stay</v>
      </c>
    </row>
    <row r="113" spans="1:31" x14ac:dyDescent="0.3">
      <c r="A113" s="3" t="s">
        <v>283</v>
      </c>
      <c r="B113" s="4">
        <v>45411</v>
      </c>
      <c r="C113" s="4">
        <v>45428</v>
      </c>
      <c r="D113" s="4">
        <v>28256</v>
      </c>
      <c r="E113" s="3">
        <v>49</v>
      </c>
      <c r="F113" s="3" t="s">
        <v>33</v>
      </c>
      <c r="G113" s="3" t="s">
        <v>9</v>
      </c>
      <c r="H113" s="3" t="s">
        <v>12</v>
      </c>
      <c r="I113" s="3" t="s">
        <v>37</v>
      </c>
      <c r="J113" s="3" t="s">
        <v>15</v>
      </c>
      <c r="K113" s="3" t="s">
        <v>50</v>
      </c>
      <c r="L113" s="6">
        <v>3043.65</v>
      </c>
      <c r="M113" s="6">
        <v>74.040000000000006</v>
      </c>
      <c r="N113" s="6">
        <v>2937.28</v>
      </c>
      <c r="O113" s="6">
        <v>13924.73</v>
      </c>
      <c r="P113" s="3" t="s">
        <v>25</v>
      </c>
      <c r="Q113" s="3" t="s">
        <v>1076</v>
      </c>
      <c r="R113" s="3" t="s">
        <v>68</v>
      </c>
      <c r="S113" s="3" t="s">
        <v>284</v>
      </c>
      <c r="T113" s="3">
        <v>7</v>
      </c>
      <c r="U113" s="3">
        <f>CAPSTONE_PROJECT[[#This Row],[Discharge Date]]-CAPSTONE_PROJECT[[#This Row],[Admission Date]]</f>
        <v>17</v>
      </c>
      <c r="V113" s="6">
        <f>SUM(CAPSTONE_PROJECT[[#This Row],[Room Cost]:[Treatment Cost]])</f>
        <v>19979.7</v>
      </c>
      <c r="W113" s="6">
        <f t="shared" si="1"/>
        <v>1175.2764705882353</v>
      </c>
      <c r="X113" s="3" t="str">
        <f>TEXT(CAPSTONE_PROJECT[[#This Row],[Admission Date]],"mmmm")</f>
        <v>April</v>
      </c>
      <c r="Y113" s="3" t="str">
        <f>TEXT(CAPSTONE_PROJECT[[#This Row],[Admission Date]],"yyyy")</f>
        <v>2024</v>
      </c>
      <c r="Z113" s="3" t="str">
        <f>TEXT(CAPSTONE_PROJECT[[#This Row],[Admission Date]],"mmm yyyy")</f>
        <v>Apr 2024</v>
      </c>
      <c r="AA113" s="3" t="str">
        <f>TEXT(CAPSTONE_PROJECT[[#This Row],[Admission Date]],"dddd")</f>
        <v>Monday</v>
      </c>
      <c r="AB113" s="3" t="str">
        <f>IF(CAPSTONE_PROJECT[[#This Row],[Age]]&lt;=34,"Young Adults",IF(CAPSTONE_PROJECT[[#This Row],[Age]]&lt;=59,"Adults","Elders"))</f>
        <v>Adults</v>
      </c>
      <c r="AC113" s="3" t="str">
        <f>_xlfn.XLOOKUP(CAPSTONE_PROJECT[[#This Row],[Patient ID]],'Lookup table'!A:A,'Lookup table'!B:B,,0)</f>
        <v>Grace Hall</v>
      </c>
      <c r="AD113" s="3" t="str">
        <f>_xlfn.XLOOKUP(CAPSTONE_PROJECT[[#This Row],[Patient ID]],'Lookup table'!A:A,'Lookup table'!C:C,,0)</f>
        <v>Female</v>
      </c>
      <c r="AE113" s="3" t="str">
        <f>IF(CAPSTONE_PROJECT[[#This Row],[Length of Stay]]&lt;=3,"Short Stay",IF(CAPSTONE_PROJECT[[#This Row],[Length of Stay]]&lt;=7,"Moderate Stay",IF(CAPSTONE_PROJECT[[#This Row],[Length of Stay]]&lt;=14,"Long Stay","Extended Stay")))</f>
        <v>Extended Stay</v>
      </c>
    </row>
    <row r="114" spans="1:31" x14ac:dyDescent="0.3">
      <c r="A114" s="3" t="s">
        <v>285</v>
      </c>
      <c r="B114" s="4">
        <v>45981</v>
      </c>
      <c r="C114" s="4">
        <v>45992</v>
      </c>
      <c r="D114" s="4">
        <v>23055</v>
      </c>
      <c r="E114" s="3">
        <v>63</v>
      </c>
      <c r="F114" s="3" t="s">
        <v>18</v>
      </c>
      <c r="G114" s="3" t="s">
        <v>139</v>
      </c>
      <c r="H114" s="3" t="s">
        <v>100</v>
      </c>
      <c r="I114" s="3" t="s">
        <v>44</v>
      </c>
      <c r="J114" s="3" t="s">
        <v>45</v>
      </c>
      <c r="K114" s="3" t="s">
        <v>24</v>
      </c>
      <c r="L114" s="6">
        <v>1174.02</v>
      </c>
      <c r="M114" s="6">
        <v>1451.79</v>
      </c>
      <c r="N114" s="6">
        <v>1519.86</v>
      </c>
      <c r="O114" s="6">
        <v>3833.94</v>
      </c>
      <c r="P114" s="3" t="s">
        <v>25</v>
      </c>
      <c r="Q114" s="3" t="s">
        <v>1076</v>
      </c>
      <c r="R114" s="3" t="s">
        <v>102</v>
      </c>
      <c r="S114" s="3" t="s">
        <v>286</v>
      </c>
      <c r="T114" s="3">
        <v>10</v>
      </c>
      <c r="U114" s="3">
        <f>CAPSTONE_PROJECT[[#This Row],[Discharge Date]]-CAPSTONE_PROJECT[[#This Row],[Admission Date]]</f>
        <v>11</v>
      </c>
      <c r="V114" s="6">
        <f>SUM(CAPSTONE_PROJECT[[#This Row],[Room Cost]:[Treatment Cost]])</f>
        <v>7979.6100000000006</v>
      </c>
      <c r="W114" s="6">
        <f t="shared" si="1"/>
        <v>725.41909090909098</v>
      </c>
      <c r="X114" s="3" t="str">
        <f>TEXT(CAPSTONE_PROJECT[[#This Row],[Admission Date]],"mmmm")</f>
        <v>November</v>
      </c>
      <c r="Y114" s="3" t="str">
        <f>TEXT(CAPSTONE_PROJECT[[#This Row],[Admission Date]],"yyyy")</f>
        <v>2025</v>
      </c>
      <c r="Z114" s="3" t="str">
        <f>TEXT(CAPSTONE_PROJECT[[#This Row],[Admission Date]],"mmm yyyy")</f>
        <v>Nov 2025</v>
      </c>
      <c r="AA114" s="3" t="str">
        <f>TEXT(CAPSTONE_PROJECT[[#This Row],[Admission Date]],"dddd")</f>
        <v>Thursday</v>
      </c>
      <c r="AB114" s="3" t="str">
        <f>IF(CAPSTONE_PROJECT[[#This Row],[Age]]&lt;=34,"Young Adults",IF(CAPSTONE_PROJECT[[#This Row],[Age]]&lt;=59,"Adults","Elders"))</f>
        <v>Elders</v>
      </c>
      <c r="AC114" s="3" t="str">
        <f>_xlfn.XLOOKUP(CAPSTONE_PROJECT[[#This Row],[Patient ID]],'Lookup table'!A:A,'Lookup table'!B:B,,0)</f>
        <v>Oliver X Wood</v>
      </c>
      <c r="AD114" s="3" t="str">
        <f>_xlfn.XLOOKUP(CAPSTONE_PROJECT[[#This Row],[Patient ID]],'Lookup table'!A:A,'Lookup table'!C:C,,0)</f>
        <v>Male</v>
      </c>
      <c r="AE114" s="3" t="str">
        <f>IF(CAPSTONE_PROJECT[[#This Row],[Length of Stay]]&lt;=3,"Short Stay",IF(CAPSTONE_PROJECT[[#This Row],[Length of Stay]]&lt;=7,"Moderate Stay",IF(CAPSTONE_PROJECT[[#This Row],[Length of Stay]]&lt;=14,"Long Stay","Extended Stay")))</f>
        <v>Long Stay</v>
      </c>
    </row>
    <row r="115" spans="1:31" x14ac:dyDescent="0.3">
      <c r="A115" s="3" t="s">
        <v>287</v>
      </c>
      <c r="B115" s="4">
        <v>45785</v>
      </c>
      <c r="C115" s="4">
        <v>45797</v>
      </c>
      <c r="D115" s="4">
        <v>34214</v>
      </c>
      <c r="E115" s="3">
        <v>32</v>
      </c>
      <c r="F115" s="3" t="s">
        <v>47</v>
      </c>
      <c r="G115" s="3" t="s">
        <v>57</v>
      </c>
      <c r="H115" s="3" t="s">
        <v>21</v>
      </c>
      <c r="I115" s="3" t="s">
        <v>13</v>
      </c>
      <c r="J115" s="3" t="s">
        <v>23</v>
      </c>
      <c r="K115" s="3" t="s">
        <v>65</v>
      </c>
      <c r="L115" s="6">
        <v>2753.92</v>
      </c>
      <c r="M115" s="6">
        <v>77.709999999999994</v>
      </c>
      <c r="N115" s="6">
        <v>2078.29</v>
      </c>
      <c r="O115" s="6">
        <v>12458.21</v>
      </c>
      <c r="P115" s="3" t="s">
        <v>25</v>
      </c>
      <c r="Q115" s="3" t="s">
        <v>1082</v>
      </c>
      <c r="R115" s="3" t="s">
        <v>10</v>
      </c>
      <c r="S115" s="3" t="s">
        <v>288</v>
      </c>
      <c r="T115" s="3">
        <v>9</v>
      </c>
      <c r="U115" s="3">
        <f>CAPSTONE_PROJECT[[#This Row],[Discharge Date]]-CAPSTONE_PROJECT[[#This Row],[Admission Date]]</f>
        <v>12</v>
      </c>
      <c r="V115" s="6">
        <f>SUM(CAPSTONE_PROJECT[[#This Row],[Room Cost]:[Treatment Cost]])</f>
        <v>17368.129999999997</v>
      </c>
      <c r="W115" s="6">
        <f t="shared" si="1"/>
        <v>1447.3441666666665</v>
      </c>
      <c r="X115" s="3" t="str">
        <f>TEXT(CAPSTONE_PROJECT[[#This Row],[Admission Date]],"mmmm")</f>
        <v>May</v>
      </c>
      <c r="Y115" s="3" t="str">
        <f>TEXT(CAPSTONE_PROJECT[[#This Row],[Admission Date]],"yyyy")</f>
        <v>2025</v>
      </c>
      <c r="Z115" s="3" t="str">
        <f>TEXT(CAPSTONE_PROJECT[[#This Row],[Admission Date]],"mmm yyyy")</f>
        <v>May 2025</v>
      </c>
      <c r="AA115" s="3" t="str">
        <f>TEXT(CAPSTONE_PROJECT[[#This Row],[Admission Date]],"dddd")</f>
        <v>Thursday</v>
      </c>
      <c r="AB115" s="3" t="str">
        <f>IF(CAPSTONE_PROJECT[[#This Row],[Age]]&lt;=34,"Young Adults",IF(CAPSTONE_PROJECT[[#This Row],[Age]]&lt;=59,"Adults","Elders"))</f>
        <v>Young Adults</v>
      </c>
      <c r="AC115" s="3" t="str">
        <f>_xlfn.XLOOKUP(CAPSTONE_PROJECT[[#This Row],[Patient ID]],'Lookup table'!A:A,'Lookup table'!B:B,,0)</f>
        <v>Sarah Wilson</v>
      </c>
      <c r="AD115" s="3" t="str">
        <f>_xlfn.XLOOKUP(CAPSTONE_PROJECT[[#This Row],[Patient ID]],'Lookup table'!A:A,'Lookup table'!C:C,,0)</f>
        <v>Female</v>
      </c>
      <c r="AE115" s="3" t="str">
        <f>IF(CAPSTONE_PROJECT[[#This Row],[Length of Stay]]&lt;=3,"Short Stay",IF(CAPSTONE_PROJECT[[#This Row],[Length of Stay]]&lt;=7,"Moderate Stay",IF(CAPSTONE_PROJECT[[#This Row],[Length of Stay]]&lt;=14,"Long Stay","Extended Stay")))</f>
        <v>Long Stay</v>
      </c>
    </row>
    <row r="116" spans="1:31" x14ac:dyDescent="0.3">
      <c r="A116" s="3" t="s">
        <v>289</v>
      </c>
      <c r="B116" s="4">
        <v>45557</v>
      </c>
      <c r="C116" s="4">
        <v>45563</v>
      </c>
      <c r="D116" s="4">
        <v>23913</v>
      </c>
      <c r="E116" s="3">
        <v>60</v>
      </c>
      <c r="F116" s="3" t="s">
        <v>33</v>
      </c>
      <c r="G116" s="3" t="s">
        <v>67</v>
      </c>
      <c r="H116" s="3" t="s">
        <v>104</v>
      </c>
      <c r="I116" s="3" t="s">
        <v>44</v>
      </c>
      <c r="J116" s="3" t="s">
        <v>14</v>
      </c>
      <c r="K116" s="3" t="s">
        <v>50</v>
      </c>
      <c r="L116" s="6">
        <v>3239.61</v>
      </c>
      <c r="M116" s="6">
        <v>1705.96</v>
      </c>
      <c r="N116" s="6">
        <v>1566.39</v>
      </c>
      <c r="O116" s="6">
        <v>10030.219999999999</v>
      </c>
      <c r="P116" s="3" t="s">
        <v>25</v>
      </c>
      <c r="Q116" s="3" t="s">
        <v>1085</v>
      </c>
      <c r="R116" s="3" t="s">
        <v>68</v>
      </c>
      <c r="S116" s="3" t="s">
        <v>290</v>
      </c>
      <c r="T116" s="3">
        <v>7</v>
      </c>
      <c r="U116" s="3">
        <f>CAPSTONE_PROJECT[[#This Row],[Discharge Date]]-CAPSTONE_PROJECT[[#This Row],[Admission Date]]</f>
        <v>6</v>
      </c>
      <c r="V116" s="6">
        <f>SUM(CAPSTONE_PROJECT[[#This Row],[Room Cost]:[Treatment Cost]])</f>
        <v>16542.18</v>
      </c>
      <c r="W116" s="6">
        <f t="shared" si="1"/>
        <v>2757.03</v>
      </c>
      <c r="X116" s="3" t="str">
        <f>TEXT(CAPSTONE_PROJECT[[#This Row],[Admission Date]],"mmmm")</f>
        <v>September</v>
      </c>
      <c r="Y116" s="3" t="str">
        <f>TEXT(CAPSTONE_PROJECT[[#This Row],[Admission Date]],"yyyy")</f>
        <v>2024</v>
      </c>
      <c r="Z116" s="3" t="str">
        <f>TEXT(CAPSTONE_PROJECT[[#This Row],[Admission Date]],"mmm yyyy")</f>
        <v>Sep 2024</v>
      </c>
      <c r="AA116" s="3" t="str">
        <f>TEXT(CAPSTONE_PROJECT[[#This Row],[Admission Date]],"dddd")</f>
        <v>Sunday</v>
      </c>
      <c r="AB116" s="3" t="str">
        <f>IF(CAPSTONE_PROJECT[[#This Row],[Age]]&lt;=34,"Young Adults",IF(CAPSTONE_PROJECT[[#This Row],[Age]]&lt;=59,"Adults","Elders"))</f>
        <v>Elders</v>
      </c>
      <c r="AC116" s="3" t="str">
        <f>_xlfn.XLOOKUP(CAPSTONE_PROJECT[[#This Row],[Patient ID]],'Lookup table'!A:A,'Lookup table'!B:B,,0)</f>
        <v>John Green</v>
      </c>
      <c r="AD116" s="3" t="str">
        <f>_xlfn.XLOOKUP(CAPSTONE_PROJECT[[#This Row],[Patient ID]],'Lookup table'!A:A,'Lookup table'!C:C,,0)</f>
        <v>Male</v>
      </c>
      <c r="AE116" s="3" t="str">
        <f>IF(CAPSTONE_PROJECT[[#This Row],[Length of Stay]]&lt;=3,"Short Stay",IF(CAPSTONE_PROJECT[[#This Row],[Length of Stay]]&lt;=7,"Moderate Stay",IF(CAPSTONE_PROJECT[[#This Row],[Length of Stay]]&lt;=14,"Long Stay","Extended Stay")))</f>
        <v>Moderate Stay</v>
      </c>
    </row>
    <row r="117" spans="1:31" x14ac:dyDescent="0.3">
      <c r="A117" s="3" t="s">
        <v>291</v>
      </c>
      <c r="B117" s="4">
        <v>45723</v>
      </c>
      <c r="C117" s="4">
        <v>45739</v>
      </c>
      <c r="D117" s="4">
        <v>35070</v>
      </c>
      <c r="E117" s="3">
        <v>30</v>
      </c>
      <c r="F117" s="3" t="s">
        <v>18</v>
      </c>
      <c r="G117" s="3" t="s">
        <v>126</v>
      </c>
      <c r="H117" s="3" t="s">
        <v>114</v>
      </c>
      <c r="I117" s="3" t="s">
        <v>22</v>
      </c>
      <c r="J117" s="3" t="s">
        <v>30</v>
      </c>
      <c r="K117" s="3" t="s">
        <v>24</v>
      </c>
      <c r="L117" s="6">
        <v>2245.41</v>
      </c>
      <c r="M117" s="6">
        <v>869.06</v>
      </c>
      <c r="N117" s="6">
        <v>2073</v>
      </c>
      <c r="O117" s="6">
        <v>10237.49</v>
      </c>
      <c r="P117" s="3" t="s">
        <v>25</v>
      </c>
      <c r="Q117" s="3" t="s">
        <v>1081</v>
      </c>
      <c r="R117" s="3" t="s">
        <v>102</v>
      </c>
      <c r="S117" s="3" t="s">
        <v>292</v>
      </c>
      <c r="T117" s="3">
        <v>2</v>
      </c>
      <c r="U117" s="3">
        <f>CAPSTONE_PROJECT[[#This Row],[Discharge Date]]-CAPSTONE_PROJECT[[#This Row],[Admission Date]]</f>
        <v>16</v>
      </c>
      <c r="V117" s="6">
        <f>SUM(CAPSTONE_PROJECT[[#This Row],[Room Cost]:[Treatment Cost]])</f>
        <v>15424.96</v>
      </c>
      <c r="W117" s="6">
        <f t="shared" si="1"/>
        <v>964.06</v>
      </c>
      <c r="X117" s="3" t="str">
        <f>TEXT(CAPSTONE_PROJECT[[#This Row],[Admission Date]],"mmmm")</f>
        <v>March</v>
      </c>
      <c r="Y117" s="3" t="str">
        <f>TEXT(CAPSTONE_PROJECT[[#This Row],[Admission Date]],"yyyy")</f>
        <v>2025</v>
      </c>
      <c r="Z117" s="3" t="str">
        <f>TEXT(CAPSTONE_PROJECT[[#This Row],[Admission Date]],"mmm yyyy")</f>
        <v>Mar 2025</v>
      </c>
      <c r="AA117" s="3" t="str">
        <f>TEXT(CAPSTONE_PROJECT[[#This Row],[Admission Date]],"dddd")</f>
        <v>Friday</v>
      </c>
      <c r="AB117" s="3" t="str">
        <f>IF(CAPSTONE_PROJECT[[#This Row],[Age]]&lt;=34,"Young Adults",IF(CAPSTONE_PROJECT[[#This Row],[Age]]&lt;=59,"Adults","Elders"))</f>
        <v>Young Adults</v>
      </c>
      <c r="AC117" s="3" t="str">
        <f>_xlfn.XLOOKUP(CAPSTONE_PROJECT[[#This Row],[Patient ID]],'Lookup table'!A:A,'Lookup table'!B:B,,0)</f>
        <v>Ella Thompson</v>
      </c>
      <c r="AD117" s="3" t="str">
        <f>_xlfn.XLOOKUP(CAPSTONE_PROJECT[[#This Row],[Patient ID]],'Lookup table'!A:A,'Lookup table'!C:C,,0)</f>
        <v>Female</v>
      </c>
      <c r="AE117" s="3" t="str">
        <f>IF(CAPSTONE_PROJECT[[#This Row],[Length of Stay]]&lt;=3,"Short Stay",IF(CAPSTONE_PROJECT[[#This Row],[Length of Stay]]&lt;=7,"Moderate Stay",IF(CAPSTONE_PROJECT[[#This Row],[Length of Stay]]&lt;=14,"Long Stay","Extended Stay")))</f>
        <v>Extended Stay</v>
      </c>
    </row>
    <row r="118" spans="1:31" x14ac:dyDescent="0.3">
      <c r="A118" s="3" t="s">
        <v>293</v>
      </c>
      <c r="B118" s="4">
        <v>45624</v>
      </c>
      <c r="C118" s="4">
        <v>45641</v>
      </c>
      <c r="D118" s="4">
        <v>34466</v>
      </c>
      <c r="E118" s="3">
        <v>32</v>
      </c>
      <c r="F118" s="3" t="s">
        <v>8</v>
      </c>
      <c r="G118" s="3" t="s">
        <v>53</v>
      </c>
      <c r="H118" s="3" t="s">
        <v>1080</v>
      </c>
      <c r="I118" s="3" t="s">
        <v>22</v>
      </c>
      <c r="J118" s="3" t="s">
        <v>45</v>
      </c>
      <c r="K118" s="3" t="s">
        <v>24</v>
      </c>
      <c r="L118" s="6">
        <v>2351.54</v>
      </c>
      <c r="M118" s="6">
        <v>842.56</v>
      </c>
      <c r="N118" s="6">
        <v>1671.37</v>
      </c>
      <c r="O118" s="6">
        <v>11489.36</v>
      </c>
      <c r="P118" s="3" t="s">
        <v>31</v>
      </c>
      <c r="Q118" s="3" t="s">
        <v>1081</v>
      </c>
      <c r="R118" s="3" t="s">
        <v>54</v>
      </c>
      <c r="S118" s="3" t="s">
        <v>294</v>
      </c>
      <c r="T118" s="3">
        <v>8</v>
      </c>
      <c r="U118" s="3">
        <f>CAPSTONE_PROJECT[[#This Row],[Discharge Date]]-CAPSTONE_PROJECT[[#This Row],[Admission Date]]</f>
        <v>17</v>
      </c>
      <c r="V118" s="6">
        <f>SUM(CAPSTONE_PROJECT[[#This Row],[Room Cost]:[Treatment Cost]])</f>
        <v>16354.83</v>
      </c>
      <c r="W118" s="6">
        <f t="shared" si="1"/>
        <v>962.04882352941172</v>
      </c>
      <c r="X118" s="3" t="str">
        <f>TEXT(CAPSTONE_PROJECT[[#This Row],[Admission Date]],"mmmm")</f>
        <v>November</v>
      </c>
      <c r="Y118" s="3" t="str">
        <f>TEXT(CAPSTONE_PROJECT[[#This Row],[Admission Date]],"yyyy")</f>
        <v>2024</v>
      </c>
      <c r="Z118" s="3" t="str">
        <f>TEXT(CAPSTONE_PROJECT[[#This Row],[Admission Date]],"mmm yyyy")</f>
        <v>Nov 2024</v>
      </c>
      <c r="AA118" s="3" t="str">
        <f>TEXT(CAPSTONE_PROJECT[[#This Row],[Admission Date]],"dddd")</f>
        <v>Thursday</v>
      </c>
      <c r="AB118" s="3" t="str">
        <f>IF(CAPSTONE_PROJECT[[#This Row],[Age]]&lt;=34,"Young Adults",IF(CAPSTONE_PROJECT[[#This Row],[Age]]&lt;=59,"Adults","Elders"))</f>
        <v>Young Adults</v>
      </c>
      <c r="AC118" s="3" t="str">
        <f>_xlfn.XLOOKUP(CAPSTONE_PROJECT[[#This Row],[Patient ID]],'Lookup table'!A:A,'Lookup table'!B:B,,0)</f>
        <v>Henry Wilson</v>
      </c>
      <c r="AD118" s="3" t="str">
        <f>_xlfn.XLOOKUP(CAPSTONE_PROJECT[[#This Row],[Patient ID]],'Lookup table'!A:A,'Lookup table'!C:C,,0)</f>
        <v>Male</v>
      </c>
      <c r="AE118" s="3" t="str">
        <f>IF(CAPSTONE_PROJECT[[#This Row],[Length of Stay]]&lt;=3,"Short Stay",IF(CAPSTONE_PROJECT[[#This Row],[Length of Stay]]&lt;=7,"Moderate Stay",IF(CAPSTONE_PROJECT[[#This Row],[Length of Stay]]&lt;=14,"Long Stay","Extended Stay")))</f>
        <v>Extended Stay</v>
      </c>
    </row>
    <row r="119" spans="1:31" x14ac:dyDescent="0.3">
      <c r="A119" s="3" t="s">
        <v>295</v>
      </c>
      <c r="B119" s="4">
        <v>45753</v>
      </c>
      <c r="C119" s="4">
        <v>45767</v>
      </c>
      <c r="D119" s="4">
        <v>33894</v>
      </c>
      <c r="E119" s="3">
        <v>33</v>
      </c>
      <c r="F119" s="3" t="s">
        <v>33</v>
      </c>
      <c r="G119" s="3" t="s">
        <v>57</v>
      </c>
      <c r="H119" s="3" t="s">
        <v>114</v>
      </c>
      <c r="I119" s="3" t="s">
        <v>37</v>
      </c>
      <c r="J119" s="3" t="s">
        <v>14</v>
      </c>
      <c r="K119" s="3" t="s">
        <v>50</v>
      </c>
      <c r="L119" s="6">
        <v>3323.94</v>
      </c>
      <c r="M119" s="6">
        <v>562.88</v>
      </c>
      <c r="N119" s="6">
        <v>2786.16</v>
      </c>
      <c r="O119" s="6">
        <v>2535.83</v>
      </c>
      <c r="P119" s="3" t="s">
        <v>51</v>
      </c>
      <c r="Q119" s="3" t="s">
        <v>1085</v>
      </c>
      <c r="R119" s="3" t="s">
        <v>58</v>
      </c>
      <c r="S119" s="3" t="s">
        <v>296</v>
      </c>
      <c r="T119" s="3">
        <v>2</v>
      </c>
      <c r="U119" s="3">
        <f>CAPSTONE_PROJECT[[#This Row],[Discharge Date]]-CAPSTONE_PROJECT[[#This Row],[Admission Date]]</f>
        <v>14</v>
      </c>
      <c r="V119" s="6">
        <f>SUM(CAPSTONE_PROJECT[[#This Row],[Room Cost]:[Treatment Cost]])</f>
        <v>9208.81</v>
      </c>
      <c r="W119" s="6">
        <f t="shared" si="1"/>
        <v>657.77214285714285</v>
      </c>
      <c r="X119" s="3" t="str">
        <f>TEXT(CAPSTONE_PROJECT[[#This Row],[Admission Date]],"mmmm")</f>
        <v>April</v>
      </c>
      <c r="Y119" s="3" t="str">
        <f>TEXT(CAPSTONE_PROJECT[[#This Row],[Admission Date]],"yyyy")</f>
        <v>2025</v>
      </c>
      <c r="Z119" s="3" t="str">
        <f>TEXT(CAPSTONE_PROJECT[[#This Row],[Admission Date]],"mmm yyyy")</f>
        <v>Apr 2025</v>
      </c>
      <c r="AA119" s="3" t="str">
        <f>TEXT(CAPSTONE_PROJECT[[#This Row],[Admission Date]],"dddd")</f>
        <v>Sunday</v>
      </c>
      <c r="AB119" s="3" t="str">
        <f>IF(CAPSTONE_PROJECT[[#This Row],[Age]]&lt;=34,"Young Adults",IF(CAPSTONE_PROJECT[[#This Row],[Age]]&lt;=59,"Adults","Elders"))</f>
        <v>Young Adults</v>
      </c>
      <c r="AC119" s="3" t="str">
        <f>_xlfn.XLOOKUP(CAPSTONE_PROJECT[[#This Row],[Patient ID]],'Lookup table'!A:A,'Lookup table'!B:B,,0)</f>
        <v>Olivia Martin</v>
      </c>
      <c r="AD119" s="3" t="str">
        <f>_xlfn.XLOOKUP(CAPSTONE_PROJECT[[#This Row],[Patient ID]],'Lookup table'!A:A,'Lookup table'!C:C,,0)</f>
        <v>Female</v>
      </c>
      <c r="AE119" s="3" t="str">
        <f>IF(CAPSTONE_PROJECT[[#This Row],[Length of Stay]]&lt;=3,"Short Stay",IF(CAPSTONE_PROJECT[[#This Row],[Length of Stay]]&lt;=7,"Moderate Stay",IF(CAPSTONE_PROJECT[[#This Row],[Length of Stay]]&lt;=14,"Long Stay","Extended Stay")))</f>
        <v>Long Stay</v>
      </c>
    </row>
    <row r="120" spans="1:31" x14ac:dyDescent="0.3">
      <c r="A120" s="3" t="s">
        <v>297</v>
      </c>
      <c r="B120" s="4">
        <v>45466</v>
      </c>
      <c r="C120" s="4">
        <v>45467</v>
      </c>
      <c r="D120" s="4">
        <v>19629</v>
      </c>
      <c r="E120" s="3">
        <v>72</v>
      </c>
      <c r="F120" s="3" t="s">
        <v>18</v>
      </c>
      <c r="G120" s="3" t="s">
        <v>61</v>
      </c>
      <c r="H120" s="3" t="s">
        <v>43</v>
      </c>
      <c r="I120" s="3" t="s">
        <v>22</v>
      </c>
      <c r="J120" s="3" t="s">
        <v>64</v>
      </c>
      <c r="K120" s="3" t="s">
        <v>50</v>
      </c>
      <c r="L120" s="6">
        <v>2658.58</v>
      </c>
      <c r="M120" s="6">
        <v>559.79</v>
      </c>
      <c r="N120" s="6">
        <v>2046.72</v>
      </c>
      <c r="O120" s="6">
        <v>13773.55</v>
      </c>
      <c r="P120" s="3" t="s">
        <v>25</v>
      </c>
      <c r="Q120" s="3" t="s">
        <v>1082</v>
      </c>
      <c r="R120" s="3" t="s">
        <v>54</v>
      </c>
      <c r="S120" s="3" t="s">
        <v>298</v>
      </c>
      <c r="T120" s="3">
        <v>9</v>
      </c>
      <c r="U120" s="3">
        <f>CAPSTONE_PROJECT[[#This Row],[Discharge Date]]-CAPSTONE_PROJECT[[#This Row],[Admission Date]]</f>
        <v>1</v>
      </c>
      <c r="V120" s="6">
        <f>SUM(CAPSTONE_PROJECT[[#This Row],[Room Cost]:[Treatment Cost]])</f>
        <v>19038.64</v>
      </c>
      <c r="W120" s="6">
        <f t="shared" si="1"/>
        <v>19038.64</v>
      </c>
      <c r="X120" s="3" t="str">
        <f>TEXT(CAPSTONE_PROJECT[[#This Row],[Admission Date]],"mmmm")</f>
        <v>June</v>
      </c>
      <c r="Y120" s="3" t="str">
        <f>TEXT(CAPSTONE_PROJECT[[#This Row],[Admission Date]],"yyyy")</f>
        <v>2024</v>
      </c>
      <c r="Z120" s="3" t="str">
        <f>TEXT(CAPSTONE_PROJECT[[#This Row],[Admission Date]],"mmm yyyy")</f>
        <v>Jun 2024</v>
      </c>
      <c r="AA120" s="3" t="str">
        <f>TEXT(CAPSTONE_PROJECT[[#This Row],[Admission Date]],"dddd")</f>
        <v>Sunday</v>
      </c>
      <c r="AB120" s="3" t="str">
        <f>IF(CAPSTONE_PROJECT[[#This Row],[Age]]&lt;=34,"Young Adults",IF(CAPSTONE_PROJECT[[#This Row],[Age]]&lt;=59,"Adults","Elders"))</f>
        <v>Elders</v>
      </c>
      <c r="AC120" s="3" t="str">
        <f>_xlfn.XLOOKUP(CAPSTONE_PROJECT[[#This Row],[Patient ID]],'Lookup table'!A:A,'Lookup table'!B:B,,0)</f>
        <v>James Wood</v>
      </c>
      <c r="AD120" s="3" t="str">
        <f>_xlfn.XLOOKUP(CAPSTONE_PROJECT[[#This Row],[Patient ID]],'Lookup table'!A:A,'Lookup table'!C:C,,0)</f>
        <v>Male</v>
      </c>
      <c r="AE120" s="3" t="str">
        <f>IF(CAPSTONE_PROJECT[[#This Row],[Length of Stay]]&lt;=3,"Short Stay",IF(CAPSTONE_PROJECT[[#This Row],[Length of Stay]]&lt;=7,"Moderate Stay",IF(CAPSTONE_PROJECT[[#This Row],[Length of Stay]]&lt;=14,"Long Stay","Extended Stay")))</f>
        <v>Short Stay</v>
      </c>
    </row>
    <row r="121" spans="1:31" x14ac:dyDescent="0.3">
      <c r="A121" s="3" t="s">
        <v>299</v>
      </c>
      <c r="B121" s="4">
        <v>45585</v>
      </c>
      <c r="C121" s="4">
        <v>45601</v>
      </c>
      <c r="D121" s="4">
        <v>28561</v>
      </c>
      <c r="E121" s="3">
        <v>48</v>
      </c>
      <c r="F121" s="3" t="s">
        <v>8</v>
      </c>
      <c r="G121" s="3" t="s">
        <v>40</v>
      </c>
      <c r="H121" s="3" t="s">
        <v>104</v>
      </c>
      <c r="I121" s="3" t="s">
        <v>13</v>
      </c>
      <c r="J121" s="3" t="s">
        <v>15</v>
      </c>
      <c r="K121" s="3" t="s">
        <v>24</v>
      </c>
      <c r="L121" s="6">
        <v>2113.66</v>
      </c>
      <c r="M121" s="6">
        <v>1703.5</v>
      </c>
      <c r="N121" s="6">
        <v>2033.96</v>
      </c>
      <c r="O121" s="6">
        <v>2219.2399999999998</v>
      </c>
      <c r="P121" s="3" t="s">
        <v>16</v>
      </c>
      <c r="Q121" s="3" t="s">
        <v>1076</v>
      </c>
      <c r="R121" s="3" t="s">
        <v>10</v>
      </c>
      <c r="S121" s="3" t="s">
        <v>300</v>
      </c>
      <c r="T121" s="3">
        <v>7</v>
      </c>
      <c r="U121" s="3">
        <f>CAPSTONE_PROJECT[[#This Row],[Discharge Date]]-CAPSTONE_PROJECT[[#This Row],[Admission Date]]</f>
        <v>16</v>
      </c>
      <c r="V121" s="6">
        <f>SUM(CAPSTONE_PROJECT[[#This Row],[Room Cost]:[Treatment Cost]])</f>
        <v>8070.36</v>
      </c>
      <c r="W121" s="6">
        <f t="shared" si="1"/>
        <v>504.39749999999998</v>
      </c>
      <c r="X121" s="3" t="str">
        <f>TEXT(CAPSTONE_PROJECT[[#This Row],[Admission Date]],"mmmm")</f>
        <v>October</v>
      </c>
      <c r="Y121" s="3" t="str">
        <f>TEXT(CAPSTONE_PROJECT[[#This Row],[Admission Date]],"yyyy")</f>
        <v>2024</v>
      </c>
      <c r="Z121" s="3" t="str">
        <f>TEXT(CAPSTONE_PROJECT[[#This Row],[Admission Date]],"mmm yyyy")</f>
        <v>Oct 2024</v>
      </c>
      <c r="AA121" s="3" t="str">
        <f>TEXT(CAPSTONE_PROJECT[[#This Row],[Admission Date]],"dddd")</f>
        <v>Sunday</v>
      </c>
      <c r="AB121" s="3" t="str">
        <f>IF(CAPSTONE_PROJECT[[#This Row],[Age]]&lt;=34,"Young Adults",IF(CAPSTONE_PROJECT[[#This Row],[Age]]&lt;=59,"Adults","Elders"))</f>
        <v>Adults</v>
      </c>
      <c r="AC121" s="3" t="str">
        <f>_xlfn.XLOOKUP(CAPSTONE_PROJECT[[#This Row],[Patient ID]],'Lookup table'!A:A,'Lookup table'!B:B,,0)</f>
        <v>Sophia Hall</v>
      </c>
      <c r="AD121" s="3" t="str">
        <f>_xlfn.XLOOKUP(CAPSTONE_PROJECT[[#This Row],[Patient ID]],'Lookup table'!A:A,'Lookup table'!C:C,,0)</f>
        <v>Female</v>
      </c>
      <c r="AE121" s="3" t="str">
        <f>IF(CAPSTONE_PROJECT[[#This Row],[Length of Stay]]&lt;=3,"Short Stay",IF(CAPSTONE_PROJECT[[#This Row],[Length of Stay]]&lt;=7,"Moderate Stay",IF(CAPSTONE_PROJECT[[#This Row],[Length of Stay]]&lt;=14,"Long Stay","Extended Stay")))</f>
        <v>Extended Stay</v>
      </c>
    </row>
    <row r="122" spans="1:31" x14ac:dyDescent="0.3">
      <c r="A122" s="3" t="s">
        <v>301</v>
      </c>
      <c r="B122" s="4">
        <v>45567</v>
      </c>
      <c r="C122" s="4">
        <v>45581</v>
      </c>
      <c r="D122" s="4">
        <v>31764</v>
      </c>
      <c r="E122" s="3">
        <v>39</v>
      </c>
      <c r="F122" s="3" t="s">
        <v>8</v>
      </c>
      <c r="G122" s="3" t="s">
        <v>126</v>
      </c>
      <c r="H122" s="3" t="s">
        <v>72</v>
      </c>
      <c r="I122" s="3" t="s">
        <v>22</v>
      </c>
      <c r="J122" s="3" t="s">
        <v>30</v>
      </c>
      <c r="K122" s="3" t="s">
        <v>15</v>
      </c>
      <c r="L122" s="6">
        <v>853.07</v>
      </c>
      <c r="M122" s="6">
        <v>1040.8599999999999</v>
      </c>
      <c r="N122" s="6">
        <v>565.69000000000005</v>
      </c>
      <c r="O122" s="6">
        <v>12420.2</v>
      </c>
      <c r="P122" s="3" t="s">
        <v>25</v>
      </c>
      <c r="Q122" s="3" t="s">
        <v>1086</v>
      </c>
      <c r="R122" s="3" t="s">
        <v>41</v>
      </c>
      <c r="S122" s="3" t="s">
        <v>302</v>
      </c>
      <c r="T122" s="3">
        <v>10</v>
      </c>
      <c r="U122" s="3">
        <f>CAPSTONE_PROJECT[[#This Row],[Discharge Date]]-CAPSTONE_PROJECT[[#This Row],[Admission Date]]</f>
        <v>14</v>
      </c>
      <c r="V122" s="6">
        <f>SUM(CAPSTONE_PROJECT[[#This Row],[Room Cost]:[Treatment Cost]])</f>
        <v>14879.82</v>
      </c>
      <c r="W122" s="6">
        <f t="shared" si="1"/>
        <v>1062.8442857142857</v>
      </c>
      <c r="X122" s="3" t="str">
        <f>TEXT(CAPSTONE_PROJECT[[#This Row],[Admission Date]],"mmmm")</f>
        <v>October</v>
      </c>
      <c r="Y122" s="3" t="str">
        <f>TEXT(CAPSTONE_PROJECT[[#This Row],[Admission Date]],"yyyy")</f>
        <v>2024</v>
      </c>
      <c r="Z122" s="3" t="str">
        <f>TEXT(CAPSTONE_PROJECT[[#This Row],[Admission Date]],"mmm yyyy")</f>
        <v>Oct 2024</v>
      </c>
      <c r="AA122" s="3" t="str">
        <f>TEXT(CAPSTONE_PROJECT[[#This Row],[Admission Date]],"dddd")</f>
        <v>Wednesday</v>
      </c>
      <c r="AB122" s="3" t="str">
        <f>IF(CAPSTONE_PROJECT[[#This Row],[Age]]&lt;=34,"Young Adults",IF(CAPSTONE_PROJECT[[#This Row],[Age]]&lt;=59,"Adults","Elders"))</f>
        <v>Adults</v>
      </c>
      <c r="AC122" s="3" t="str">
        <f>_xlfn.XLOOKUP(CAPSTONE_PROJECT[[#This Row],[Patient ID]],'Lookup table'!A:A,'Lookup table'!B:B,,0)</f>
        <v>David Walker</v>
      </c>
      <c r="AD122" s="3" t="str">
        <f>_xlfn.XLOOKUP(CAPSTONE_PROJECT[[#This Row],[Patient ID]],'Lookup table'!A:A,'Lookup table'!C:C,,0)</f>
        <v>Male</v>
      </c>
      <c r="AE122" s="3" t="str">
        <f>IF(CAPSTONE_PROJECT[[#This Row],[Length of Stay]]&lt;=3,"Short Stay",IF(CAPSTONE_PROJECT[[#This Row],[Length of Stay]]&lt;=7,"Moderate Stay",IF(CAPSTONE_PROJECT[[#This Row],[Length of Stay]]&lt;=14,"Long Stay","Extended Stay")))</f>
        <v>Long Stay</v>
      </c>
    </row>
    <row r="123" spans="1:31" x14ac:dyDescent="0.3">
      <c r="A123" s="3" t="s">
        <v>303</v>
      </c>
      <c r="B123" s="4">
        <v>45766</v>
      </c>
      <c r="C123" s="4">
        <v>45768</v>
      </c>
      <c r="D123" s="4">
        <v>34923</v>
      </c>
      <c r="E123" s="3">
        <v>30</v>
      </c>
      <c r="F123" s="3" t="s">
        <v>8</v>
      </c>
      <c r="G123" s="3" t="s">
        <v>53</v>
      </c>
      <c r="H123" s="3" t="s">
        <v>29</v>
      </c>
      <c r="I123" s="3" t="s">
        <v>13</v>
      </c>
      <c r="J123" s="3" t="s">
        <v>45</v>
      </c>
      <c r="K123" s="3" t="s">
        <v>50</v>
      </c>
      <c r="L123" s="6">
        <v>921.11</v>
      </c>
      <c r="M123" s="6">
        <v>469.64</v>
      </c>
      <c r="N123" s="6">
        <v>305.64999999999998</v>
      </c>
      <c r="O123" s="6">
        <v>8785.32</v>
      </c>
      <c r="P123" s="3" t="s">
        <v>51</v>
      </c>
      <c r="Q123" s="3" t="s">
        <v>1084</v>
      </c>
      <c r="R123" s="3" t="s">
        <v>58</v>
      </c>
      <c r="S123" s="3" t="s">
        <v>304</v>
      </c>
      <c r="T123" s="3">
        <v>7</v>
      </c>
      <c r="U123" s="3">
        <f>CAPSTONE_PROJECT[[#This Row],[Discharge Date]]-CAPSTONE_PROJECT[[#This Row],[Admission Date]]</f>
        <v>2</v>
      </c>
      <c r="V123" s="6">
        <f>SUM(CAPSTONE_PROJECT[[#This Row],[Room Cost]:[Treatment Cost]])</f>
        <v>10481.719999999999</v>
      </c>
      <c r="W123" s="6">
        <f t="shared" si="1"/>
        <v>5240.8599999999997</v>
      </c>
      <c r="X123" s="3" t="str">
        <f>TEXT(CAPSTONE_PROJECT[[#This Row],[Admission Date]],"mmmm")</f>
        <v>April</v>
      </c>
      <c r="Y123" s="3" t="str">
        <f>TEXT(CAPSTONE_PROJECT[[#This Row],[Admission Date]],"yyyy")</f>
        <v>2025</v>
      </c>
      <c r="Z123" s="3" t="str">
        <f>TEXT(CAPSTONE_PROJECT[[#This Row],[Admission Date]],"mmm yyyy")</f>
        <v>Apr 2025</v>
      </c>
      <c r="AA123" s="3" t="str">
        <f>TEXT(CAPSTONE_PROJECT[[#This Row],[Admission Date]],"dddd")</f>
        <v>Saturday</v>
      </c>
      <c r="AB123" s="3" t="str">
        <f>IF(CAPSTONE_PROJECT[[#This Row],[Age]]&lt;=34,"Young Adults",IF(CAPSTONE_PROJECT[[#This Row],[Age]]&lt;=59,"Adults","Elders"))</f>
        <v>Young Adults</v>
      </c>
      <c r="AC123" s="3" t="str">
        <f>_xlfn.XLOOKUP(CAPSTONE_PROJECT[[#This Row],[Patient ID]],'Lookup table'!A:A,'Lookup table'!B:B,,0)</f>
        <v>Mia Jones</v>
      </c>
      <c r="AD123" s="3" t="str">
        <f>_xlfn.XLOOKUP(CAPSTONE_PROJECT[[#This Row],[Patient ID]],'Lookup table'!A:A,'Lookup table'!C:C,,0)</f>
        <v>Female</v>
      </c>
      <c r="AE123" s="3" t="str">
        <f>IF(CAPSTONE_PROJECT[[#This Row],[Length of Stay]]&lt;=3,"Short Stay",IF(CAPSTONE_PROJECT[[#This Row],[Length of Stay]]&lt;=7,"Moderate Stay",IF(CAPSTONE_PROJECT[[#This Row],[Length of Stay]]&lt;=14,"Long Stay","Extended Stay")))</f>
        <v>Short Stay</v>
      </c>
    </row>
    <row r="124" spans="1:31" x14ac:dyDescent="0.3">
      <c r="A124" s="3" t="s">
        <v>305</v>
      </c>
      <c r="B124" s="4">
        <v>45335</v>
      </c>
      <c r="C124" s="4">
        <v>45353</v>
      </c>
      <c r="D124" s="4">
        <v>20417</v>
      </c>
      <c r="E124" s="3">
        <v>70</v>
      </c>
      <c r="F124" s="3" t="s">
        <v>33</v>
      </c>
      <c r="G124" s="3" t="s">
        <v>34</v>
      </c>
      <c r="H124" s="3" t="s">
        <v>104</v>
      </c>
      <c r="I124" s="3" t="s">
        <v>44</v>
      </c>
      <c r="J124" s="3" t="s">
        <v>73</v>
      </c>
      <c r="K124" s="3" t="s">
        <v>15</v>
      </c>
      <c r="L124" s="6">
        <v>3219.08</v>
      </c>
      <c r="M124" s="6">
        <v>536.88</v>
      </c>
      <c r="N124" s="6">
        <v>899.04</v>
      </c>
      <c r="O124" s="6">
        <v>12374.21</v>
      </c>
      <c r="P124" s="3" t="s">
        <v>25</v>
      </c>
      <c r="Q124" s="3" t="s">
        <v>1084</v>
      </c>
      <c r="R124" s="3" t="s">
        <v>58</v>
      </c>
      <c r="S124" s="3" t="s">
        <v>306</v>
      </c>
      <c r="T124" s="3">
        <v>1</v>
      </c>
      <c r="U124" s="3">
        <f>CAPSTONE_PROJECT[[#This Row],[Discharge Date]]-CAPSTONE_PROJECT[[#This Row],[Admission Date]]</f>
        <v>18</v>
      </c>
      <c r="V124" s="6">
        <f>SUM(CAPSTONE_PROJECT[[#This Row],[Room Cost]:[Treatment Cost]])</f>
        <v>17029.21</v>
      </c>
      <c r="W124" s="6">
        <f t="shared" si="1"/>
        <v>946.0672222222222</v>
      </c>
      <c r="X124" s="3" t="str">
        <f>TEXT(CAPSTONE_PROJECT[[#This Row],[Admission Date]],"mmmm")</f>
        <v>February</v>
      </c>
      <c r="Y124" s="3" t="str">
        <f>TEXT(CAPSTONE_PROJECT[[#This Row],[Admission Date]],"yyyy")</f>
        <v>2024</v>
      </c>
      <c r="Z124" s="3" t="str">
        <f>TEXT(CAPSTONE_PROJECT[[#This Row],[Admission Date]],"mmm yyyy")</f>
        <v>Feb 2024</v>
      </c>
      <c r="AA124" s="3" t="str">
        <f>TEXT(CAPSTONE_PROJECT[[#This Row],[Admission Date]],"dddd")</f>
        <v>Tuesday</v>
      </c>
      <c r="AB124" s="3" t="str">
        <f>IF(CAPSTONE_PROJECT[[#This Row],[Age]]&lt;=34,"Young Adults",IF(CAPSTONE_PROJECT[[#This Row],[Age]]&lt;=59,"Adults","Elders"))</f>
        <v>Elders</v>
      </c>
      <c r="AC124" s="3" t="str">
        <f>_xlfn.XLOOKUP(CAPSTONE_PROJECT[[#This Row],[Patient ID]],'Lookup table'!A:A,'Lookup table'!B:B,,0)</f>
        <v>Leo Taylor</v>
      </c>
      <c r="AD124" s="3" t="str">
        <f>_xlfn.XLOOKUP(CAPSTONE_PROJECT[[#This Row],[Patient ID]],'Lookup table'!A:A,'Lookup table'!C:C,,0)</f>
        <v>Male</v>
      </c>
      <c r="AE124" s="3" t="str">
        <f>IF(CAPSTONE_PROJECT[[#This Row],[Length of Stay]]&lt;=3,"Short Stay",IF(CAPSTONE_PROJECT[[#This Row],[Length of Stay]]&lt;=7,"Moderate Stay",IF(CAPSTONE_PROJECT[[#This Row],[Length of Stay]]&lt;=14,"Long Stay","Extended Stay")))</f>
        <v>Extended Stay</v>
      </c>
    </row>
    <row r="125" spans="1:31" x14ac:dyDescent="0.3">
      <c r="A125" s="3" t="s">
        <v>307</v>
      </c>
      <c r="B125" s="4">
        <v>45353</v>
      </c>
      <c r="C125" s="4">
        <v>45365</v>
      </c>
      <c r="D125" s="4">
        <v>38293</v>
      </c>
      <c r="E125" s="3">
        <v>21</v>
      </c>
      <c r="F125" s="3" t="s">
        <v>33</v>
      </c>
      <c r="G125" s="3" t="s">
        <v>48</v>
      </c>
      <c r="H125" s="3" t="s">
        <v>114</v>
      </c>
      <c r="I125" s="3" t="s">
        <v>44</v>
      </c>
      <c r="J125" s="3" t="s">
        <v>30</v>
      </c>
      <c r="K125" s="3" t="s">
        <v>15</v>
      </c>
      <c r="L125" s="6">
        <v>2568.27</v>
      </c>
      <c r="M125" s="6">
        <v>1032.49</v>
      </c>
      <c r="N125" s="6">
        <v>2071.27</v>
      </c>
      <c r="O125" s="6">
        <v>12514.5</v>
      </c>
      <c r="P125" s="3" t="s">
        <v>51</v>
      </c>
      <c r="Q125" s="3" t="s">
        <v>1084</v>
      </c>
      <c r="R125" s="3" t="s">
        <v>102</v>
      </c>
      <c r="S125" s="3" t="s">
        <v>308</v>
      </c>
      <c r="T125" s="3">
        <v>9</v>
      </c>
      <c r="U125" s="3">
        <f>CAPSTONE_PROJECT[[#This Row],[Discharge Date]]-CAPSTONE_PROJECT[[#This Row],[Admission Date]]</f>
        <v>12</v>
      </c>
      <c r="V125" s="6">
        <f>SUM(CAPSTONE_PROJECT[[#This Row],[Room Cost]:[Treatment Cost]])</f>
        <v>18186.53</v>
      </c>
      <c r="W125" s="6">
        <f t="shared" si="1"/>
        <v>1515.5441666666666</v>
      </c>
      <c r="X125" s="3" t="str">
        <f>TEXT(CAPSTONE_PROJECT[[#This Row],[Admission Date]],"mmmm")</f>
        <v>March</v>
      </c>
      <c r="Y125" s="3" t="str">
        <f>TEXT(CAPSTONE_PROJECT[[#This Row],[Admission Date]],"yyyy")</f>
        <v>2024</v>
      </c>
      <c r="Z125" s="3" t="str">
        <f>TEXT(CAPSTONE_PROJECT[[#This Row],[Admission Date]],"mmm yyyy")</f>
        <v>Mar 2024</v>
      </c>
      <c r="AA125" s="3" t="str">
        <f>TEXT(CAPSTONE_PROJECT[[#This Row],[Admission Date]],"dddd")</f>
        <v>Saturday</v>
      </c>
      <c r="AB125" s="3" t="str">
        <f>IF(CAPSTONE_PROJECT[[#This Row],[Age]]&lt;=34,"Young Adults",IF(CAPSTONE_PROJECT[[#This Row],[Age]]&lt;=59,"Adults","Elders"))</f>
        <v>Young Adults</v>
      </c>
      <c r="AC125" s="3" t="str">
        <f>_xlfn.XLOOKUP(CAPSTONE_PROJECT[[#This Row],[Patient ID]],'Lookup table'!A:A,'Lookup table'!B:B,,0)</f>
        <v>Mia Wilson</v>
      </c>
      <c r="AD125" s="3" t="str">
        <f>_xlfn.XLOOKUP(CAPSTONE_PROJECT[[#This Row],[Patient ID]],'Lookup table'!A:A,'Lookup table'!C:C,,0)</f>
        <v>Female</v>
      </c>
      <c r="AE125" s="3" t="str">
        <f>IF(CAPSTONE_PROJECT[[#This Row],[Length of Stay]]&lt;=3,"Short Stay",IF(CAPSTONE_PROJECT[[#This Row],[Length of Stay]]&lt;=7,"Moderate Stay",IF(CAPSTONE_PROJECT[[#This Row],[Length of Stay]]&lt;=14,"Long Stay","Extended Stay")))</f>
        <v>Long Stay</v>
      </c>
    </row>
    <row r="126" spans="1:31" x14ac:dyDescent="0.3">
      <c r="A126" s="3" t="s">
        <v>309</v>
      </c>
      <c r="B126" s="4">
        <v>45573</v>
      </c>
      <c r="C126" s="4">
        <v>45593</v>
      </c>
      <c r="D126" s="4">
        <v>24091</v>
      </c>
      <c r="E126" s="3">
        <v>60</v>
      </c>
      <c r="F126" s="3" t="s">
        <v>33</v>
      </c>
      <c r="G126" s="3" t="s">
        <v>48</v>
      </c>
      <c r="H126" s="3" t="s">
        <v>104</v>
      </c>
      <c r="I126" s="3" t="s">
        <v>44</v>
      </c>
      <c r="J126" s="3" t="s">
        <v>64</v>
      </c>
      <c r="K126" s="3" t="s">
        <v>15</v>
      </c>
      <c r="L126" s="6">
        <v>4251.57</v>
      </c>
      <c r="M126" s="6">
        <v>365.65</v>
      </c>
      <c r="N126" s="6">
        <v>1342.94</v>
      </c>
      <c r="O126" s="6">
        <v>4134.07</v>
      </c>
      <c r="P126" s="3" t="s">
        <v>16</v>
      </c>
      <c r="Q126" s="3" t="s">
        <v>1077</v>
      </c>
      <c r="R126" s="3" t="s">
        <v>41</v>
      </c>
      <c r="S126" s="3" t="s">
        <v>310</v>
      </c>
      <c r="T126" s="3">
        <v>0</v>
      </c>
      <c r="U126" s="3">
        <f>CAPSTONE_PROJECT[[#This Row],[Discharge Date]]-CAPSTONE_PROJECT[[#This Row],[Admission Date]]</f>
        <v>20</v>
      </c>
      <c r="V126" s="6">
        <f>SUM(CAPSTONE_PROJECT[[#This Row],[Room Cost]:[Treatment Cost]])</f>
        <v>10094.23</v>
      </c>
      <c r="W126" s="6">
        <f t="shared" si="1"/>
        <v>504.7115</v>
      </c>
      <c r="X126" s="3" t="str">
        <f>TEXT(CAPSTONE_PROJECT[[#This Row],[Admission Date]],"mmmm")</f>
        <v>October</v>
      </c>
      <c r="Y126" s="3" t="str">
        <f>TEXT(CAPSTONE_PROJECT[[#This Row],[Admission Date]],"yyyy")</f>
        <v>2024</v>
      </c>
      <c r="Z126" s="3" t="str">
        <f>TEXT(CAPSTONE_PROJECT[[#This Row],[Admission Date]],"mmm yyyy")</f>
        <v>Oct 2024</v>
      </c>
      <c r="AA126" s="3" t="str">
        <f>TEXT(CAPSTONE_PROJECT[[#This Row],[Admission Date]],"dddd")</f>
        <v>Tuesday</v>
      </c>
      <c r="AB126" s="3" t="str">
        <f>IF(CAPSTONE_PROJECT[[#This Row],[Age]]&lt;=34,"Young Adults",IF(CAPSTONE_PROJECT[[#This Row],[Age]]&lt;=59,"Adults","Elders"))</f>
        <v>Elders</v>
      </c>
      <c r="AC126" s="3" t="str">
        <f>_xlfn.XLOOKUP(CAPSTONE_PROJECT[[#This Row],[Patient ID]],'Lookup table'!A:A,'Lookup table'!B:B,,0)</f>
        <v>John C Brown</v>
      </c>
      <c r="AD126" s="3" t="str">
        <f>_xlfn.XLOOKUP(CAPSTONE_PROJECT[[#This Row],[Patient ID]],'Lookup table'!A:A,'Lookup table'!C:C,,0)</f>
        <v>Male</v>
      </c>
      <c r="AE126" s="3" t="str">
        <f>IF(CAPSTONE_PROJECT[[#This Row],[Length of Stay]]&lt;=3,"Short Stay",IF(CAPSTONE_PROJECT[[#This Row],[Length of Stay]]&lt;=7,"Moderate Stay",IF(CAPSTONE_PROJECT[[#This Row],[Length of Stay]]&lt;=14,"Long Stay","Extended Stay")))</f>
        <v>Extended Stay</v>
      </c>
    </row>
    <row r="127" spans="1:31" x14ac:dyDescent="0.3">
      <c r="A127" s="3" t="s">
        <v>311</v>
      </c>
      <c r="B127" s="4">
        <v>45390</v>
      </c>
      <c r="C127" s="4">
        <v>45407</v>
      </c>
      <c r="D127" s="4">
        <v>31567</v>
      </c>
      <c r="E127" s="3">
        <v>40</v>
      </c>
      <c r="F127" s="3" t="s">
        <v>33</v>
      </c>
      <c r="G127" s="3" t="s">
        <v>9</v>
      </c>
      <c r="H127" s="3" t="s">
        <v>100</v>
      </c>
      <c r="I127" s="3" t="s">
        <v>37</v>
      </c>
      <c r="J127" s="3" t="s">
        <v>14</v>
      </c>
      <c r="K127" s="3" t="s">
        <v>50</v>
      </c>
      <c r="L127" s="6">
        <v>801.81</v>
      </c>
      <c r="M127" s="6">
        <v>1331.04</v>
      </c>
      <c r="N127" s="6">
        <v>0</v>
      </c>
      <c r="O127" s="6">
        <v>0</v>
      </c>
      <c r="P127" s="3" t="s">
        <v>51</v>
      </c>
      <c r="Q127" s="3" t="s">
        <v>1084</v>
      </c>
      <c r="R127" s="3" t="s">
        <v>68</v>
      </c>
      <c r="S127" s="3" t="s">
        <v>312</v>
      </c>
      <c r="T127" s="3">
        <v>4</v>
      </c>
      <c r="U127" s="3">
        <f>CAPSTONE_PROJECT[[#This Row],[Discharge Date]]-CAPSTONE_PROJECT[[#This Row],[Admission Date]]</f>
        <v>17</v>
      </c>
      <c r="V127" s="6">
        <f>SUM(CAPSTONE_PROJECT[[#This Row],[Room Cost]:[Treatment Cost]])</f>
        <v>2132.85</v>
      </c>
      <c r="W127" s="6">
        <f t="shared" si="1"/>
        <v>125.46176470588235</v>
      </c>
      <c r="X127" s="3" t="str">
        <f>TEXT(CAPSTONE_PROJECT[[#This Row],[Admission Date]],"mmmm")</f>
        <v>April</v>
      </c>
      <c r="Y127" s="3" t="str">
        <f>TEXT(CAPSTONE_PROJECT[[#This Row],[Admission Date]],"yyyy")</f>
        <v>2024</v>
      </c>
      <c r="Z127" s="3" t="str">
        <f>TEXT(CAPSTONE_PROJECT[[#This Row],[Admission Date]],"mmm yyyy")</f>
        <v>Apr 2024</v>
      </c>
      <c r="AA127" s="3" t="str">
        <f>TEXT(CAPSTONE_PROJECT[[#This Row],[Admission Date]],"dddd")</f>
        <v>Monday</v>
      </c>
      <c r="AB127" s="3" t="str">
        <f>IF(CAPSTONE_PROJECT[[#This Row],[Age]]&lt;=34,"Young Adults",IF(CAPSTONE_PROJECT[[#This Row],[Age]]&lt;=59,"Adults","Elders"))</f>
        <v>Adults</v>
      </c>
      <c r="AC127" s="3" t="str">
        <f>_xlfn.XLOOKUP(CAPSTONE_PROJECT[[#This Row],[Patient ID]],'Lookup table'!A:A,'Lookup table'!B:B,,0)</f>
        <v>Freya Jones</v>
      </c>
      <c r="AD127" s="3" t="str">
        <f>_xlfn.XLOOKUP(CAPSTONE_PROJECT[[#This Row],[Patient ID]],'Lookup table'!A:A,'Lookup table'!C:C,,0)</f>
        <v>Female</v>
      </c>
      <c r="AE127" s="3" t="str">
        <f>IF(CAPSTONE_PROJECT[[#This Row],[Length of Stay]]&lt;=3,"Short Stay",IF(CAPSTONE_PROJECT[[#This Row],[Length of Stay]]&lt;=7,"Moderate Stay",IF(CAPSTONE_PROJECT[[#This Row],[Length of Stay]]&lt;=14,"Long Stay","Extended Stay")))</f>
        <v>Extended Stay</v>
      </c>
    </row>
    <row r="128" spans="1:31" x14ac:dyDescent="0.3">
      <c r="A128" s="3" t="s">
        <v>313</v>
      </c>
      <c r="B128" s="4">
        <v>45923</v>
      </c>
      <c r="C128" s="4">
        <v>45932</v>
      </c>
      <c r="D128" s="4">
        <v>35035</v>
      </c>
      <c r="E128" s="3">
        <v>30</v>
      </c>
      <c r="F128" s="3" t="s">
        <v>33</v>
      </c>
      <c r="G128" s="3" t="s">
        <v>40</v>
      </c>
      <c r="H128" s="3" t="s">
        <v>104</v>
      </c>
      <c r="I128" s="3" t="s">
        <v>44</v>
      </c>
      <c r="J128" s="3" t="s">
        <v>15</v>
      </c>
      <c r="K128" s="3" t="s">
        <v>24</v>
      </c>
      <c r="L128" s="6">
        <v>3686.28</v>
      </c>
      <c r="M128" s="6">
        <v>400.62</v>
      </c>
      <c r="N128" s="6">
        <v>1301.79</v>
      </c>
      <c r="O128" s="6">
        <v>12008.72</v>
      </c>
      <c r="P128" s="3" t="s">
        <v>31</v>
      </c>
      <c r="Q128" s="3" t="s">
        <v>1077</v>
      </c>
      <c r="R128" s="3" t="s">
        <v>102</v>
      </c>
      <c r="S128" s="3" t="s">
        <v>314</v>
      </c>
      <c r="T128" s="3">
        <v>4</v>
      </c>
      <c r="U128" s="3">
        <f>CAPSTONE_PROJECT[[#This Row],[Discharge Date]]-CAPSTONE_PROJECT[[#This Row],[Admission Date]]</f>
        <v>9</v>
      </c>
      <c r="V128" s="6">
        <f>SUM(CAPSTONE_PROJECT[[#This Row],[Room Cost]:[Treatment Cost]])</f>
        <v>17397.41</v>
      </c>
      <c r="W128" s="6">
        <f t="shared" si="1"/>
        <v>1933.0455555555554</v>
      </c>
      <c r="X128" s="3" t="str">
        <f>TEXT(CAPSTONE_PROJECT[[#This Row],[Admission Date]],"mmmm")</f>
        <v>September</v>
      </c>
      <c r="Y128" s="3" t="str">
        <f>TEXT(CAPSTONE_PROJECT[[#This Row],[Admission Date]],"yyyy")</f>
        <v>2025</v>
      </c>
      <c r="Z128" s="3" t="str">
        <f>TEXT(CAPSTONE_PROJECT[[#This Row],[Admission Date]],"mmm yyyy")</f>
        <v>Sep 2025</v>
      </c>
      <c r="AA128" s="3" t="str">
        <f>TEXT(CAPSTONE_PROJECT[[#This Row],[Admission Date]],"dddd")</f>
        <v>Tuesday</v>
      </c>
      <c r="AB128" s="3" t="str">
        <f>IF(CAPSTONE_PROJECT[[#This Row],[Age]]&lt;=34,"Young Adults",IF(CAPSTONE_PROJECT[[#This Row],[Age]]&lt;=59,"Adults","Elders"))</f>
        <v>Young Adults</v>
      </c>
      <c r="AC128" s="3" t="str">
        <f>_xlfn.XLOOKUP(CAPSTONE_PROJECT[[#This Row],[Patient ID]],'Lookup table'!A:A,'Lookup table'!B:B,,0)</f>
        <v>David Hall</v>
      </c>
      <c r="AD128" s="3" t="str">
        <f>_xlfn.XLOOKUP(CAPSTONE_PROJECT[[#This Row],[Patient ID]],'Lookup table'!A:A,'Lookup table'!C:C,,0)</f>
        <v>Male</v>
      </c>
      <c r="AE128" s="3" t="str">
        <f>IF(CAPSTONE_PROJECT[[#This Row],[Length of Stay]]&lt;=3,"Short Stay",IF(CAPSTONE_PROJECT[[#This Row],[Length of Stay]]&lt;=7,"Moderate Stay",IF(CAPSTONE_PROJECT[[#This Row],[Length of Stay]]&lt;=14,"Long Stay","Extended Stay")))</f>
        <v>Long Stay</v>
      </c>
    </row>
    <row r="129" spans="1:31" x14ac:dyDescent="0.3">
      <c r="A129" s="3" t="s">
        <v>315</v>
      </c>
      <c r="B129" s="4">
        <v>45906</v>
      </c>
      <c r="C129" s="4">
        <v>45921</v>
      </c>
      <c r="D129" s="4">
        <v>31854</v>
      </c>
      <c r="E129" s="3">
        <v>39</v>
      </c>
      <c r="F129" s="3" t="s">
        <v>18</v>
      </c>
      <c r="G129" s="3" t="s">
        <v>53</v>
      </c>
      <c r="H129" s="3" t="s">
        <v>29</v>
      </c>
      <c r="I129" s="3" t="s">
        <v>37</v>
      </c>
      <c r="J129" s="3" t="s">
        <v>73</v>
      </c>
      <c r="K129" s="3" t="s">
        <v>65</v>
      </c>
      <c r="L129" s="6">
        <v>2572.66</v>
      </c>
      <c r="M129" s="6">
        <v>484.74</v>
      </c>
      <c r="N129" s="6">
        <v>1613.23</v>
      </c>
      <c r="O129" s="6">
        <v>9115.09</v>
      </c>
      <c r="P129" s="3" t="s">
        <v>25</v>
      </c>
      <c r="Q129" s="3" t="s">
        <v>1085</v>
      </c>
      <c r="R129" s="3" t="s">
        <v>35</v>
      </c>
      <c r="S129" s="3" t="s">
        <v>316</v>
      </c>
      <c r="T129" s="3">
        <v>7</v>
      </c>
      <c r="U129" s="3">
        <f>CAPSTONE_PROJECT[[#This Row],[Discharge Date]]-CAPSTONE_PROJECT[[#This Row],[Admission Date]]</f>
        <v>15</v>
      </c>
      <c r="V129" s="6">
        <f>SUM(CAPSTONE_PROJECT[[#This Row],[Room Cost]:[Treatment Cost]])</f>
        <v>13785.72</v>
      </c>
      <c r="W129" s="6">
        <f t="shared" si="1"/>
        <v>919.048</v>
      </c>
      <c r="X129" s="3" t="str">
        <f>TEXT(CAPSTONE_PROJECT[[#This Row],[Admission Date]],"mmmm")</f>
        <v>September</v>
      </c>
      <c r="Y129" s="3" t="str">
        <f>TEXT(CAPSTONE_PROJECT[[#This Row],[Admission Date]],"yyyy")</f>
        <v>2025</v>
      </c>
      <c r="Z129" s="3" t="str">
        <f>TEXT(CAPSTONE_PROJECT[[#This Row],[Admission Date]],"mmm yyyy")</f>
        <v>Sep 2025</v>
      </c>
      <c r="AA129" s="3" t="str">
        <f>TEXT(CAPSTONE_PROJECT[[#This Row],[Admission Date]],"dddd")</f>
        <v>Saturday</v>
      </c>
      <c r="AB129" s="3" t="str">
        <f>IF(CAPSTONE_PROJECT[[#This Row],[Age]]&lt;=34,"Young Adults",IF(CAPSTONE_PROJECT[[#This Row],[Age]]&lt;=59,"Adults","Elders"))</f>
        <v>Adults</v>
      </c>
      <c r="AC129" s="3" t="str">
        <f>_xlfn.XLOOKUP(CAPSTONE_PROJECT[[#This Row],[Patient ID]],'Lookup table'!A:A,'Lookup table'!B:B,,0)</f>
        <v>Mia Clarke</v>
      </c>
      <c r="AD129" s="3" t="str">
        <f>_xlfn.XLOOKUP(CAPSTONE_PROJECT[[#This Row],[Patient ID]],'Lookup table'!A:A,'Lookup table'!C:C,,0)</f>
        <v>Female</v>
      </c>
      <c r="AE129" s="3" t="str">
        <f>IF(CAPSTONE_PROJECT[[#This Row],[Length of Stay]]&lt;=3,"Short Stay",IF(CAPSTONE_PROJECT[[#This Row],[Length of Stay]]&lt;=7,"Moderate Stay",IF(CAPSTONE_PROJECT[[#This Row],[Length of Stay]]&lt;=14,"Long Stay","Extended Stay")))</f>
        <v>Extended Stay</v>
      </c>
    </row>
    <row r="130" spans="1:31" x14ac:dyDescent="0.3">
      <c r="A130" s="3" t="s">
        <v>317</v>
      </c>
      <c r="B130" s="4">
        <v>45574</v>
      </c>
      <c r="C130" s="4">
        <v>45592</v>
      </c>
      <c r="D130" s="4">
        <v>34695</v>
      </c>
      <c r="E130" s="3">
        <v>31</v>
      </c>
      <c r="F130" s="3" t="s">
        <v>18</v>
      </c>
      <c r="G130" s="3" t="s">
        <v>40</v>
      </c>
      <c r="H130" s="3" t="s">
        <v>104</v>
      </c>
      <c r="I130" s="3" t="s">
        <v>37</v>
      </c>
      <c r="J130" s="3" t="s">
        <v>64</v>
      </c>
      <c r="K130" s="3" t="s">
        <v>50</v>
      </c>
      <c r="L130" s="6">
        <v>4901.95</v>
      </c>
      <c r="M130" s="6">
        <v>244.76</v>
      </c>
      <c r="N130" s="6">
        <v>439.77</v>
      </c>
      <c r="O130" s="6">
        <v>9324.7099999999991</v>
      </c>
      <c r="P130" s="3" t="s">
        <v>51</v>
      </c>
      <c r="Q130" s="3" t="s">
        <v>1082</v>
      </c>
      <c r="R130" s="3" t="s">
        <v>62</v>
      </c>
      <c r="S130" s="3" t="s">
        <v>318</v>
      </c>
      <c r="T130" s="3">
        <v>6</v>
      </c>
      <c r="U130" s="3">
        <f>CAPSTONE_PROJECT[[#This Row],[Discharge Date]]-CAPSTONE_PROJECT[[#This Row],[Admission Date]]</f>
        <v>18</v>
      </c>
      <c r="V130" s="6">
        <f>SUM(CAPSTONE_PROJECT[[#This Row],[Room Cost]:[Treatment Cost]])</f>
        <v>14911.189999999999</v>
      </c>
      <c r="W130" s="6">
        <f t="shared" ref="W130:W193" si="2">V130/U130</f>
        <v>828.39944444444438</v>
      </c>
      <c r="X130" s="3" t="str">
        <f>TEXT(CAPSTONE_PROJECT[[#This Row],[Admission Date]],"mmmm")</f>
        <v>October</v>
      </c>
      <c r="Y130" s="3" t="str">
        <f>TEXT(CAPSTONE_PROJECT[[#This Row],[Admission Date]],"yyyy")</f>
        <v>2024</v>
      </c>
      <c r="Z130" s="3" t="str">
        <f>TEXT(CAPSTONE_PROJECT[[#This Row],[Admission Date]],"mmm yyyy")</f>
        <v>Oct 2024</v>
      </c>
      <c r="AA130" s="3" t="str">
        <f>TEXT(CAPSTONE_PROJECT[[#This Row],[Admission Date]],"dddd")</f>
        <v>Wednesday</v>
      </c>
      <c r="AB130" s="3" t="str">
        <f>IF(CAPSTONE_PROJECT[[#This Row],[Age]]&lt;=34,"Young Adults",IF(CAPSTONE_PROJECT[[#This Row],[Age]]&lt;=59,"Adults","Elders"))</f>
        <v>Young Adults</v>
      </c>
      <c r="AC130" s="3" t="str">
        <f>_xlfn.XLOOKUP(CAPSTONE_PROJECT[[#This Row],[Patient ID]],'Lookup table'!A:A,'Lookup table'!B:B,,0)</f>
        <v>James Green</v>
      </c>
      <c r="AD130" s="3" t="str">
        <f>_xlfn.XLOOKUP(CAPSTONE_PROJECT[[#This Row],[Patient ID]],'Lookup table'!A:A,'Lookup table'!C:C,,0)</f>
        <v>Male</v>
      </c>
      <c r="AE130" s="3" t="str">
        <f>IF(CAPSTONE_PROJECT[[#This Row],[Length of Stay]]&lt;=3,"Short Stay",IF(CAPSTONE_PROJECT[[#This Row],[Length of Stay]]&lt;=7,"Moderate Stay",IF(CAPSTONE_PROJECT[[#This Row],[Length of Stay]]&lt;=14,"Long Stay","Extended Stay")))</f>
        <v>Extended Stay</v>
      </c>
    </row>
    <row r="131" spans="1:31" x14ac:dyDescent="0.3">
      <c r="A131" s="3" t="s">
        <v>319</v>
      </c>
      <c r="B131" s="4">
        <v>45372</v>
      </c>
      <c r="C131" s="4">
        <v>45374</v>
      </c>
      <c r="D131" s="4">
        <v>33524</v>
      </c>
      <c r="E131" s="3">
        <v>34</v>
      </c>
      <c r="F131" s="3" t="s">
        <v>33</v>
      </c>
      <c r="G131" s="3" t="s">
        <v>126</v>
      </c>
      <c r="H131" s="3" t="s">
        <v>29</v>
      </c>
      <c r="I131" s="3" t="s">
        <v>44</v>
      </c>
      <c r="J131" s="3" t="s">
        <v>64</v>
      </c>
      <c r="K131" s="3" t="s">
        <v>50</v>
      </c>
      <c r="L131" s="6">
        <v>3415.1</v>
      </c>
      <c r="M131" s="6">
        <v>1590.76</v>
      </c>
      <c r="N131" s="6">
        <v>629.98</v>
      </c>
      <c r="O131" s="6">
        <v>3059.52</v>
      </c>
      <c r="P131" s="3" t="s">
        <v>16</v>
      </c>
      <c r="Q131" s="3" t="s">
        <v>1079</v>
      </c>
      <c r="R131" s="3" t="s">
        <v>62</v>
      </c>
      <c r="S131" s="3" t="s">
        <v>320</v>
      </c>
      <c r="T131" s="3">
        <v>4</v>
      </c>
      <c r="U131" s="3">
        <f>CAPSTONE_PROJECT[[#This Row],[Discharge Date]]-CAPSTONE_PROJECT[[#This Row],[Admission Date]]</f>
        <v>2</v>
      </c>
      <c r="V131" s="6">
        <f>SUM(CAPSTONE_PROJECT[[#This Row],[Room Cost]:[Treatment Cost]])</f>
        <v>8695.36</v>
      </c>
      <c r="W131" s="6">
        <f t="shared" si="2"/>
        <v>4347.68</v>
      </c>
      <c r="X131" s="3" t="str">
        <f>TEXT(CAPSTONE_PROJECT[[#This Row],[Admission Date]],"mmmm")</f>
        <v>March</v>
      </c>
      <c r="Y131" s="3" t="str">
        <f>TEXT(CAPSTONE_PROJECT[[#This Row],[Admission Date]],"yyyy")</f>
        <v>2024</v>
      </c>
      <c r="Z131" s="3" t="str">
        <f>TEXT(CAPSTONE_PROJECT[[#This Row],[Admission Date]],"mmm yyyy")</f>
        <v>Mar 2024</v>
      </c>
      <c r="AA131" s="3" t="str">
        <f>TEXT(CAPSTONE_PROJECT[[#This Row],[Admission Date]],"dddd")</f>
        <v>Thursday</v>
      </c>
      <c r="AB131" s="3" t="str">
        <f>IF(CAPSTONE_PROJECT[[#This Row],[Age]]&lt;=34,"Young Adults",IF(CAPSTONE_PROJECT[[#This Row],[Age]]&lt;=59,"Adults","Elders"))</f>
        <v>Young Adults</v>
      </c>
      <c r="AC131" s="3" t="str">
        <f>_xlfn.XLOOKUP(CAPSTONE_PROJECT[[#This Row],[Patient ID]],'Lookup table'!A:A,'Lookup table'!B:B,,0)</f>
        <v>Freya Smith</v>
      </c>
      <c r="AD131" s="3" t="str">
        <f>_xlfn.XLOOKUP(CAPSTONE_PROJECT[[#This Row],[Patient ID]],'Lookup table'!A:A,'Lookup table'!C:C,,0)</f>
        <v>Female</v>
      </c>
      <c r="AE131" s="3" t="str">
        <f>IF(CAPSTONE_PROJECT[[#This Row],[Length of Stay]]&lt;=3,"Short Stay",IF(CAPSTONE_PROJECT[[#This Row],[Length of Stay]]&lt;=7,"Moderate Stay",IF(CAPSTONE_PROJECT[[#This Row],[Length of Stay]]&lt;=14,"Long Stay","Extended Stay")))</f>
        <v>Short Stay</v>
      </c>
    </row>
    <row r="132" spans="1:31" x14ac:dyDescent="0.3">
      <c r="A132" s="3" t="s">
        <v>321</v>
      </c>
      <c r="B132" s="4">
        <v>45695</v>
      </c>
      <c r="C132" s="4">
        <v>45700</v>
      </c>
      <c r="D132" s="4">
        <v>26445</v>
      </c>
      <c r="E132" s="3">
        <v>54</v>
      </c>
      <c r="F132" s="3" t="s">
        <v>18</v>
      </c>
      <c r="G132" s="3" t="s">
        <v>139</v>
      </c>
      <c r="H132" s="3" t="s">
        <v>114</v>
      </c>
      <c r="I132" s="3" t="s">
        <v>44</v>
      </c>
      <c r="J132" s="3" t="s">
        <v>45</v>
      </c>
      <c r="K132" s="3" t="s">
        <v>65</v>
      </c>
      <c r="L132" s="6">
        <v>2817.47</v>
      </c>
      <c r="M132" s="6">
        <v>1203.48</v>
      </c>
      <c r="N132" s="6">
        <v>2334.92</v>
      </c>
      <c r="O132" s="6">
        <v>5638.77</v>
      </c>
      <c r="P132" s="3" t="s">
        <v>31</v>
      </c>
      <c r="Q132" s="3" t="s">
        <v>1076</v>
      </c>
      <c r="R132" s="3" t="s">
        <v>35</v>
      </c>
      <c r="S132" s="3" t="s">
        <v>322</v>
      </c>
      <c r="T132" s="3">
        <v>2</v>
      </c>
      <c r="U132" s="3">
        <f>CAPSTONE_PROJECT[[#This Row],[Discharge Date]]-CAPSTONE_PROJECT[[#This Row],[Admission Date]]</f>
        <v>5</v>
      </c>
      <c r="V132" s="6">
        <f>SUM(CAPSTONE_PROJECT[[#This Row],[Room Cost]:[Treatment Cost]])</f>
        <v>11994.64</v>
      </c>
      <c r="W132" s="6">
        <f t="shared" si="2"/>
        <v>2398.9279999999999</v>
      </c>
      <c r="X132" s="3" t="str">
        <f>TEXT(CAPSTONE_PROJECT[[#This Row],[Admission Date]],"mmmm")</f>
        <v>February</v>
      </c>
      <c r="Y132" s="3" t="str">
        <f>TEXT(CAPSTONE_PROJECT[[#This Row],[Admission Date]],"yyyy")</f>
        <v>2025</v>
      </c>
      <c r="Z132" s="3" t="str">
        <f>TEXT(CAPSTONE_PROJECT[[#This Row],[Admission Date]],"mmm yyyy")</f>
        <v>Feb 2025</v>
      </c>
      <c r="AA132" s="3" t="str">
        <f>TEXT(CAPSTONE_PROJECT[[#This Row],[Admission Date]],"dddd")</f>
        <v>Friday</v>
      </c>
      <c r="AB132" s="3" t="str">
        <f>IF(CAPSTONE_PROJECT[[#This Row],[Age]]&lt;=34,"Young Adults",IF(CAPSTONE_PROJECT[[#This Row],[Age]]&lt;=59,"Adults","Elders"))</f>
        <v>Adults</v>
      </c>
      <c r="AC132" s="3" t="str">
        <f>_xlfn.XLOOKUP(CAPSTONE_PROJECT[[#This Row],[Patient ID]],'Lookup table'!A:A,'Lookup table'!B:B,,0)</f>
        <v>David Green</v>
      </c>
      <c r="AD132" s="3" t="str">
        <f>_xlfn.XLOOKUP(CAPSTONE_PROJECT[[#This Row],[Patient ID]],'Lookup table'!A:A,'Lookup table'!C:C,,0)</f>
        <v>Male</v>
      </c>
      <c r="AE132" s="3" t="str">
        <f>IF(CAPSTONE_PROJECT[[#This Row],[Length of Stay]]&lt;=3,"Short Stay",IF(CAPSTONE_PROJECT[[#This Row],[Length of Stay]]&lt;=7,"Moderate Stay",IF(CAPSTONE_PROJECT[[#This Row],[Length of Stay]]&lt;=14,"Long Stay","Extended Stay")))</f>
        <v>Moderate Stay</v>
      </c>
    </row>
    <row r="133" spans="1:31" x14ac:dyDescent="0.3">
      <c r="A133" s="3" t="s">
        <v>323</v>
      </c>
      <c r="B133" s="4">
        <v>45620</v>
      </c>
      <c r="C133" s="4">
        <v>45632</v>
      </c>
      <c r="D133" s="4">
        <v>24996</v>
      </c>
      <c r="E133" s="3">
        <v>58</v>
      </c>
      <c r="F133" s="3" t="s">
        <v>18</v>
      </c>
      <c r="G133" s="3" t="s">
        <v>40</v>
      </c>
      <c r="H133" s="3" t="s">
        <v>21</v>
      </c>
      <c r="I133" s="3" t="s">
        <v>37</v>
      </c>
      <c r="J133" s="3" t="s">
        <v>45</v>
      </c>
      <c r="K133" s="3" t="s">
        <v>50</v>
      </c>
      <c r="L133" s="6">
        <v>2457.37</v>
      </c>
      <c r="M133" s="6">
        <v>1480.21</v>
      </c>
      <c r="N133" s="6">
        <v>1543.62</v>
      </c>
      <c r="O133" s="6">
        <v>15565.44</v>
      </c>
      <c r="P133" s="3" t="s">
        <v>51</v>
      </c>
      <c r="Q133" s="3" t="s">
        <v>1078</v>
      </c>
      <c r="R133" s="3" t="s">
        <v>75</v>
      </c>
      <c r="S133" s="3" t="s">
        <v>324</v>
      </c>
      <c r="T133" s="3">
        <v>8</v>
      </c>
      <c r="U133" s="3">
        <f>CAPSTONE_PROJECT[[#This Row],[Discharge Date]]-CAPSTONE_PROJECT[[#This Row],[Admission Date]]</f>
        <v>12</v>
      </c>
      <c r="V133" s="6">
        <f>SUM(CAPSTONE_PROJECT[[#This Row],[Room Cost]:[Treatment Cost]])</f>
        <v>21046.639999999999</v>
      </c>
      <c r="W133" s="6">
        <f t="shared" si="2"/>
        <v>1753.8866666666665</v>
      </c>
      <c r="X133" s="3" t="str">
        <f>TEXT(CAPSTONE_PROJECT[[#This Row],[Admission Date]],"mmmm")</f>
        <v>November</v>
      </c>
      <c r="Y133" s="3" t="str">
        <f>TEXT(CAPSTONE_PROJECT[[#This Row],[Admission Date]],"yyyy")</f>
        <v>2024</v>
      </c>
      <c r="Z133" s="3" t="str">
        <f>TEXT(CAPSTONE_PROJECT[[#This Row],[Admission Date]],"mmm yyyy")</f>
        <v>Nov 2024</v>
      </c>
      <c r="AA133" s="3" t="str">
        <f>TEXT(CAPSTONE_PROJECT[[#This Row],[Admission Date]],"dddd")</f>
        <v>Sunday</v>
      </c>
      <c r="AB133" s="3" t="str">
        <f>IF(CAPSTONE_PROJECT[[#This Row],[Age]]&lt;=34,"Young Adults",IF(CAPSTONE_PROJECT[[#This Row],[Age]]&lt;=59,"Adults","Elders"))</f>
        <v>Adults</v>
      </c>
      <c r="AC133" s="3" t="str">
        <f>_xlfn.XLOOKUP(CAPSTONE_PROJECT[[#This Row],[Patient ID]],'Lookup table'!A:A,'Lookup table'!B:B,,0)</f>
        <v>Sarah Green</v>
      </c>
      <c r="AD133" s="3" t="str">
        <f>_xlfn.XLOOKUP(CAPSTONE_PROJECT[[#This Row],[Patient ID]],'Lookup table'!A:A,'Lookup table'!C:C,,0)</f>
        <v>Female</v>
      </c>
      <c r="AE133" s="3" t="str">
        <f>IF(CAPSTONE_PROJECT[[#This Row],[Length of Stay]]&lt;=3,"Short Stay",IF(CAPSTONE_PROJECT[[#This Row],[Length of Stay]]&lt;=7,"Moderate Stay",IF(CAPSTONE_PROJECT[[#This Row],[Length of Stay]]&lt;=14,"Long Stay","Extended Stay")))</f>
        <v>Long Stay</v>
      </c>
    </row>
    <row r="134" spans="1:31" x14ac:dyDescent="0.3">
      <c r="A134" s="3" t="s">
        <v>325</v>
      </c>
      <c r="B134" s="4">
        <v>45506</v>
      </c>
      <c r="C134" s="4">
        <v>45524</v>
      </c>
      <c r="D134" s="4">
        <v>27405</v>
      </c>
      <c r="E134" s="3">
        <v>51</v>
      </c>
      <c r="F134" s="3" t="s">
        <v>47</v>
      </c>
      <c r="G134" s="3" t="s">
        <v>67</v>
      </c>
      <c r="H134" s="3" t="s">
        <v>72</v>
      </c>
      <c r="I134" s="3" t="s">
        <v>22</v>
      </c>
      <c r="J134" s="3" t="s">
        <v>73</v>
      </c>
      <c r="K134" s="3" t="s">
        <v>65</v>
      </c>
      <c r="L134" s="6">
        <v>2388.3000000000002</v>
      </c>
      <c r="M134" s="6">
        <v>1922.01</v>
      </c>
      <c r="N134" s="6">
        <v>2345.3000000000002</v>
      </c>
      <c r="O134" s="6">
        <v>1979.65</v>
      </c>
      <c r="P134" s="3" t="s">
        <v>25</v>
      </c>
      <c r="Q134" s="3" t="s">
        <v>1082</v>
      </c>
      <c r="R134" s="3" t="s">
        <v>41</v>
      </c>
      <c r="S134" s="3" t="s">
        <v>326</v>
      </c>
      <c r="T134" s="3">
        <v>3</v>
      </c>
      <c r="U134" s="3">
        <f>CAPSTONE_PROJECT[[#This Row],[Discharge Date]]-CAPSTONE_PROJECT[[#This Row],[Admission Date]]</f>
        <v>18</v>
      </c>
      <c r="V134" s="6">
        <f>SUM(CAPSTONE_PROJECT[[#This Row],[Room Cost]:[Treatment Cost]])</f>
        <v>8635.26</v>
      </c>
      <c r="W134" s="6">
        <f t="shared" si="2"/>
        <v>479.73666666666668</v>
      </c>
      <c r="X134" s="3" t="str">
        <f>TEXT(CAPSTONE_PROJECT[[#This Row],[Admission Date]],"mmmm")</f>
        <v>August</v>
      </c>
      <c r="Y134" s="3" t="str">
        <f>TEXT(CAPSTONE_PROJECT[[#This Row],[Admission Date]],"yyyy")</f>
        <v>2024</v>
      </c>
      <c r="Z134" s="3" t="str">
        <f>TEXT(CAPSTONE_PROJECT[[#This Row],[Admission Date]],"mmm yyyy")</f>
        <v>Aug 2024</v>
      </c>
      <c r="AA134" s="3" t="str">
        <f>TEXT(CAPSTONE_PROJECT[[#This Row],[Admission Date]],"dddd")</f>
        <v>Friday</v>
      </c>
      <c r="AB134" s="3" t="str">
        <f>IF(CAPSTONE_PROJECT[[#This Row],[Age]]&lt;=34,"Young Adults",IF(CAPSTONE_PROJECT[[#This Row],[Age]]&lt;=59,"Adults","Elders"))</f>
        <v>Adults</v>
      </c>
      <c r="AC134" s="3" t="str">
        <f>_xlfn.XLOOKUP(CAPSTONE_PROJECT[[#This Row],[Patient ID]],'Lookup table'!A:A,'Lookup table'!B:B,,0)</f>
        <v>Daniel Wood</v>
      </c>
      <c r="AD134" s="3" t="str">
        <f>_xlfn.XLOOKUP(CAPSTONE_PROJECT[[#This Row],[Patient ID]],'Lookup table'!A:A,'Lookup table'!C:C,,0)</f>
        <v>Male</v>
      </c>
      <c r="AE134" s="3" t="str">
        <f>IF(CAPSTONE_PROJECT[[#This Row],[Length of Stay]]&lt;=3,"Short Stay",IF(CAPSTONE_PROJECT[[#This Row],[Length of Stay]]&lt;=7,"Moderate Stay",IF(CAPSTONE_PROJECT[[#This Row],[Length of Stay]]&lt;=14,"Long Stay","Extended Stay")))</f>
        <v>Extended Stay</v>
      </c>
    </row>
    <row r="135" spans="1:31" x14ac:dyDescent="0.3">
      <c r="A135" s="3" t="s">
        <v>327</v>
      </c>
      <c r="B135" s="4">
        <v>45528</v>
      </c>
      <c r="C135" s="4">
        <v>45541</v>
      </c>
      <c r="D135" s="4">
        <v>23328</v>
      </c>
      <c r="E135" s="3">
        <v>62</v>
      </c>
      <c r="F135" s="3" t="s">
        <v>47</v>
      </c>
      <c r="G135" s="3" t="s">
        <v>126</v>
      </c>
      <c r="H135" s="3" t="s">
        <v>104</v>
      </c>
      <c r="I135" s="3" t="s">
        <v>44</v>
      </c>
      <c r="J135" s="3" t="s">
        <v>73</v>
      </c>
      <c r="K135" s="3" t="s">
        <v>24</v>
      </c>
      <c r="L135" s="6">
        <v>2133.6</v>
      </c>
      <c r="M135" s="6">
        <v>1059.79</v>
      </c>
      <c r="N135" s="6">
        <v>2121.6799999999998</v>
      </c>
      <c r="O135" s="6">
        <v>6947.23</v>
      </c>
      <c r="P135" s="3" t="s">
        <v>25</v>
      </c>
      <c r="Q135" s="3" t="s">
        <v>1081</v>
      </c>
      <c r="R135" s="3" t="s">
        <v>102</v>
      </c>
      <c r="S135" s="3" t="s">
        <v>328</v>
      </c>
      <c r="T135" s="3">
        <v>9</v>
      </c>
      <c r="U135" s="3">
        <f>CAPSTONE_PROJECT[[#This Row],[Discharge Date]]-CAPSTONE_PROJECT[[#This Row],[Admission Date]]</f>
        <v>13</v>
      </c>
      <c r="V135" s="6">
        <f>SUM(CAPSTONE_PROJECT[[#This Row],[Room Cost]:[Treatment Cost]])</f>
        <v>12262.3</v>
      </c>
      <c r="W135" s="6">
        <f t="shared" si="2"/>
        <v>943.2538461538461</v>
      </c>
      <c r="X135" s="3" t="str">
        <f>TEXT(CAPSTONE_PROJECT[[#This Row],[Admission Date]],"mmmm")</f>
        <v>August</v>
      </c>
      <c r="Y135" s="3" t="str">
        <f>TEXT(CAPSTONE_PROJECT[[#This Row],[Admission Date]],"yyyy")</f>
        <v>2024</v>
      </c>
      <c r="Z135" s="3" t="str">
        <f>TEXT(CAPSTONE_PROJECT[[#This Row],[Admission Date]],"mmm yyyy")</f>
        <v>Aug 2024</v>
      </c>
      <c r="AA135" s="3" t="str">
        <f>TEXT(CAPSTONE_PROJECT[[#This Row],[Admission Date]],"dddd")</f>
        <v>Saturday</v>
      </c>
      <c r="AB135" s="3" t="str">
        <f>IF(CAPSTONE_PROJECT[[#This Row],[Age]]&lt;=34,"Young Adults",IF(CAPSTONE_PROJECT[[#This Row],[Age]]&lt;=59,"Adults","Elders"))</f>
        <v>Elders</v>
      </c>
      <c r="AC135" s="3" t="str">
        <f>_xlfn.XLOOKUP(CAPSTONE_PROJECT[[#This Row],[Patient ID]],'Lookup table'!A:A,'Lookup table'!B:B,,0)</f>
        <v>Ava W Hall</v>
      </c>
      <c r="AD135" s="3" t="str">
        <f>_xlfn.XLOOKUP(CAPSTONE_PROJECT[[#This Row],[Patient ID]],'Lookup table'!A:A,'Lookup table'!C:C,,0)</f>
        <v>Female</v>
      </c>
      <c r="AE135" s="3" t="str">
        <f>IF(CAPSTONE_PROJECT[[#This Row],[Length of Stay]]&lt;=3,"Short Stay",IF(CAPSTONE_PROJECT[[#This Row],[Length of Stay]]&lt;=7,"Moderate Stay",IF(CAPSTONE_PROJECT[[#This Row],[Length of Stay]]&lt;=14,"Long Stay","Extended Stay")))</f>
        <v>Long Stay</v>
      </c>
    </row>
    <row r="136" spans="1:31" x14ac:dyDescent="0.3">
      <c r="A136" s="3" t="s">
        <v>329</v>
      </c>
      <c r="B136" s="4">
        <v>45322</v>
      </c>
      <c r="C136" s="4">
        <v>45340</v>
      </c>
      <c r="D136" s="4">
        <v>37099</v>
      </c>
      <c r="E136" s="3">
        <v>24</v>
      </c>
      <c r="F136" s="3" t="s">
        <v>18</v>
      </c>
      <c r="G136" s="3" t="s">
        <v>53</v>
      </c>
      <c r="H136" s="3" t="s">
        <v>12</v>
      </c>
      <c r="I136" s="3" t="s">
        <v>22</v>
      </c>
      <c r="J136" s="3" t="s">
        <v>38</v>
      </c>
      <c r="K136" s="3" t="s">
        <v>50</v>
      </c>
      <c r="L136" s="6">
        <v>4913.1400000000003</v>
      </c>
      <c r="M136" s="6">
        <v>1668.12</v>
      </c>
      <c r="N136" s="6">
        <v>2753.73</v>
      </c>
      <c r="O136" s="6">
        <v>4539.47</v>
      </c>
      <c r="P136" s="3" t="s">
        <v>16</v>
      </c>
      <c r="Q136" s="3" t="s">
        <v>1079</v>
      </c>
      <c r="R136" s="3" t="s">
        <v>102</v>
      </c>
      <c r="S136" s="3" t="s">
        <v>330</v>
      </c>
      <c r="T136" s="3">
        <v>7</v>
      </c>
      <c r="U136" s="3">
        <f>CAPSTONE_PROJECT[[#This Row],[Discharge Date]]-CAPSTONE_PROJECT[[#This Row],[Admission Date]]</f>
        <v>18</v>
      </c>
      <c r="V136" s="6">
        <f>SUM(CAPSTONE_PROJECT[[#This Row],[Room Cost]:[Treatment Cost]])</f>
        <v>13874.46</v>
      </c>
      <c r="W136" s="6">
        <f t="shared" si="2"/>
        <v>770.80333333333328</v>
      </c>
      <c r="X136" s="3" t="str">
        <f>TEXT(CAPSTONE_PROJECT[[#This Row],[Admission Date]],"mmmm")</f>
        <v>January</v>
      </c>
      <c r="Y136" s="3" t="str">
        <f>TEXT(CAPSTONE_PROJECT[[#This Row],[Admission Date]],"yyyy")</f>
        <v>2024</v>
      </c>
      <c r="Z136" s="3" t="str">
        <f>TEXT(CAPSTONE_PROJECT[[#This Row],[Admission Date]],"mmm yyyy")</f>
        <v>Jan 2024</v>
      </c>
      <c r="AA136" s="3" t="str">
        <f>TEXT(CAPSTONE_PROJECT[[#This Row],[Admission Date]],"dddd")</f>
        <v>Wednesday</v>
      </c>
      <c r="AB136" s="3" t="str">
        <f>IF(CAPSTONE_PROJECT[[#This Row],[Age]]&lt;=34,"Young Adults",IF(CAPSTONE_PROJECT[[#This Row],[Age]]&lt;=59,"Adults","Elders"))</f>
        <v>Young Adults</v>
      </c>
      <c r="AC136" s="3" t="str">
        <f>_xlfn.XLOOKUP(CAPSTONE_PROJECT[[#This Row],[Patient ID]],'Lookup table'!A:A,'Lookup table'!B:B,,0)</f>
        <v>Lucas E Clarke</v>
      </c>
      <c r="AD136" s="3" t="str">
        <f>_xlfn.XLOOKUP(CAPSTONE_PROJECT[[#This Row],[Patient ID]],'Lookup table'!A:A,'Lookup table'!C:C,,0)</f>
        <v>Male</v>
      </c>
      <c r="AE136" s="3" t="str">
        <f>IF(CAPSTONE_PROJECT[[#This Row],[Length of Stay]]&lt;=3,"Short Stay",IF(CAPSTONE_PROJECT[[#This Row],[Length of Stay]]&lt;=7,"Moderate Stay",IF(CAPSTONE_PROJECT[[#This Row],[Length of Stay]]&lt;=14,"Long Stay","Extended Stay")))</f>
        <v>Extended Stay</v>
      </c>
    </row>
    <row r="137" spans="1:31" x14ac:dyDescent="0.3">
      <c r="A137" s="3" t="s">
        <v>331</v>
      </c>
      <c r="B137" s="4">
        <v>45430</v>
      </c>
      <c r="C137" s="4">
        <v>45444</v>
      </c>
      <c r="D137" s="4">
        <v>32859</v>
      </c>
      <c r="E137" s="3">
        <v>36</v>
      </c>
      <c r="F137" s="3" t="s">
        <v>18</v>
      </c>
      <c r="G137" s="3" t="s">
        <v>48</v>
      </c>
      <c r="H137" s="3" t="s">
        <v>114</v>
      </c>
      <c r="I137" s="3" t="s">
        <v>22</v>
      </c>
      <c r="J137" s="3" t="s">
        <v>23</v>
      </c>
      <c r="K137" s="3" t="s">
        <v>65</v>
      </c>
      <c r="L137" s="6">
        <v>2346.56</v>
      </c>
      <c r="M137" s="6">
        <v>1285.55</v>
      </c>
      <c r="N137" s="6">
        <v>1356.78</v>
      </c>
      <c r="O137" s="6">
        <v>2839.75</v>
      </c>
      <c r="P137" s="3" t="s">
        <v>51</v>
      </c>
      <c r="Q137" s="3" t="s">
        <v>1076</v>
      </c>
      <c r="R137" s="3" t="s">
        <v>58</v>
      </c>
      <c r="S137" s="3" t="s">
        <v>332</v>
      </c>
      <c r="T137" s="3">
        <v>9</v>
      </c>
      <c r="U137" s="3">
        <f>CAPSTONE_PROJECT[[#This Row],[Discharge Date]]-CAPSTONE_PROJECT[[#This Row],[Admission Date]]</f>
        <v>14</v>
      </c>
      <c r="V137" s="6">
        <f>SUM(CAPSTONE_PROJECT[[#This Row],[Room Cost]:[Treatment Cost]])</f>
        <v>7828.6399999999994</v>
      </c>
      <c r="W137" s="6">
        <f t="shared" si="2"/>
        <v>559.18857142857144</v>
      </c>
      <c r="X137" s="3" t="str">
        <f>TEXT(CAPSTONE_PROJECT[[#This Row],[Admission Date]],"mmmm")</f>
        <v>May</v>
      </c>
      <c r="Y137" s="3" t="str">
        <f>TEXT(CAPSTONE_PROJECT[[#This Row],[Admission Date]],"yyyy")</f>
        <v>2024</v>
      </c>
      <c r="Z137" s="3" t="str">
        <f>TEXT(CAPSTONE_PROJECT[[#This Row],[Admission Date]],"mmm yyyy")</f>
        <v>May 2024</v>
      </c>
      <c r="AA137" s="3" t="str">
        <f>TEXT(CAPSTONE_PROJECT[[#This Row],[Admission Date]],"dddd")</f>
        <v>Saturday</v>
      </c>
      <c r="AB137" s="3" t="str">
        <f>IF(CAPSTONE_PROJECT[[#This Row],[Age]]&lt;=34,"Young Adults",IF(CAPSTONE_PROJECT[[#This Row],[Age]]&lt;=59,"Adults","Elders"))</f>
        <v>Adults</v>
      </c>
      <c r="AC137" s="3" t="str">
        <f>_xlfn.XLOOKUP(CAPSTONE_PROJECT[[#This Row],[Patient ID]],'Lookup table'!A:A,'Lookup table'!B:B,,0)</f>
        <v>Olivia Robinson</v>
      </c>
      <c r="AD137" s="3" t="str">
        <f>_xlfn.XLOOKUP(CAPSTONE_PROJECT[[#This Row],[Patient ID]],'Lookup table'!A:A,'Lookup table'!C:C,,0)</f>
        <v>Female</v>
      </c>
      <c r="AE137" s="3" t="str">
        <f>IF(CAPSTONE_PROJECT[[#This Row],[Length of Stay]]&lt;=3,"Short Stay",IF(CAPSTONE_PROJECT[[#This Row],[Length of Stay]]&lt;=7,"Moderate Stay",IF(CAPSTONE_PROJECT[[#This Row],[Length of Stay]]&lt;=14,"Long Stay","Extended Stay")))</f>
        <v>Long Stay</v>
      </c>
    </row>
    <row r="138" spans="1:31" x14ac:dyDescent="0.3">
      <c r="A138" s="3" t="s">
        <v>333</v>
      </c>
      <c r="B138" s="4">
        <v>45373</v>
      </c>
      <c r="C138" s="4">
        <v>45389</v>
      </c>
      <c r="D138" s="4">
        <v>32154</v>
      </c>
      <c r="E138" s="3">
        <v>38</v>
      </c>
      <c r="F138" s="3" t="s">
        <v>33</v>
      </c>
      <c r="G138" s="3" t="s">
        <v>126</v>
      </c>
      <c r="H138" s="3" t="s">
        <v>114</v>
      </c>
      <c r="I138" s="3" t="s">
        <v>37</v>
      </c>
      <c r="J138" s="3" t="s">
        <v>23</v>
      </c>
      <c r="K138" s="3" t="s">
        <v>15</v>
      </c>
      <c r="L138" s="6">
        <v>3936.76</v>
      </c>
      <c r="M138" s="6">
        <v>915.24</v>
      </c>
      <c r="N138" s="6">
        <v>888.21</v>
      </c>
      <c r="O138" s="6">
        <v>12093.9</v>
      </c>
      <c r="P138" s="3" t="s">
        <v>25</v>
      </c>
      <c r="Q138" s="3" t="s">
        <v>1082</v>
      </c>
      <c r="R138" s="3" t="s">
        <v>62</v>
      </c>
      <c r="S138" s="3" t="s">
        <v>334</v>
      </c>
      <c r="T138" s="3">
        <v>8</v>
      </c>
      <c r="U138" s="3">
        <f>CAPSTONE_PROJECT[[#This Row],[Discharge Date]]-CAPSTONE_PROJECT[[#This Row],[Admission Date]]</f>
        <v>16</v>
      </c>
      <c r="V138" s="6">
        <f>SUM(CAPSTONE_PROJECT[[#This Row],[Room Cost]:[Treatment Cost]])</f>
        <v>17834.11</v>
      </c>
      <c r="W138" s="6">
        <f t="shared" si="2"/>
        <v>1114.631875</v>
      </c>
      <c r="X138" s="3" t="str">
        <f>TEXT(CAPSTONE_PROJECT[[#This Row],[Admission Date]],"mmmm")</f>
        <v>March</v>
      </c>
      <c r="Y138" s="3" t="str">
        <f>TEXT(CAPSTONE_PROJECT[[#This Row],[Admission Date]],"yyyy")</f>
        <v>2024</v>
      </c>
      <c r="Z138" s="3" t="str">
        <f>TEXT(CAPSTONE_PROJECT[[#This Row],[Admission Date]],"mmm yyyy")</f>
        <v>Mar 2024</v>
      </c>
      <c r="AA138" s="3" t="str">
        <f>TEXT(CAPSTONE_PROJECT[[#This Row],[Admission Date]],"dddd")</f>
        <v>Friday</v>
      </c>
      <c r="AB138" s="3" t="str">
        <f>IF(CAPSTONE_PROJECT[[#This Row],[Age]]&lt;=34,"Young Adults",IF(CAPSTONE_PROJECT[[#This Row],[Age]]&lt;=59,"Adults","Elders"))</f>
        <v>Adults</v>
      </c>
      <c r="AC138" s="3" t="str">
        <f>_xlfn.XLOOKUP(CAPSTONE_PROJECT[[#This Row],[Patient ID]],'Lookup table'!A:A,'Lookup table'!B:B,,0)</f>
        <v>James S Smith</v>
      </c>
      <c r="AD138" s="3" t="str">
        <f>_xlfn.XLOOKUP(CAPSTONE_PROJECT[[#This Row],[Patient ID]],'Lookup table'!A:A,'Lookup table'!C:C,,0)</f>
        <v>Male</v>
      </c>
      <c r="AE138" s="3" t="str">
        <f>IF(CAPSTONE_PROJECT[[#This Row],[Length of Stay]]&lt;=3,"Short Stay",IF(CAPSTONE_PROJECT[[#This Row],[Length of Stay]]&lt;=7,"Moderate Stay",IF(CAPSTONE_PROJECT[[#This Row],[Length of Stay]]&lt;=14,"Long Stay","Extended Stay")))</f>
        <v>Extended Stay</v>
      </c>
    </row>
    <row r="139" spans="1:31" x14ac:dyDescent="0.3">
      <c r="A139" s="3" t="s">
        <v>335</v>
      </c>
      <c r="B139" s="4">
        <v>45918</v>
      </c>
      <c r="C139" s="4">
        <v>45937</v>
      </c>
      <c r="D139" s="4">
        <v>33402</v>
      </c>
      <c r="E139" s="3">
        <v>34</v>
      </c>
      <c r="F139" s="3" t="s">
        <v>33</v>
      </c>
      <c r="G139" s="3" t="s">
        <v>48</v>
      </c>
      <c r="H139" s="3" t="s">
        <v>21</v>
      </c>
      <c r="I139" s="3" t="s">
        <v>37</v>
      </c>
      <c r="J139" s="3" t="s">
        <v>45</v>
      </c>
      <c r="K139" s="3" t="s">
        <v>15</v>
      </c>
      <c r="L139" s="6">
        <v>2488.13</v>
      </c>
      <c r="M139" s="6">
        <v>899.72</v>
      </c>
      <c r="N139" s="6">
        <v>2192.9299999999998</v>
      </c>
      <c r="O139" s="6">
        <v>7905.4</v>
      </c>
      <c r="P139" s="3" t="s">
        <v>31</v>
      </c>
      <c r="Q139" s="3" t="s">
        <v>1085</v>
      </c>
      <c r="R139" s="3" t="s">
        <v>58</v>
      </c>
      <c r="S139" s="3" t="s">
        <v>336</v>
      </c>
      <c r="T139" s="3">
        <v>1</v>
      </c>
      <c r="U139" s="3">
        <f>CAPSTONE_PROJECT[[#This Row],[Discharge Date]]-CAPSTONE_PROJECT[[#This Row],[Admission Date]]</f>
        <v>19</v>
      </c>
      <c r="V139" s="6">
        <f>SUM(CAPSTONE_PROJECT[[#This Row],[Room Cost]:[Treatment Cost]])</f>
        <v>13486.18</v>
      </c>
      <c r="W139" s="6">
        <f t="shared" si="2"/>
        <v>709.79894736842107</v>
      </c>
      <c r="X139" s="3" t="str">
        <f>TEXT(CAPSTONE_PROJECT[[#This Row],[Admission Date]],"mmmm")</f>
        <v>September</v>
      </c>
      <c r="Y139" s="3" t="str">
        <f>TEXT(CAPSTONE_PROJECT[[#This Row],[Admission Date]],"yyyy")</f>
        <v>2025</v>
      </c>
      <c r="Z139" s="3" t="str">
        <f>TEXT(CAPSTONE_PROJECT[[#This Row],[Admission Date]],"mmm yyyy")</f>
        <v>Sep 2025</v>
      </c>
      <c r="AA139" s="3" t="str">
        <f>TEXT(CAPSTONE_PROJECT[[#This Row],[Admission Date]],"dddd")</f>
        <v>Thursday</v>
      </c>
      <c r="AB139" s="3" t="str">
        <f>IF(CAPSTONE_PROJECT[[#This Row],[Age]]&lt;=34,"Young Adults",IF(CAPSTONE_PROJECT[[#This Row],[Age]]&lt;=59,"Adults","Elders"))</f>
        <v>Young Adults</v>
      </c>
      <c r="AC139" s="3" t="str">
        <f>_xlfn.XLOOKUP(CAPSTONE_PROJECT[[#This Row],[Patient ID]],'Lookup table'!A:A,'Lookup table'!B:B,,0)</f>
        <v>Ella Smith</v>
      </c>
      <c r="AD139" s="3" t="str">
        <f>_xlfn.XLOOKUP(CAPSTONE_PROJECT[[#This Row],[Patient ID]],'Lookup table'!A:A,'Lookup table'!C:C,,0)</f>
        <v>Female</v>
      </c>
      <c r="AE139" s="3" t="str">
        <f>IF(CAPSTONE_PROJECT[[#This Row],[Length of Stay]]&lt;=3,"Short Stay",IF(CAPSTONE_PROJECT[[#This Row],[Length of Stay]]&lt;=7,"Moderate Stay",IF(CAPSTONE_PROJECT[[#This Row],[Length of Stay]]&lt;=14,"Long Stay","Extended Stay")))</f>
        <v>Extended Stay</v>
      </c>
    </row>
    <row r="140" spans="1:31" x14ac:dyDescent="0.3">
      <c r="A140" s="3" t="s">
        <v>337</v>
      </c>
      <c r="B140" s="4">
        <v>45384</v>
      </c>
      <c r="C140" s="4">
        <v>45401</v>
      </c>
      <c r="D140" s="4">
        <v>27348</v>
      </c>
      <c r="E140" s="3">
        <v>51</v>
      </c>
      <c r="F140" s="3" t="s">
        <v>18</v>
      </c>
      <c r="G140" s="3" t="s">
        <v>139</v>
      </c>
      <c r="H140" s="3" t="s">
        <v>100</v>
      </c>
      <c r="I140" s="3" t="s">
        <v>37</v>
      </c>
      <c r="J140" s="3" t="s">
        <v>14</v>
      </c>
      <c r="K140" s="3" t="s">
        <v>15</v>
      </c>
      <c r="L140" s="6">
        <v>4461.7299999999996</v>
      </c>
      <c r="M140" s="6">
        <v>1547.55</v>
      </c>
      <c r="N140" s="6">
        <v>1701.36</v>
      </c>
      <c r="O140" s="6">
        <v>11250.94</v>
      </c>
      <c r="P140" s="3" t="s">
        <v>1083</v>
      </c>
      <c r="Q140" s="3" t="s">
        <v>1077</v>
      </c>
      <c r="R140" s="3" t="s">
        <v>19</v>
      </c>
      <c r="S140" s="3" t="s">
        <v>338</v>
      </c>
      <c r="T140" s="3">
        <v>8</v>
      </c>
      <c r="U140" s="3">
        <f>CAPSTONE_PROJECT[[#This Row],[Discharge Date]]-CAPSTONE_PROJECT[[#This Row],[Admission Date]]</f>
        <v>17</v>
      </c>
      <c r="V140" s="6">
        <f>SUM(CAPSTONE_PROJECT[[#This Row],[Room Cost]:[Treatment Cost]])</f>
        <v>18961.580000000002</v>
      </c>
      <c r="W140" s="6">
        <f t="shared" si="2"/>
        <v>1115.3870588235295</v>
      </c>
      <c r="X140" s="3" t="str">
        <f>TEXT(CAPSTONE_PROJECT[[#This Row],[Admission Date]],"mmmm")</f>
        <v>April</v>
      </c>
      <c r="Y140" s="3" t="str">
        <f>TEXT(CAPSTONE_PROJECT[[#This Row],[Admission Date]],"yyyy")</f>
        <v>2024</v>
      </c>
      <c r="Z140" s="3" t="str">
        <f>TEXT(CAPSTONE_PROJECT[[#This Row],[Admission Date]],"mmm yyyy")</f>
        <v>Apr 2024</v>
      </c>
      <c r="AA140" s="3" t="str">
        <f>TEXT(CAPSTONE_PROJECT[[#This Row],[Admission Date]],"dddd")</f>
        <v>Tuesday</v>
      </c>
      <c r="AB140" s="3" t="str">
        <f>IF(CAPSTONE_PROJECT[[#This Row],[Age]]&lt;=34,"Young Adults",IF(CAPSTONE_PROJECT[[#This Row],[Age]]&lt;=59,"Adults","Elders"))</f>
        <v>Adults</v>
      </c>
      <c r="AC140" s="3" t="str">
        <f>_xlfn.XLOOKUP(CAPSTONE_PROJECT[[#This Row],[Patient ID]],'Lookup table'!A:A,'Lookup table'!B:B,,0)</f>
        <v>Lucas Thompson</v>
      </c>
      <c r="AD140" s="3" t="str">
        <f>_xlfn.XLOOKUP(CAPSTONE_PROJECT[[#This Row],[Patient ID]],'Lookup table'!A:A,'Lookup table'!C:C,,0)</f>
        <v>Male</v>
      </c>
      <c r="AE140" s="3" t="str">
        <f>IF(CAPSTONE_PROJECT[[#This Row],[Length of Stay]]&lt;=3,"Short Stay",IF(CAPSTONE_PROJECT[[#This Row],[Length of Stay]]&lt;=7,"Moderate Stay",IF(CAPSTONE_PROJECT[[#This Row],[Length of Stay]]&lt;=14,"Long Stay","Extended Stay")))</f>
        <v>Extended Stay</v>
      </c>
    </row>
    <row r="141" spans="1:31" x14ac:dyDescent="0.3">
      <c r="A141" s="3" t="s">
        <v>339</v>
      </c>
      <c r="B141" s="4">
        <v>45466</v>
      </c>
      <c r="C141" s="4">
        <v>45477</v>
      </c>
      <c r="D141" s="4">
        <v>29404</v>
      </c>
      <c r="E141" s="3">
        <v>45</v>
      </c>
      <c r="F141" s="3" t="s">
        <v>33</v>
      </c>
      <c r="G141" s="3" t="s">
        <v>67</v>
      </c>
      <c r="H141" s="3" t="s">
        <v>21</v>
      </c>
      <c r="I141" s="3" t="s">
        <v>22</v>
      </c>
      <c r="J141" s="3" t="s">
        <v>73</v>
      </c>
      <c r="K141" s="3" t="s">
        <v>15</v>
      </c>
      <c r="L141" s="6">
        <v>207.8</v>
      </c>
      <c r="M141" s="6">
        <v>1041.8900000000001</v>
      </c>
      <c r="N141" s="6">
        <v>659.89</v>
      </c>
      <c r="O141" s="6">
        <v>15013.64</v>
      </c>
      <c r="P141" s="3" t="s">
        <v>51</v>
      </c>
      <c r="Q141" s="3" t="s">
        <v>1082</v>
      </c>
      <c r="R141" s="3" t="s">
        <v>41</v>
      </c>
      <c r="S141" s="3" t="s">
        <v>340</v>
      </c>
      <c r="T141" s="3">
        <v>1</v>
      </c>
      <c r="U141" s="3">
        <f>CAPSTONE_PROJECT[[#This Row],[Discharge Date]]-CAPSTONE_PROJECT[[#This Row],[Admission Date]]</f>
        <v>11</v>
      </c>
      <c r="V141" s="6">
        <f>SUM(CAPSTONE_PROJECT[[#This Row],[Room Cost]:[Treatment Cost]])</f>
        <v>16923.22</v>
      </c>
      <c r="W141" s="6">
        <f t="shared" si="2"/>
        <v>1538.4745454545455</v>
      </c>
      <c r="X141" s="3" t="str">
        <f>TEXT(CAPSTONE_PROJECT[[#This Row],[Admission Date]],"mmmm")</f>
        <v>June</v>
      </c>
      <c r="Y141" s="3" t="str">
        <f>TEXT(CAPSTONE_PROJECT[[#This Row],[Admission Date]],"yyyy")</f>
        <v>2024</v>
      </c>
      <c r="Z141" s="3" t="str">
        <f>TEXT(CAPSTONE_PROJECT[[#This Row],[Admission Date]],"mmm yyyy")</f>
        <v>Jun 2024</v>
      </c>
      <c r="AA141" s="3" t="str">
        <f>TEXT(CAPSTONE_PROJECT[[#This Row],[Admission Date]],"dddd")</f>
        <v>Sunday</v>
      </c>
      <c r="AB141" s="3" t="str">
        <f>IF(CAPSTONE_PROJECT[[#This Row],[Age]]&lt;=34,"Young Adults",IF(CAPSTONE_PROJECT[[#This Row],[Age]]&lt;=59,"Adults","Elders"))</f>
        <v>Adults</v>
      </c>
      <c r="AC141" s="3" t="str">
        <f>_xlfn.XLOOKUP(CAPSTONE_PROJECT[[#This Row],[Patient ID]],'Lookup table'!A:A,'Lookup table'!B:B,,0)</f>
        <v>Sarah Smith</v>
      </c>
      <c r="AD141" s="3" t="str">
        <f>_xlfn.XLOOKUP(CAPSTONE_PROJECT[[#This Row],[Patient ID]],'Lookup table'!A:A,'Lookup table'!C:C,,0)</f>
        <v>Female</v>
      </c>
      <c r="AE141" s="3" t="str">
        <f>IF(CAPSTONE_PROJECT[[#This Row],[Length of Stay]]&lt;=3,"Short Stay",IF(CAPSTONE_PROJECT[[#This Row],[Length of Stay]]&lt;=7,"Moderate Stay",IF(CAPSTONE_PROJECT[[#This Row],[Length of Stay]]&lt;=14,"Long Stay","Extended Stay")))</f>
        <v>Long Stay</v>
      </c>
    </row>
    <row r="142" spans="1:31" x14ac:dyDescent="0.3">
      <c r="A142" s="3" t="s">
        <v>341</v>
      </c>
      <c r="B142" s="4">
        <v>45907</v>
      </c>
      <c r="C142" s="4">
        <v>45927</v>
      </c>
      <c r="D142" s="4">
        <v>26148</v>
      </c>
      <c r="E142" s="3">
        <v>54</v>
      </c>
      <c r="F142" s="3" t="s">
        <v>8</v>
      </c>
      <c r="G142" s="3" t="s">
        <v>34</v>
      </c>
      <c r="H142" s="3" t="s">
        <v>43</v>
      </c>
      <c r="I142" s="3" t="s">
        <v>22</v>
      </c>
      <c r="J142" s="3" t="s">
        <v>23</v>
      </c>
      <c r="K142" s="3" t="s">
        <v>24</v>
      </c>
      <c r="L142" s="6">
        <v>2583.2800000000002</v>
      </c>
      <c r="M142" s="6">
        <v>1876.95</v>
      </c>
      <c r="N142" s="6">
        <v>268.48</v>
      </c>
      <c r="O142" s="6">
        <v>1180.1300000000001</v>
      </c>
      <c r="P142" s="3" t="s">
        <v>51</v>
      </c>
      <c r="Q142" s="3" t="s">
        <v>1082</v>
      </c>
      <c r="R142" s="3" t="s">
        <v>19</v>
      </c>
      <c r="S142" s="3" t="s">
        <v>342</v>
      </c>
      <c r="T142" s="3">
        <v>4</v>
      </c>
      <c r="U142" s="3">
        <f>CAPSTONE_PROJECT[[#This Row],[Discharge Date]]-CAPSTONE_PROJECT[[#This Row],[Admission Date]]</f>
        <v>20</v>
      </c>
      <c r="V142" s="6">
        <f>SUM(CAPSTONE_PROJECT[[#This Row],[Room Cost]:[Treatment Cost]])</f>
        <v>5908.8400000000011</v>
      </c>
      <c r="W142" s="6">
        <f t="shared" si="2"/>
        <v>295.44200000000006</v>
      </c>
      <c r="X142" s="3" t="str">
        <f>TEXT(CAPSTONE_PROJECT[[#This Row],[Admission Date]],"mmmm")</f>
        <v>September</v>
      </c>
      <c r="Y142" s="3" t="str">
        <f>TEXT(CAPSTONE_PROJECT[[#This Row],[Admission Date]],"yyyy")</f>
        <v>2025</v>
      </c>
      <c r="Z142" s="3" t="str">
        <f>TEXT(CAPSTONE_PROJECT[[#This Row],[Admission Date]],"mmm yyyy")</f>
        <v>Sep 2025</v>
      </c>
      <c r="AA142" s="3" t="str">
        <f>TEXT(CAPSTONE_PROJECT[[#This Row],[Admission Date]],"dddd")</f>
        <v>Sunday</v>
      </c>
      <c r="AB142" s="3" t="str">
        <f>IF(CAPSTONE_PROJECT[[#This Row],[Age]]&lt;=34,"Young Adults",IF(CAPSTONE_PROJECT[[#This Row],[Age]]&lt;=59,"Adults","Elders"))</f>
        <v>Adults</v>
      </c>
      <c r="AC142" s="3" t="str">
        <f>_xlfn.XLOOKUP(CAPSTONE_PROJECT[[#This Row],[Patient ID]],'Lookup table'!A:A,'Lookup table'!B:B,,0)</f>
        <v>Benjamin Clarke</v>
      </c>
      <c r="AD142" s="3" t="str">
        <f>_xlfn.XLOOKUP(CAPSTONE_PROJECT[[#This Row],[Patient ID]],'Lookup table'!A:A,'Lookup table'!C:C,,0)</f>
        <v>Male</v>
      </c>
      <c r="AE142" s="3" t="str">
        <f>IF(CAPSTONE_PROJECT[[#This Row],[Length of Stay]]&lt;=3,"Short Stay",IF(CAPSTONE_PROJECT[[#This Row],[Length of Stay]]&lt;=7,"Moderate Stay",IF(CAPSTONE_PROJECT[[#This Row],[Length of Stay]]&lt;=14,"Long Stay","Extended Stay")))</f>
        <v>Extended Stay</v>
      </c>
    </row>
    <row r="143" spans="1:31" x14ac:dyDescent="0.3">
      <c r="A143" s="3" t="s">
        <v>343</v>
      </c>
      <c r="B143" s="4">
        <v>45591</v>
      </c>
      <c r="C143" s="4">
        <v>45607</v>
      </c>
      <c r="D143" s="4">
        <v>36041</v>
      </c>
      <c r="E143" s="3">
        <v>27</v>
      </c>
      <c r="F143" s="3" t="s">
        <v>47</v>
      </c>
      <c r="G143" s="3" t="s">
        <v>139</v>
      </c>
      <c r="H143" s="3" t="s">
        <v>114</v>
      </c>
      <c r="I143" s="3" t="s">
        <v>22</v>
      </c>
      <c r="J143" s="3" t="s">
        <v>23</v>
      </c>
      <c r="K143" s="3" t="s">
        <v>15</v>
      </c>
      <c r="L143" s="6">
        <v>4226.25</v>
      </c>
      <c r="M143" s="6">
        <v>432.18</v>
      </c>
      <c r="N143" s="6">
        <v>2249.38</v>
      </c>
      <c r="O143" s="6">
        <v>9743.18</v>
      </c>
      <c r="P143" s="3" t="s">
        <v>25</v>
      </c>
      <c r="Q143" s="3" t="s">
        <v>1078</v>
      </c>
      <c r="R143" s="3" t="s">
        <v>54</v>
      </c>
      <c r="S143" s="3" t="s">
        <v>344</v>
      </c>
      <c r="T143" s="3">
        <v>4</v>
      </c>
      <c r="U143" s="3">
        <f>CAPSTONE_PROJECT[[#This Row],[Discharge Date]]-CAPSTONE_PROJECT[[#This Row],[Admission Date]]</f>
        <v>16</v>
      </c>
      <c r="V143" s="6">
        <f>SUM(CAPSTONE_PROJECT[[#This Row],[Room Cost]:[Treatment Cost]])</f>
        <v>16650.990000000002</v>
      </c>
      <c r="W143" s="6">
        <f t="shared" si="2"/>
        <v>1040.6868750000001</v>
      </c>
      <c r="X143" s="3" t="str">
        <f>TEXT(CAPSTONE_PROJECT[[#This Row],[Admission Date]],"mmmm")</f>
        <v>October</v>
      </c>
      <c r="Y143" s="3" t="str">
        <f>TEXT(CAPSTONE_PROJECT[[#This Row],[Admission Date]],"yyyy")</f>
        <v>2024</v>
      </c>
      <c r="Z143" s="3" t="str">
        <f>TEXT(CAPSTONE_PROJECT[[#This Row],[Admission Date]],"mmm yyyy")</f>
        <v>Oct 2024</v>
      </c>
      <c r="AA143" s="3" t="str">
        <f>TEXT(CAPSTONE_PROJECT[[#This Row],[Admission Date]],"dddd")</f>
        <v>Saturday</v>
      </c>
      <c r="AB143" s="3" t="str">
        <f>IF(CAPSTONE_PROJECT[[#This Row],[Age]]&lt;=34,"Young Adults",IF(CAPSTONE_PROJECT[[#This Row],[Age]]&lt;=59,"Adults","Elders"))</f>
        <v>Young Adults</v>
      </c>
      <c r="AC143" s="3" t="str">
        <f>_xlfn.XLOOKUP(CAPSTONE_PROJECT[[#This Row],[Patient ID]],'Lookup table'!A:A,'Lookup table'!B:B,,0)</f>
        <v>Emily B White</v>
      </c>
      <c r="AD143" s="3" t="str">
        <f>_xlfn.XLOOKUP(CAPSTONE_PROJECT[[#This Row],[Patient ID]],'Lookup table'!A:A,'Lookup table'!C:C,,0)</f>
        <v>Female</v>
      </c>
      <c r="AE143" s="3" t="str">
        <f>IF(CAPSTONE_PROJECT[[#This Row],[Length of Stay]]&lt;=3,"Short Stay",IF(CAPSTONE_PROJECT[[#This Row],[Length of Stay]]&lt;=7,"Moderate Stay",IF(CAPSTONE_PROJECT[[#This Row],[Length of Stay]]&lt;=14,"Long Stay","Extended Stay")))</f>
        <v>Extended Stay</v>
      </c>
    </row>
    <row r="144" spans="1:31" x14ac:dyDescent="0.3">
      <c r="A144" s="3" t="s">
        <v>345</v>
      </c>
      <c r="B144" s="4">
        <v>45316</v>
      </c>
      <c r="C144" s="4">
        <v>45331</v>
      </c>
      <c r="D144" s="4">
        <v>20824</v>
      </c>
      <c r="E144" s="3">
        <v>69</v>
      </c>
      <c r="F144" s="3" t="s">
        <v>18</v>
      </c>
      <c r="G144" s="3" t="s">
        <v>48</v>
      </c>
      <c r="H144" s="3" t="s">
        <v>100</v>
      </c>
      <c r="I144" s="3" t="s">
        <v>37</v>
      </c>
      <c r="J144" s="3" t="s">
        <v>73</v>
      </c>
      <c r="K144" s="3" t="s">
        <v>24</v>
      </c>
      <c r="L144" s="6">
        <v>4821.6000000000004</v>
      </c>
      <c r="M144" s="6">
        <v>120.6</v>
      </c>
      <c r="N144" s="6">
        <v>0</v>
      </c>
      <c r="O144" s="6">
        <v>0</v>
      </c>
      <c r="P144" s="3" t="s">
        <v>16</v>
      </c>
      <c r="Q144" s="3" t="s">
        <v>1077</v>
      </c>
      <c r="R144" s="3" t="s">
        <v>62</v>
      </c>
      <c r="S144" s="3" t="s">
        <v>346</v>
      </c>
      <c r="T144" s="3">
        <v>6</v>
      </c>
      <c r="U144" s="3">
        <f>CAPSTONE_PROJECT[[#This Row],[Discharge Date]]-CAPSTONE_PROJECT[[#This Row],[Admission Date]]</f>
        <v>15</v>
      </c>
      <c r="V144" s="6">
        <f>SUM(CAPSTONE_PROJECT[[#This Row],[Room Cost]:[Treatment Cost]])</f>
        <v>4942.2000000000007</v>
      </c>
      <c r="W144" s="6">
        <f t="shared" si="2"/>
        <v>329.48000000000008</v>
      </c>
      <c r="X144" s="3" t="str">
        <f>TEXT(CAPSTONE_PROJECT[[#This Row],[Admission Date]],"mmmm")</f>
        <v>January</v>
      </c>
      <c r="Y144" s="3" t="str">
        <f>TEXT(CAPSTONE_PROJECT[[#This Row],[Admission Date]],"yyyy")</f>
        <v>2024</v>
      </c>
      <c r="Z144" s="3" t="str">
        <f>TEXT(CAPSTONE_PROJECT[[#This Row],[Admission Date]],"mmm yyyy")</f>
        <v>Jan 2024</v>
      </c>
      <c r="AA144" s="3" t="str">
        <f>TEXT(CAPSTONE_PROJECT[[#This Row],[Admission Date]],"dddd")</f>
        <v>Thursday</v>
      </c>
      <c r="AB144" s="3" t="str">
        <f>IF(CAPSTONE_PROJECT[[#This Row],[Age]]&lt;=34,"Young Adults",IF(CAPSTONE_PROJECT[[#This Row],[Age]]&lt;=59,"Adults","Elders"))</f>
        <v>Elders</v>
      </c>
      <c r="AC144" s="3" t="str">
        <f>_xlfn.XLOOKUP(CAPSTONE_PROJECT[[#This Row],[Patient ID]],'Lookup table'!A:A,'Lookup table'!B:B,,0)</f>
        <v>Samuel Taylor</v>
      </c>
      <c r="AD144" s="3" t="str">
        <f>_xlfn.XLOOKUP(CAPSTONE_PROJECT[[#This Row],[Patient ID]],'Lookup table'!A:A,'Lookup table'!C:C,,0)</f>
        <v>Male</v>
      </c>
      <c r="AE144" s="3" t="str">
        <f>IF(CAPSTONE_PROJECT[[#This Row],[Length of Stay]]&lt;=3,"Short Stay",IF(CAPSTONE_PROJECT[[#This Row],[Length of Stay]]&lt;=7,"Moderate Stay",IF(CAPSTONE_PROJECT[[#This Row],[Length of Stay]]&lt;=14,"Long Stay","Extended Stay")))</f>
        <v>Extended Stay</v>
      </c>
    </row>
    <row r="145" spans="1:31" x14ac:dyDescent="0.3">
      <c r="A145" s="3" t="s">
        <v>347</v>
      </c>
      <c r="B145" s="4">
        <v>45782</v>
      </c>
      <c r="C145" s="4">
        <v>45798</v>
      </c>
      <c r="D145" s="4">
        <v>35968</v>
      </c>
      <c r="E145" s="3">
        <v>27</v>
      </c>
      <c r="F145" s="3" t="s">
        <v>8</v>
      </c>
      <c r="G145" s="3" t="s">
        <v>61</v>
      </c>
      <c r="H145" s="3" t="s">
        <v>43</v>
      </c>
      <c r="I145" s="3" t="s">
        <v>22</v>
      </c>
      <c r="J145" s="3" t="s">
        <v>64</v>
      </c>
      <c r="K145" s="3" t="s">
        <v>50</v>
      </c>
      <c r="L145" s="6">
        <v>2976.36</v>
      </c>
      <c r="M145" s="6">
        <v>1329.71</v>
      </c>
      <c r="N145" s="6">
        <v>2338.59</v>
      </c>
      <c r="O145" s="6">
        <v>5935.74</v>
      </c>
      <c r="P145" s="3" t="s">
        <v>16</v>
      </c>
      <c r="Q145" s="3" t="s">
        <v>1077</v>
      </c>
      <c r="R145" s="3" t="s">
        <v>75</v>
      </c>
      <c r="S145" s="3" t="s">
        <v>348</v>
      </c>
      <c r="T145" s="3">
        <v>8</v>
      </c>
      <c r="U145" s="3">
        <f>CAPSTONE_PROJECT[[#This Row],[Discharge Date]]-CAPSTONE_PROJECT[[#This Row],[Admission Date]]</f>
        <v>16</v>
      </c>
      <c r="V145" s="6">
        <f>SUM(CAPSTONE_PROJECT[[#This Row],[Room Cost]:[Treatment Cost]])</f>
        <v>12580.4</v>
      </c>
      <c r="W145" s="6">
        <f t="shared" si="2"/>
        <v>786.27499999999998</v>
      </c>
      <c r="X145" s="3" t="str">
        <f>TEXT(CAPSTONE_PROJECT[[#This Row],[Admission Date]],"mmmm")</f>
        <v>May</v>
      </c>
      <c r="Y145" s="3" t="str">
        <f>TEXT(CAPSTONE_PROJECT[[#This Row],[Admission Date]],"yyyy")</f>
        <v>2025</v>
      </c>
      <c r="Z145" s="3" t="str">
        <f>TEXT(CAPSTONE_PROJECT[[#This Row],[Admission Date]],"mmm yyyy")</f>
        <v>May 2025</v>
      </c>
      <c r="AA145" s="3" t="str">
        <f>TEXT(CAPSTONE_PROJECT[[#This Row],[Admission Date]],"dddd")</f>
        <v>Monday</v>
      </c>
      <c r="AB145" s="3" t="str">
        <f>IF(CAPSTONE_PROJECT[[#This Row],[Age]]&lt;=34,"Young Adults",IF(CAPSTONE_PROJECT[[#This Row],[Age]]&lt;=59,"Adults","Elders"))</f>
        <v>Young Adults</v>
      </c>
      <c r="AC145" s="3" t="str">
        <f>_xlfn.XLOOKUP(CAPSTONE_PROJECT[[#This Row],[Patient ID]],'Lookup table'!A:A,'Lookup table'!B:B,,0)</f>
        <v>Chloe White</v>
      </c>
      <c r="AD145" s="3" t="str">
        <f>_xlfn.XLOOKUP(CAPSTONE_PROJECT[[#This Row],[Patient ID]],'Lookup table'!A:A,'Lookup table'!C:C,,0)</f>
        <v>Female</v>
      </c>
      <c r="AE145" s="3" t="str">
        <f>IF(CAPSTONE_PROJECT[[#This Row],[Length of Stay]]&lt;=3,"Short Stay",IF(CAPSTONE_PROJECT[[#This Row],[Length of Stay]]&lt;=7,"Moderate Stay",IF(CAPSTONE_PROJECT[[#This Row],[Length of Stay]]&lt;=14,"Long Stay","Extended Stay")))</f>
        <v>Extended Stay</v>
      </c>
    </row>
    <row r="146" spans="1:31" x14ac:dyDescent="0.3">
      <c r="A146" s="3" t="s">
        <v>349</v>
      </c>
      <c r="B146" s="4">
        <v>45607</v>
      </c>
      <c r="C146" s="4">
        <v>45618</v>
      </c>
      <c r="D146" s="4">
        <v>20732</v>
      </c>
      <c r="E146" s="3">
        <v>69</v>
      </c>
      <c r="F146" s="3" t="s">
        <v>47</v>
      </c>
      <c r="G146" s="3" t="s">
        <v>40</v>
      </c>
      <c r="H146" s="3" t="s">
        <v>43</v>
      </c>
      <c r="I146" s="3" t="s">
        <v>44</v>
      </c>
      <c r="J146" s="3" t="s">
        <v>45</v>
      </c>
      <c r="K146" s="3" t="s">
        <v>15</v>
      </c>
      <c r="L146" s="6">
        <v>2719.55</v>
      </c>
      <c r="M146" s="6">
        <v>351.47</v>
      </c>
      <c r="N146" s="6">
        <v>1617.19</v>
      </c>
      <c r="O146" s="6">
        <v>13373.88</v>
      </c>
      <c r="P146" s="3" t="s">
        <v>51</v>
      </c>
      <c r="Q146" s="3" t="s">
        <v>1081</v>
      </c>
      <c r="R146" s="3" t="s">
        <v>19</v>
      </c>
      <c r="S146" s="3" t="s">
        <v>350</v>
      </c>
      <c r="T146" s="3">
        <v>5</v>
      </c>
      <c r="U146" s="3">
        <f>CAPSTONE_PROJECT[[#This Row],[Discharge Date]]-CAPSTONE_PROJECT[[#This Row],[Admission Date]]</f>
        <v>11</v>
      </c>
      <c r="V146" s="6">
        <f>SUM(CAPSTONE_PROJECT[[#This Row],[Room Cost]:[Treatment Cost]])</f>
        <v>18062.09</v>
      </c>
      <c r="W146" s="6">
        <f t="shared" si="2"/>
        <v>1642.0081818181818</v>
      </c>
      <c r="X146" s="3" t="str">
        <f>TEXT(CAPSTONE_PROJECT[[#This Row],[Admission Date]],"mmmm")</f>
        <v>November</v>
      </c>
      <c r="Y146" s="3" t="str">
        <f>TEXT(CAPSTONE_PROJECT[[#This Row],[Admission Date]],"yyyy")</f>
        <v>2024</v>
      </c>
      <c r="Z146" s="3" t="str">
        <f>TEXT(CAPSTONE_PROJECT[[#This Row],[Admission Date]],"mmm yyyy")</f>
        <v>Nov 2024</v>
      </c>
      <c r="AA146" s="3" t="str">
        <f>TEXT(CAPSTONE_PROJECT[[#This Row],[Admission Date]],"dddd")</f>
        <v>Monday</v>
      </c>
      <c r="AB146" s="3" t="str">
        <f>IF(CAPSTONE_PROJECT[[#This Row],[Age]]&lt;=34,"Young Adults",IF(CAPSTONE_PROJECT[[#This Row],[Age]]&lt;=59,"Adults","Elders"))</f>
        <v>Elders</v>
      </c>
      <c r="AC146" s="3" t="str">
        <f>_xlfn.XLOOKUP(CAPSTONE_PROJECT[[#This Row],[Patient ID]],'Lookup table'!A:A,'Lookup table'!B:B,,0)</f>
        <v>Michael Taylor</v>
      </c>
      <c r="AD146" s="3" t="str">
        <f>_xlfn.XLOOKUP(CAPSTONE_PROJECT[[#This Row],[Patient ID]],'Lookup table'!A:A,'Lookup table'!C:C,,0)</f>
        <v>Male</v>
      </c>
      <c r="AE146" s="3" t="str">
        <f>IF(CAPSTONE_PROJECT[[#This Row],[Length of Stay]]&lt;=3,"Short Stay",IF(CAPSTONE_PROJECT[[#This Row],[Length of Stay]]&lt;=7,"Moderate Stay",IF(CAPSTONE_PROJECT[[#This Row],[Length of Stay]]&lt;=14,"Long Stay","Extended Stay")))</f>
        <v>Long Stay</v>
      </c>
    </row>
    <row r="147" spans="1:31" x14ac:dyDescent="0.3">
      <c r="A147" s="3" t="s">
        <v>351</v>
      </c>
      <c r="B147" s="4">
        <v>45762</v>
      </c>
      <c r="C147" s="4">
        <v>45775</v>
      </c>
      <c r="D147" s="4">
        <v>21521</v>
      </c>
      <c r="E147" s="3">
        <v>67</v>
      </c>
      <c r="F147" s="3" t="s">
        <v>8</v>
      </c>
      <c r="G147" s="3" t="s">
        <v>126</v>
      </c>
      <c r="H147" s="3" t="s">
        <v>104</v>
      </c>
      <c r="I147" s="3" t="s">
        <v>44</v>
      </c>
      <c r="J147" s="3" t="s">
        <v>30</v>
      </c>
      <c r="K147" s="3" t="s">
        <v>24</v>
      </c>
      <c r="L147" s="6">
        <v>1090.27</v>
      </c>
      <c r="M147" s="6">
        <v>355.68</v>
      </c>
      <c r="N147" s="6">
        <v>2948.81</v>
      </c>
      <c r="O147" s="6">
        <v>13602.12</v>
      </c>
      <c r="P147" s="3" t="s">
        <v>31</v>
      </c>
      <c r="Q147" s="3" t="s">
        <v>1085</v>
      </c>
      <c r="R147" s="3" t="s">
        <v>54</v>
      </c>
      <c r="S147" s="3" t="s">
        <v>352</v>
      </c>
      <c r="T147" s="3">
        <v>2</v>
      </c>
      <c r="U147" s="3">
        <f>CAPSTONE_PROJECT[[#This Row],[Discharge Date]]-CAPSTONE_PROJECT[[#This Row],[Admission Date]]</f>
        <v>13</v>
      </c>
      <c r="V147" s="6">
        <f>SUM(CAPSTONE_PROJECT[[#This Row],[Room Cost]:[Treatment Cost]])</f>
        <v>17996.88</v>
      </c>
      <c r="W147" s="6">
        <f t="shared" si="2"/>
        <v>1384.3753846153847</v>
      </c>
      <c r="X147" s="3" t="str">
        <f>TEXT(CAPSTONE_PROJECT[[#This Row],[Admission Date]],"mmmm")</f>
        <v>April</v>
      </c>
      <c r="Y147" s="3" t="str">
        <f>TEXT(CAPSTONE_PROJECT[[#This Row],[Admission Date]],"yyyy")</f>
        <v>2025</v>
      </c>
      <c r="Z147" s="3" t="str">
        <f>TEXT(CAPSTONE_PROJECT[[#This Row],[Admission Date]],"mmm yyyy")</f>
        <v>Apr 2025</v>
      </c>
      <c r="AA147" s="3" t="str">
        <f>TEXT(CAPSTONE_PROJECT[[#This Row],[Admission Date]],"dddd")</f>
        <v>Tuesday</v>
      </c>
      <c r="AB147" s="3" t="str">
        <f>IF(CAPSTONE_PROJECT[[#This Row],[Age]]&lt;=34,"Young Adults",IF(CAPSTONE_PROJECT[[#This Row],[Age]]&lt;=59,"Adults","Elders"))</f>
        <v>Elders</v>
      </c>
      <c r="AC147" s="3" t="str">
        <f>_xlfn.XLOOKUP(CAPSTONE_PROJECT[[#This Row],[Patient ID]],'Lookup table'!A:A,'Lookup table'!B:B,,0)</f>
        <v>Amelia Jones</v>
      </c>
      <c r="AD147" s="3" t="str">
        <f>_xlfn.XLOOKUP(CAPSTONE_PROJECT[[#This Row],[Patient ID]],'Lookup table'!A:A,'Lookup table'!C:C,,0)</f>
        <v>Female</v>
      </c>
      <c r="AE147" s="3" t="str">
        <f>IF(CAPSTONE_PROJECT[[#This Row],[Length of Stay]]&lt;=3,"Short Stay",IF(CAPSTONE_PROJECT[[#This Row],[Length of Stay]]&lt;=7,"Moderate Stay",IF(CAPSTONE_PROJECT[[#This Row],[Length of Stay]]&lt;=14,"Long Stay","Extended Stay")))</f>
        <v>Long Stay</v>
      </c>
    </row>
    <row r="148" spans="1:31" x14ac:dyDescent="0.3">
      <c r="A148" s="3" t="s">
        <v>353</v>
      </c>
      <c r="B148" s="4">
        <v>45854</v>
      </c>
      <c r="C148" s="4">
        <v>45865</v>
      </c>
      <c r="D148" s="4">
        <v>21440</v>
      </c>
      <c r="E148" s="3">
        <v>67</v>
      </c>
      <c r="F148" s="3" t="s">
        <v>47</v>
      </c>
      <c r="G148" s="3" t="s">
        <v>78</v>
      </c>
      <c r="H148" s="3" t="s">
        <v>12</v>
      </c>
      <c r="I148" s="3" t="s">
        <v>37</v>
      </c>
      <c r="J148" s="3" t="s">
        <v>14</v>
      </c>
      <c r="K148" s="3" t="s">
        <v>15</v>
      </c>
      <c r="L148" s="6">
        <v>5017.95</v>
      </c>
      <c r="M148" s="6">
        <v>1467.97</v>
      </c>
      <c r="N148" s="6">
        <v>2425.48</v>
      </c>
      <c r="O148" s="6">
        <v>4136.68</v>
      </c>
      <c r="P148" s="3" t="s">
        <v>25</v>
      </c>
      <c r="Q148" s="3" t="s">
        <v>1087</v>
      </c>
      <c r="R148" s="3" t="s">
        <v>58</v>
      </c>
      <c r="S148" s="3" t="s">
        <v>354</v>
      </c>
      <c r="T148" s="3">
        <v>2</v>
      </c>
      <c r="U148" s="3">
        <f>CAPSTONE_PROJECT[[#This Row],[Discharge Date]]-CAPSTONE_PROJECT[[#This Row],[Admission Date]]</f>
        <v>11</v>
      </c>
      <c r="V148" s="6">
        <f>SUM(CAPSTONE_PROJECT[[#This Row],[Room Cost]:[Treatment Cost]])</f>
        <v>13048.08</v>
      </c>
      <c r="W148" s="6">
        <f t="shared" si="2"/>
        <v>1186.189090909091</v>
      </c>
      <c r="X148" s="3" t="str">
        <f>TEXT(CAPSTONE_PROJECT[[#This Row],[Admission Date]],"mmmm")</f>
        <v>July</v>
      </c>
      <c r="Y148" s="3" t="str">
        <f>TEXT(CAPSTONE_PROJECT[[#This Row],[Admission Date]],"yyyy")</f>
        <v>2025</v>
      </c>
      <c r="Z148" s="3" t="str">
        <f>TEXT(CAPSTONE_PROJECT[[#This Row],[Admission Date]],"mmm yyyy")</f>
        <v>Jul 2025</v>
      </c>
      <c r="AA148" s="3" t="str">
        <f>TEXT(CAPSTONE_PROJECT[[#This Row],[Admission Date]],"dddd")</f>
        <v>Wednesday</v>
      </c>
      <c r="AB148" s="3" t="str">
        <f>IF(CAPSTONE_PROJECT[[#This Row],[Age]]&lt;=34,"Young Adults",IF(CAPSTONE_PROJECT[[#This Row],[Age]]&lt;=59,"Adults","Elders"))</f>
        <v>Elders</v>
      </c>
      <c r="AC148" s="3" t="str">
        <f>_xlfn.XLOOKUP(CAPSTONE_PROJECT[[#This Row],[Patient ID]],'Lookup table'!A:A,'Lookup table'!B:B,,0)</f>
        <v>Oliver S Wilson</v>
      </c>
      <c r="AD148" s="3" t="str">
        <f>_xlfn.XLOOKUP(CAPSTONE_PROJECT[[#This Row],[Patient ID]],'Lookup table'!A:A,'Lookup table'!C:C,,0)</f>
        <v>Male</v>
      </c>
      <c r="AE148" s="3" t="str">
        <f>IF(CAPSTONE_PROJECT[[#This Row],[Length of Stay]]&lt;=3,"Short Stay",IF(CAPSTONE_PROJECT[[#This Row],[Length of Stay]]&lt;=7,"Moderate Stay",IF(CAPSTONE_PROJECT[[#This Row],[Length of Stay]]&lt;=14,"Long Stay","Extended Stay")))</f>
        <v>Long Stay</v>
      </c>
    </row>
    <row r="149" spans="1:31" x14ac:dyDescent="0.3">
      <c r="A149" s="3" t="s">
        <v>355</v>
      </c>
      <c r="B149" s="4">
        <v>45978</v>
      </c>
      <c r="C149" s="4">
        <v>45996</v>
      </c>
      <c r="D149" s="4">
        <v>24220</v>
      </c>
      <c r="E149" s="3">
        <v>60</v>
      </c>
      <c r="F149" s="3" t="s">
        <v>33</v>
      </c>
      <c r="G149" s="3" t="s">
        <v>139</v>
      </c>
      <c r="H149" s="3" t="s">
        <v>100</v>
      </c>
      <c r="I149" s="3" t="s">
        <v>44</v>
      </c>
      <c r="J149" s="3" t="s">
        <v>64</v>
      </c>
      <c r="K149" s="3" t="s">
        <v>15</v>
      </c>
      <c r="L149" s="6">
        <v>4004.29</v>
      </c>
      <c r="M149" s="6">
        <v>1023.06</v>
      </c>
      <c r="N149" s="6">
        <v>2388.1799999999998</v>
      </c>
      <c r="O149" s="6">
        <v>8517.26</v>
      </c>
      <c r="P149" s="3" t="s">
        <v>16</v>
      </c>
      <c r="Q149" s="3" t="s">
        <v>1081</v>
      </c>
      <c r="R149" s="3" t="s">
        <v>102</v>
      </c>
      <c r="S149" s="3" t="s">
        <v>356</v>
      </c>
      <c r="T149" s="3">
        <v>8</v>
      </c>
      <c r="U149" s="3">
        <f>CAPSTONE_PROJECT[[#This Row],[Discharge Date]]-CAPSTONE_PROJECT[[#This Row],[Admission Date]]</f>
        <v>18</v>
      </c>
      <c r="V149" s="6">
        <f>SUM(CAPSTONE_PROJECT[[#This Row],[Room Cost]:[Treatment Cost]])</f>
        <v>15932.79</v>
      </c>
      <c r="W149" s="6">
        <f t="shared" si="2"/>
        <v>885.15500000000009</v>
      </c>
      <c r="X149" s="3" t="str">
        <f>TEXT(CAPSTONE_PROJECT[[#This Row],[Admission Date]],"mmmm")</f>
        <v>November</v>
      </c>
      <c r="Y149" s="3" t="str">
        <f>TEXT(CAPSTONE_PROJECT[[#This Row],[Admission Date]],"yyyy")</f>
        <v>2025</v>
      </c>
      <c r="Z149" s="3" t="str">
        <f>TEXT(CAPSTONE_PROJECT[[#This Row],[Admission Date]],"mmm yyyy")</f>
        <v>Nov 2025</v>
      </c>
      <c r="AA149" s="3" t="str">
        <f>TEXT(CAPSTONE_PROJECT[[#This Row],[Admission Date]],"dddd")</f>
        <v>Monday</v>
      </c>
      <c r="AB149" s="3" t="str">
        <f>IF(CAPSTONE_PROJECT[[#This Row],[Age]]&lt;=34,"Young Adults",IF(CAPSTONE_PROJECT[[#This Row],[Age]]&lt;=59,"Adults","Elders"))</f>
        <v>Elders</v>
      </c>
      <c r="AC149" s="3" t="str">
        <f>_xlfn.XLOOKUP(CAPSTONE_PROJECT[[#This Row],[Patient ID]],'Lookup table'!A:A,'Lookup table'!B:B,,0)</f>
        <v>Olivia T Smith</v>
      </c>
      <c r="AD149" s="3" t="str">
        <f>_xlfn.XLOOKUP(CAPSTONE_PROJECT[[#This Row],[Patient ID]],'Lookup table'!A:A,'Lookup table'!C:C,,0)</f>
        <v>Female</v>
      </c>
      <c r="AE149" s="3" t="str">
        <f>IF(CAPSTONE_PROJECT[[#This Row],[Length of Stay]]&lt;=3,"Short Stay",IF(CAPSTONE_PROJECT[[#This Row],[Length of Stay]]&lt;=7,"Moderate Stay",IF(CAPSTONE_PROJECT[[#This Row],[Length of Stay]]&lt;=14,"Long Stay","Extended Stay")))</f>
        <v>Extended Stay</v>
      </c>
    </row>
    <row r="150" spans="1:31" x14ac:dyDescent="0.3">
      <c r="A150" s="3" t="s">
        <v>357</v>
      </c>
      <c r="B150" s="4">
        <v>45880</v>
      </c>
      <c r="C150" s="4">
        <v>45885</v>
      </c>
      <c r="D150" s="4">
        <v>34505</v>
      </c>
      <c r="E150" s="3">
        <v>31</v>
      </c>
      <c r="F150" s="3" t="s">
        <v>33</v>
      </c>
      <c r="G150" s="3" t="s">
        <v>40</v>
      </c>
      <c r="H150" s="3" t="s">
        <v>104</v>
      </c>
      <c r="I150" s="3" t="s">
        <v>37</v>
      </c>
      <c r="J150" s="3" t="s">
        <v>64</v>
      </c>
      <c r="K150" s="3" t="s">
        <v>15</v>
      </c>
      <c r="L150" s="6">
        <v>4824.7299999999996</v>
      </c>
      <c r="M150" s="6">
        <v>1169.71</v>
      </c>
      <c r="N150" s="6">
        <v>1439.61</v>
      </c>
      <c r="O150" s="6">
        <v>14330.21</v>
      </c>
      <c r="P150" s="3" t="s">
        <v>31</v>
      </c>
      <c r="Q150" s="3" t="s">
        <v>1076</v>
      </c>
      <c r="R150" s="3" t="s">
        <v>54</v>
      </c>
      <c r="S150" s="3" t="s">
        <v>358</v>
      </c>
      <c r="T150" s="3">
        <v>2</v>
      </c>
      <c r="U150" s="3">
        <f>CAPSTONE_PROJECT[[#This Row],[Discharge Date]]-CAPSTONE_PROJECT[[#This Row],[Admission Date]]</f>
        <v>5</v>
      </c>
      <c r="V150" s="6">
        <f>SUM(CAPSTONE_PROJECT[[#This Row],[Room Cost]:[Treatment Cost]])</f>
        <v>21764.26</v>
      </c>
      <c r="W150" s="6">
        <f t="shared" si="2"/>
        <v>4352.8519999999999</v>
      </c>
      <c r="X150" s="3" t="str">
        <f>TEXT(CAPSTONE_PROJECT[[#This Row],[Admission Date]],"mmmm")</f>
        <v>August</v>
      </c>
      <c r="Y150" s="3" t="str">
        <f>TEXT(CAPSTONE_PROJECT[[#This Row],[Admission Date]],"yyyy")</f>
        <v>2025</v>
      </c>
      <c r="Z150" s="3" t="str">
        <f>TEXT(CAPSTONE_PROJECT[[#This Row],[Admission Date]],"mmm yyyy")</f>
        <v>Aug 2025</v>
      </c>
      <c r="AA150" s="3" t="str">
        <f>TEXT(CAPSTONE_PROJECT[[#This Row],[Admission Date]],"dddd")</f>
        <v>Monday</v>
      </c>
      <c r="AB150" s="3" t="str">
        <f>IF(CAPSTONE_PROJECT[[#This Row],[Age]]&lt;=34,"Young Adults",IF(CAPSTONE_PROJECT[[#This Row],[Age]]&lt;=59,"Adults","Elders"))</f>
        <v>Young Adults</v>
      </c>
      <c r="AC150" s="3" t="str">
        <f>_xlfn.XLOOKUP(CAPSTONE_PROJECT[[#This Row],[Patient ID]],'Lookup table'!A:A,'Lookup table'!B:B,,0)</f>
        <v>Michael Hall</v>
      </c>
      <c r="AD150" s="3" t="str">
        <f>_xlfn.XLOOKUP(CAPSTONE_PROJECT[[#This Row],[Patient ID]],'Lookup table'!A:A,'Lookup table'!C:C,,0)</f>
        <v>Male</v>
      </c>
      <c r="AE150" s="3" t="str">
        <f>IF(CAPSTONE_PROJECT[[#This Row],[Length of Stay]]&lt;=3,"Short Stay",IF(CAPSTONE_PROJECT[[#This Row],[Length of Stay]]&lt;=7,"Moderate Stay",IF(CAPSTONE_PROJECT[[#This Row],[Length of Stay]]&lt;=14,"Long Stay","Extended Stay")))</f>
        <v>Moderate Stay</v>
      </c>
    </row>
    <row r="151" spans="1:31" x14ac:dyDescent="0.3">
      <c r="A151" s="3" t="s">
        <v>359</v>
      </c>
      <c r="B151" s="4">
        <v>45790</v>
      </c>
      <c r="C151" s="4">
        <v>45794</v>
      </c>
      <c r="D151" s="4">
        <v>33957</v>
      </c>
      <c r="E151" s="3">
        <v>33</v>
      </c>
      <c r="F151" s="3" t="s">
        <v>33</v>
      </c>
      <c r="G151" s="3" t="s">
        <v>34</v>
      </c>
      <c r="H151" s="3" t="s">
        <v>21</v>
      </c>
      <c r="I151" s="3" t="s">
        <v>37</v>
      </c>
      <c r="J151" s="3" t="s">
        <v>23</v>
      </c>
      <c r="K151" s="3" t="s">
        <v>15</v>
      </c>
      <c r="L151" s="6">
        <v>4878.72</v>
      </c>
      <c r="M151" s="6">
        <v>475.08</v>
      </c>
      <c r="N151" s="6">
        <v>1890.62</v>
      </c>
      <c r="O151" s="6">
        <v>9495.5</v>
      </c>
      <c r="P151" s="3" t="s">
        <v>31</v>
      </c>
      <c r="Q151" s="3" t="s">
        <v>1086</v>
      </c>
      <c r="R151" s="3" t="s">
        <v>68</v>
      </c>
      <c r="S151" s="3" t="s">
        <v>360</v>
      </c>
      <c r="T151" s="3">
        <v>7</v>
      </c>
      <c r="U151" s="3">
        <f>CAPSTONE_PROJECT[[#This Row],[Discharge Date]]-CAPSTONE_PROJECT[[#This Row],[Admission Date]]</f>
        <v>4</v>
      </c>
      <c r="V151" s="6">
        <f>SUM(CAPSTONE_PROJECT[[#This Row],[Room Cost]:[Treatment Cost]])</f>
        <v>16739.919999999998</v>
      </c>
      <c r="W151" s="6">
        <f t="shared" si="2"/>
        <v>4184.9799999999996</v>
      </c>
      <c r="X151" s="3" t="str">
        <f>TEXT(CAPSTONE_PROJECT[[#This Row],[Admission Date]],"mmmm")</f>
        <v>May</v>
      </c>
      <c r="Y151" s="3" t="str">
        <f>TEXT(CAPSTONE_PROJECT[[#This Row],[Admission Date]],"yyyy")</f>
        <v>2025</v>
      </c>
      <c r="Z151" s="3" t="str">
        <f>TEXT(CAPSTONE_PROJECT[[#This Row],[Admission Date]],"mmm yyyy")</f>
        <v>May 2025</v>
      </c>
      <c r="AA151" s="3" t="str">
        <f>TEXT(CAPSTONE_PROJECT[[#This Row],[Admission Date]],"dddd")</f>
        <v>Tuesday</v>
      </c>
      <c r="AB151" s="3" t="str">
        <f>IF(CAPSTONE_PROJECT[[#This Row],[Age]]&lt;=34,"Young Adults",IF(CAPSTONE_PROJECT[[#This Row],[Age]]&lt;=59,"Adults","Elders"))</f>
        <v>Young Adults</v>
      </c>
      <c r="AC151" s="3" t="str">
        <f>_xlfn.XLOOKUP(CAPSTONE_PROJECT[[#This Row],[Patient ID]],'Lookup table'!A:A,'Lookup table'!B:B,,0)</f>
        <v>Amelia I Thompson</v>
      </c>
      <c r="AD151" s="3" t="str">
        <f>_xlfn.XLOOKUP(CAPSTONE_PROJECT[[#This Row],[Patient ID]],'Lookup table'!A:A,'Lookup table'!C:C,,0)</f>
        <v>Female</v>
      </c>
      <c r="AE151" s="3" t="str">
        <f>IF(CAPSTONE_PROJECT[[#This Row],[Length of Stay]]&lt;=3,"Short Stay",IF(CAPSTONE_PROJECT[[#This Row],[Length of Stay]]&lt;=7,"Moderate Stay",IF(CAPSTONE_PROJECT[[#This Row],[Length of Stay]]&lt;=14,"Long Stay","Extended Stay")))</f>
        <v>Moderate Stay</v>
      </c>
    </row>
    <row r="152" spans="1:31" x14ac:dyDescent="0.3">
      <c r="A152" s="3" t="s">
        <v>361</v>
      </c>
      <c r="B152" s="4">
        <v>45737</v>
      </c>
      <c r="C152" s="4">
        <v>45749</v>
      </c>
      <c r="D152" s="4">
        <v>29900</v>
      </c>
      <c r="E152" s="3">
        <v>44</v>
      </c>
      <c r="F152" s="3" t="s">
        <v>8</v>
      </c>
      <c r="G152" s="3" t="s">
        <v>27</v>
      </c>
      <c r="H152" s="3" t="s">
        <v>100</v>
      </c>
      <c r="I152" s="3" t="s">
        <v>13</v>
      </c>
      <c r="J152" s="3" t="s">
        <v>64</v>
      </c>
      <c r="K152" s="3" t="s">
        <v>15</v>
      </c>
      <c r="L152" s="6">
        <v>1896.25</v>
      </c>
      <c r="M152" s="6">
        <v>998.95</v>
      </c>
      <c r="N152" s="6">
        <v>657.25</v>
      </c>
      <c r="O152" s="6">
        <v>7186.19</v>
      </c>
      <c r="P152" s="3" t="s">
        <v>16</v>
      </c>
      <c r="Q152" s="3" t="s">
        <v>1087</v>
      </c>
      <c r="R152" s="3" t="s">
        <v>62</v>
      </c>
      <c r="S152" s="3" t="s">
        <v>362</v>
      </c>
      <c r="T152" s="3">
        <v>1</v>
      </c>
      <c r="U152" s="3">
        <f>CAPSTONE_PROJECT[[#This Row],[Discharge Date]]-CAPSTONE_PROJECT[[#This Row],[Admission Date]]</f>
        <v>12</v>
      </c>
      <c r="V152" s="6">
        <f>SUM(CAPSTONE_PROJECT[[#This Row],[Room Cost]:[Treatment Cost]])</f>
        <v>10738.64</v>
      </c>
      <c r="W152" s="6">
        <f t="shared" si="2"/>
        <v>894.88666666666666</v>
      </c>
      <c r="X152" s="3" t="str">
        <f>TEXT(CAPSTONE_PROJECT[[#This Row],[Admission Date]],"mmmm")</f>
        <v>March</v>
      </c>
      <c r="Y152" s="3" t="str">
        <f>TEXT(CAPSTONE_PROJECT[[#This Row],[Admission Date]],"yyyy")</f>
        <v>2025</v>
      </c>
      <c r="Z152" s="3" t="str">
        <f>TEXT(CAPSTONE_PROJECT[[#This Row],[Admission Date]],"mmm yyyy")</f>
        <v>Mar 2025</v>
      </c>
      <c r="AA152" s="3" t="str">
        <f>TEXT(CAPSTONE_PROJECT[[#This Row],[Admission Date]],"dddd")</f>
        <v>Friday</v>
      </c>
      <c r="AB152" s="3" t="str">
        <f>IF(CAPSTONE_PROJECT[[#This Row],[Age]]&lt;=34,"Young Adults",IF(CAPSTONE_PROJECT[[#This Row],[Age]]&lt;=59,"Adults","Elders"))</f>
        <v>Adults</v>
      </c>
      <c r="AC152" s="3" t="str">
        <f>_xlfn.XLOOKUP(CAPSTONE_PROJECT[[#This Row],[Patient ID]],'Lookup table'!A:A,'Lookup table'!B:B,,0)</f>
        <v>James H Thompson</v>
      </c>
      <c r="AD152" s="3" t="str">
        <f>_xlfn.XLOOKUP(CAPSTONE_PROJECT[[#This Row],[Patient ID]],'Lookup table'!A:A,'Lookup table'!C:C,,0)</f>
        <v>Male</v>
      </c>
      <c r="AE152" s="3" t="str">
        <f>IF(CAPSTONE_PROJECT[[#This Row],[Length of Stay]]&lt;=3,"Short Stay",IF(CAPSTONE_PROJECT[[#This Row],[Length of Stay]]&lt;=7,"Moderate Stay",IF(CAPSTONE_PROJECT[[#This Row],[Length of Stay]]&lt;=14,"Long Stay","Extended Stay")))</f>
        <v>Long Stay</v>
      </c>
    </row>
    <row r="153" spans="1:31" x14ac:dyDescent="0.3">
      <c r="A153" s="3" t="s">
        <v>363</v>
      </c>
      <c r="B153" s="4">
        <v>45587</v>
      </c>
      <c r="C153" s="4">
        <v>45592</v>
      </c>
      <c r="D153" s="4">
        <v>35981</v>
      </c>
      <c r="E153" s="3">
        <v>27</v>
      </c>
      <c r="F153" s="3" t="s">
        <v>18</v>
      </c>
      <c r="G153" s="3" t="s">
        <v>9</v>
      </c>
      <c r="H153" s="3" t="s">
        <v>114</v>
      </c>
      <c r="I153" s="3" t="s">
        <v>13</v>
      </c>
      <c r="J153" s="3" t="s">
        <v>15</v>
      </c>
      <c r="K153" s="3" t="s">
        <v>15</v>
      </c>
      <c r="L153" s="6">
        <v>1664.48</v>
      </c>
      <c r="M153" s="6">
        <v>63.9</v>
      </c>
      <c r="N153" s="6">
        <v>711.13</v>
      </c>
      <c r="O153" s="6">
        <v>7158.31</v>
      </c>
      <c r="P153" s="3" t="s">
        <v>31</v>
      </c>
      <c r="Q153" s="3" t="s">
        <v>1079</v>
      </c>
      <c r="R153" s="3" t="s">
        <v>10</v>
      </c>
      <c r="S153" s="3" t="s">
        <v>364</v>
      </c>
      <c r="T153" s="3">
        <v>8</v>
      </c>
      <c r="U153" s="3">
        <f>CAPSTONE_PROJECT[[#This Row],[Discharge Date]]-CAPSTONE_PROJECT[[#This Row],[Admission Date]]</f>
        <v>5</v>
      </c>
      <c r="V153" s="6">
        <f>SUM(CAPSTONE_PROJECT[[#This Row],[Room Cost]:[Treatment Cost]])</f>
        <v>9597.82</v>
      </c>
      <c r="W153" s="6">
        <f t="shared" si="2"/>
        <v>1919.5639999999999</v>
      </c>
      <c r="X153" s="3" t="str">
        <f>TEXT(CAPSTONE_PROJECT[[#This Row],[Admission Date]],"mmmm")</f>
        <v>October</v>
      </c>
      <c r="Y153" s="3" t="str">
        <f>TEXT(CAPSTONE_PROJECT[[#This Row],[Admission Date]],"yyyy")</f>
        <v>2024</v>
      </c>
      <c r="Z153" s="3" t="str">
        <f>TEXT(CAPSTONE_PROJECT[[#This Row],[Admission Date]],"mmm yyyy")</f>
        <v>Oct 2024</v>
      </c>
      <c r="AA153" s="3" t="str">
        <f>TEXT(CAPSTONE_PROJECT[[#This Row],[Admission Date]],"dddd")</f>
        <v>Tuesday</v>
      </c>
      <c r="AB153" s="3" t="str">
        <f>IF(CAPSTONE_PROJECT[[#This Row],[Age]]&lt;=34,"Young Adults",IF(CAPSTONE_PROJECT[[#This Row],[Age]]&lt;=59,"Adults","Elders"))</f>
        <v>Young Adults</v>
      </c>
      <c r="AC153" s="3" t="str">
        <f>_xlfn.XLOOKUP(CAPSTONE_PROJECT[[#This Row],[Patient ID]],'Lookup table'!A:A,'Lookup table'!B:B,,0)</f>
        <v>Ava Green</v>
      </c>
      <c r="AD153" s="3" t="str">
        <f>_xlfn.XLOOKUP(CAPSTONE_PROJECT[[#This Row],[Patient ID]],'Lookup table'!A:A,'Lookup table'!C:C,,0)</f>
        <v>Female</v>
      </c>
      <c r="AE153" s="3" t="str">
        <f>IF(CAPSTONE_PROJECT[[#This Row],[Length of Stay]]&lt;=3,"Short Stay",IF(CAPSTONE_PROJECT[[#This Row],[Length of Stay]]&lt;=7,"Moderate Stay",IF(CAPSTONE_PROJECT[[#This Row],[Length of Stay]]&lt;=14,"Long Stay","Extended Stay")))</f>
        <v>Moderate Stay</v>
      </c>
    </row>
    <row r="154" spans="1:31" x14ac:dyDescent="0.3">
      <c r="A154" s="3" t="s">
        <v>365</v>
      </c>
      <c r="B154" s="4">
        <v>45667</v>
      </c>
      <c r="C154" s="4">
        <v>45669</v>
      </c>
      <c r="D154" s="4">
        <v>26195</v>
      </c>
      <c r="E154" s="3">
        <v>54</v>
      </c>
      <c r="F154" s="3" t="s">
        <v>8</v>
      </c>
      <c r="G154" s="3" t="s">
        <v>139</v>
      </c>
      <c r="H154" s="3" t="s">
        <v>43</v>
      </c>
      <c r="I154" s="3" t="s">
        <v>37</v>
      </c>
      <c r="J154" s="3" t="s">
        <v>30</v>
      </c>
      <c r="K154" s="3" t="s">
        <v>65</v>
      </c>
      <c r="L154" s="6">
        <v>234.89</v>
      </c>
      <c r="M154" s="6">
        <v>1114.3</v>
      </c>
      <c r="N154" s="6">
        <v>2474.15</v>
      </c>
      <c r="O154" s="6">
        <v>6663.03</v>
      </c>
      <c r="P154" s="3" t="s">
        <v>31</v>
      </c>
      <c r="Q154" s="3" t="s">
        <v>1078</v>
      </c>
      <c r="R154" s="3" t="s">
        <v>35</v>
      </c>
      <c r="S154" s="3" t="s">
        <v>366</v>
      </c>
      <c r="T154" s="3">
        <v>2</v>
      </c>
      <c r="U154" s="3">
        <f>CAPSTONE_PROJECT[[#This Row],[Discharge Date]]-CAPSTONE_PROJECT[[#This Row],[Admission Date]]</f>
        <v>2</v>
      </c>
      <c r="V154" s="6">
        <f>SUM(CAPSTONE_PROJECT[[#This Row],[Room Cost]:[Treatment Cost]])</f>
        <v>10486.369999999999</v>
      </c>
      <c r="W154" s="6">
        <f t="shared" si="2"/>
        <v>5243.1849999999995</v>
      </c>
      <c r="X154" s="3" t="str">
        <f>TEXT(CAPSTONE_PROJECT[[#This Row],[Admission Date]],"mmmm")</f>
        <v>January</v>
      </c>
      <c r="Y154" s="3" t="str">
        <f>TEXT(CAPSTONE_PROJECT[[#This Row],[Admission Date]],"yyyy")</f>
        <v>2025</v>
      </c>
      <c r="Z154" s="3" t="str">
        <f>TEXT(CAPSTONE_PROJECT[[#This Row],[Admission Date]],"mmm yyyy")</f>
        <v>Jan 2025</v>
      </c>
      <c r="AA154" s="3" t="str">
        <f>TEXT(CAPSTONE_PROJECT[[#This Row],[Admission Date]],"dddd")</f>
        <v>Friday</v>
      </c>
      <c r="AB154" s="3" t="str">
        <f>IF(CAPSTONE_PROJECT[[#This Row],[Age]]&lt;=34,"Young Adults",IF(CAPSTONE_PROJECT[[#This Row],[Age]]&lt;=59,"Adults","Elders"))</f>
        <v>Adults</v>
      </c>
      <c r="AC154" s="3" t="str">
        <f>_xlfn.XLOOKUP(CAPSTONE_PROJECT[[#This Row],[Patient ID]],'Lookup table'!A:A,'Lookup table'!B:B,,0)</f>
        <v>David Robinson</v>
      </c>
      <c r="AD154" s="3" t="str">
        <f>_xlfn.XLOOKUP(CAPSTONE_PROJECT[[#This Row],[Patient ID]],'Lookup table'!A:A,'Lookup table'!C:C,,0)</f>
        <v>Male</v>
      </c>
      <c r="AE154" s="3" t="str">
        <f>IF(CAPSTONE_PROJECT[[#This Row],[Length of Stay]]&lt;=3,"Short Stay",IF(CAPSTONE_PROJECT[[#This Row],[Length of Stay]]&lt;=7,"Moderate Stay",IF(CAPSTONE_PROJECT[[#This Row],[Length of Stay]]&lt;=14,"Long Stay","Extended Stay")))</f>
        <v>Short Stay</v>
      </c>
    </row>
    <row r="155" spans="1:31" x14ac:dyDescent="0.3">
      <c r="A155" s="3" t="s">
        <v>367</v>
      </c>
      <c r="B155" s="4">
        <v>45463</v>
      </c>
      <c r="C155" s="4">
        <v>45465</v>
      </c>
      <c r="D155" s="4">
        <v>24602</v>
      </c>
      <c r="E155" s="3">
        <v>59</v>
      </c>
      <c r="F155" s="3" t="s">
        <v>47</v>
      </c>
      <c r="G155" s="3" t="s">
        <v>67</v>
      </c>
      <c r="H155" s="3" t="s">
        <v>21</v>
      </c>
      <c r="I155" s="3" t="s">
        <v>22</v>
      </c>
      <c r="J155" s="3" t="s">
        <v>30</v>
      </c>
      <c r="K155" s="3" t="s">
        <v>24</v>
      </c>
      <c r="L155" s="6">
        <v>290.14</v>
      </c>
      <c r="M155" s="6">
        <v>1264.73</v>
      </c>
      <c r="N155" s="6">
        <v>363.93</v>
      </c>
      <c r="O155" s="6">
        <v>5866.86</v>
      </c>
      <c r="P155" s="3" t="s">
        <v>25</v>
      </c>
      <c r="Q155" s="3" t="s">
        <v>1086</v>
      </c>
      <c r="R155" s="3" t="s">
        <v>68</v>
      </c>
      <c r="S155" s="3" t="s">
        <v>368</v>
      </c>
      <c r="T155" s="3">
        <v>10</v>
      </c>
      <c r="U155" s="3">
        <f>CAPSTONE_PROJECT[[#This Row],[Discharge Date]]-CAPSTONE_PROJECT[[#This Row],[Admission Date]]</f>
        <v>2</v>
      </c>
      <c r="V155" s="6">
        <f>SUM(CAPSTONE_PROJECT[[#This Row],[Room Cost]:[Treatment Cost]])</f>
        <v>7785.66</v>
      </c>
      <c r="W155" s="6">
        <f t="shared" si="2"/>
        <v>3892.83</v>
      </c>
      <c r="X155" s="3" t="str">
        <f>TEXT(CAPSTONE_PROJECT[[#This Row],[Admission Date]],"mmmm")</f>
        <v>June</v>
      </c>
      <c r="Y155" s="3" t="str">
        <f>TEXT(CAPSTONE_PROJECT[[#This Row],[Admission Date]],"yyyy")</f>
        <v>2024</v>
      </c>
      <c r="Z155" s="3" t="str">
        <f>TEXT(CAPSTONE_PROJECT[[#This Row],[Admission Date]],"mmm yyyy")</f>
        <v>Jun 2024</v>
      </c>
      <c r="AA155" s="3" t="str">
        <f>TEXT(CAPSTONE_PROJECT[[#This Row],[Admission Date]],"dddd")</f>
        <v>Thursday</v>
      </c>
      <c r="AB155" s="3" t="str">
        <f>IF(CAPSTONE_PROJECT[[#This Row],[Age]]&lt;=34,"Young Adults",IF(CAPSTONE_PROJECT[[#This Row],[Age]]&lt;=59,"Adults","Elders"))</f>
        <v>Adults</v>
      </c>
      <c r="AC155" s="3" t="str">
        <f>_xlfn.XLOOKUP(CAPSTONE_PROJECT[[#This Row],[Patient ID]],'Lookup table'!A:A,'Lookup table'!B:B,,0)</f>
        <v>Mia Thompson</v>
      </c>
      <c r="AD155" s="3" t="str">
        <f>_xlfn.XLOOKUP(CAPSTONE_PROJECT[[#This Row],[Patient ID]],'Lookup table'!A:A,'Lookup table'!C:C,,0)</f>
        <v>Female</v>
      </c>
      <c r="AE155" s="3" t="str">
        <f>IF(CAPSTONE_PROJECT[[#This Row],[Length of Stay]]&lt;=3,"Short Stay",IF(CAPSTONE_PROJECT[[#This Row],[Length of Stay]]&lt;=7,"Moderate Stay",IF(CAPSTONE_PROJECT[[#This Row],[Length of Stay]]&lt;=14,"Long Stay","Extended Stay")))</f>
        <v>Short Stay</v>
      </c>
    </row>
    <row r="156" spans="1:31" x14ac:dyDescent="0.3">
      <c r="A156" s="3" t="s">
        <v>369</v>
      </c>
      <c r="B156" s="4">
        <v>46009</v>
      </c>
      <c r="C156" s="4">
        <v>46017</v>
      </c>
      <c r="D156" s="4">
        <v>24906</v>
      </c>
      <c r="E156" s="3">
        <v>58</v>
      </c>
      <c r="F156" s="3" t="s">
        <v>33</v>
      </c>
      <c r="G156" s="3" t="s">
        <v>53</v>
      </c>
      <c r="H156" s="3" t="s">
        <v>1080</v>
      </c>
      <c r="I156" s="3" t="s">
        <v>22</v>
      </c>
      <c r="J156" s="3" t="s">
        <v>73</v>
      </c>
      <c r="K156" s="3" t="s">
        <v>65</v>
      </c>
      <c r="L156" s="6">
        <v>3413.62</v>
      </c>
      <c r="M156" s="6">
        <v>1032.31</v>
      </c>
      <c r="N156" s="6">
        <v>1552.41</v>
      </c>
      <c r="O156" s="6">
        <v>1527.6</v>
      </c>
      <c r="P156" s="3" t="s">
        <v>31</v>
      </c>
      <c r="Q156" s="3" t="s">
        <v>1085</v>
      </c>
      <c r="R156" s="3" t="s">
        <v>102</v>
      </c>
      <c r="S156" s="3" t="s">
        <v>370</v>
      </c>
      <c r="T156" s="3">
        <v>3</v>
      </c>
      <c r="U156" s="3">
        <f>CAPSTONE_PROJECT[[#This Row],[Discharge Date]]-CAPSTONE_PROJECT[[#This Row],[Admission Date]]</f>
        <v>8</v>
      </c>
      <c r="V156" s="6">
        <f>SUM(CAPSTONE_PROJECT[[#This Row],[Room Cost]:[Treatment Cost]])</f>
        <v>7525.9400000000005</v>
      </c>
      <c r="W156" s="6">
        <f t="shared" si="2"/>
        <v>940.74250000000006</v>
      </c>
      <c r="X156" s="3" t="str">
        <f>TEXT(CAPSTONE_PROJECT[[#This Row],[Admission Date]],"mmmm")</f>
        <v>December</v>
      </c>
      <c r="Y156" s="3" t="str">
        <f>TEXT(CAPSTONE_PROJECT[[#This Row],[Admission Date]],"yyyy")</f>
        <v>2025</v>
      </c>
      <c r="Z156" s="3" t="str">
        <f>TEXT(CAPSTONE_PROJECT[[#This Row],[Admission Date]],"mmm yyyy")</f>
        <v>Dec 2025</v>
      </c>
      <c r="AA156" s="3" t="str">
        <f>TEXT(CAPSTONE_PROJECT[[#This Row],[Admission Date]],"dddd")</f>
        <v>Thursday</v>
      </c>
      <c r="AB156" s="3" t="str">
        <f>IF(CAPSTONE_PROJECT[[#This Row],[Age]]&lt;=34,"Young Adults",IF(CAPSTONE_PROJECT[[#This Row],[Age]]&lt;=59,"Adults","Elders"))</f>
        <v>Adults</v>
      </c>
      <c r="AC156" s="3" t="str">
        <f>_xlfn.XLOOKUP(CAPSTONE_PROJECT[[#This Row],[Patient ID]],'Lookup table'!A:A,'Lookup table'!B:B,,0)</f>
        <v>Arthur Taylor</v>
      </c>
      <c r="AD156" s="3" t="str">
        <f>_xlfn.XLOOKUP(CAPSTONE_PROJECT[[#This Row],[Patient ID]],'Lookup table'!A:A,'Lookup table'!C:C,,0)</f>
        <v>Male</v>
      </c>
      <c r="AE156" s="3" t="str">
        <f>IF(CAPSTONE_PROJECT[[#This Row],[Length of Stay]]&lt;=3,"Short Stay",IF(CAPSTONE_PROJECT[[#This Row],[Length of Stay]]&lt;=7,"Moderate Stay",IF(CAPSTONE_PROJECT[[#This Row],[Length of Stay]]&lt;=14,"Long Stay","Extended Stay")))</f>
        <v>Long Stay</v>
      </c>
    </row>
    <row r="157" spans="1:31" x14ac:dyDescent="0.3">
      <c r="A157" s="3" t="s">
        <v>371</v>
      </c>
      <c r="B157" s="4">
        <v>45777</v>
      </c>
      <c r="C157" s="4">
        <v>45786</v>
      </c>
      <c r="D157" s="4">
        <v>32490</v>
      </c>
      <c r="E157" s="3">
        <v>37</v>
      </c>
      <c r="F157" s="3" t="s">
        <v>8</v>
      </c>
      <c r="G157" s="3" t="s">
        <v>53</v>
      </c>
      <c r="H157" s="3" t="s">
        <v>114</v>
      </c>
      <c r="I157" s="3" t="s">
        <v>37</v>
      </c>
      <c r="J157" s="3" t="s">
        <v>30</v>
      </c>
      <c r="K157" s="3" t="s">
        <v>15</v>
      </c>
      <c r="L157" s="6">
        <v>2153.4299999999998</v>
      </c>
      <c r="M157" s="6">
        <v>1263.52</v>
      </c>
      <c r="N157" s="6">
        <v>1926.2</v>
      </c>
      <c r="O157" s="6">
        <v>8827.15</v>
      </c>
      <c r="P157" s="3" t="s">
        <v>25</v>
      </c>
      <c r="Q157" s="3" t="s">
        <v>1078</v>
      </c>
      <c r="R157" s="3" t="s">
        <v>54</v>
      </c>
      <c r="S157" s="3" t="s">
        <v>372</v>
      </c>
      <c r="T157" s="3">
        <v>6</v>
      </c>
      <c r="U157" s="3">
        <f>CAPSTONE_PROJECT[[#This Row],[Discharge Date]]-CAPSTONE_PROJECT[[#This Row],[Admission Date]]</f>
        <v>9</v>
      </c>
      <c r="V157" s="6">
        <f>SUM(CAPSTONE_PROJECT[[#This Row],[Room Cost]:[Treatment Cost]])</f>
        <v>14170.3</v>
      </c>
      <c r="W157" s="6">
        <f t="shared" si="2"/>
        <v>1574.4777777777776</v>
      </c>
      <c r="X157" s="3" t="str">
        <f>TEXT(CAPSTONE_PROJECT[[#This Row],[Admission Date]],"mmmm")</f>
        <v>April</v>
      </c>
      <c r="Y157" s="3" t="str">
        <f>TEXT(CAPSTONE_PROJECT[[#This Row],[Admission Date]],"yyyy")</f>
        <v>2025</v>
      </c>
      <c r="Z157" s="3" t="str">
        <f>TEXT(CAPSTONE_PROJECT[[#This Row],[Admission Date]],"mmm yyyy")</f>
        <v>Apr 2025</v>
      </c>
      <c r="AA157" s="3" t="str">
        <f>TEXT(CAPSTONE_PROJECT[[#This Row],[Admission Date]],"dddd")</f>
        <v>Wednesday</v>
      </c>
      <c r="AB157" s="3" t="str">
        <f>IF(CAPSTONE_PROJECT[[#This Row],[Age]]&lt;=34,"Young Adults",IF(CAPSTONE_PROJECT[[#This Row],[Age]]&lt;=59,"Adults","Elders"))</f>
        <v>Adults</v>
      </c>
      <c r="AC157" s="3" t="str">
        <f>_xlfn.XLOOKUP(CAPSTONE_PROJECT[[#This Row],[Patient ID]],'Lookup table'!A:A,'Lookup table'!B:B,,0)</f>
        <v>Sarah T Wood</v>
      </c>
      <c r="AD157" s="3" t="str">
        <f>_xlfn.XLOOKUP(CAPSTONE_PROJECT[[#This Row],[Patient ID]],'Lookup table'!A:A,'Lookup table'!C:C,,0)</f>
        <v>Female</v>
      </c>
      <c r="AE157" s="3" t="str">
        <f>IF(CAPSTONE_PROJECT[[#This Row],[Length of Stay]]&lt;=3,"Short Stay",IF(CAPSTONE_PROJECT[[#This Row],[Length of Stay]]&lt;=7,"Moderate Stay",IF(CAPSTONE_PROJECT[[#This Row],[Length of Stay]]&lt;=14,"Long Stay","Extended Stay")))</f>
        <v>Long Stay</v>
      </c>
    </row>
    <row r="158" spans="1:31" x14ac:dyDescent="0.3">
      <c r="A158" s="3" t="s">
        <v>373</v>
      </c>
      <c r="B158" s="4">
        <v>45980</v>
      </c>
      <c r="C158" s="4">
        <v>45981</v>
      </c>
      <c r="D158" s="4">
        <v>23986</v>
      </c>
      <c r="E158" s="3">
        <v>60</v>
      </c>
      <c r="F158" s="3" t="s">
        <v>47</v>
      </c>
      <c r="G158" s="3" t="s">
        <v>126</v>
      </c>
      <c r="H158" s="3" t="s">
        <v>100</v>
      </c>
      <c r="I158" s="3" t="s">
        <v>37</v>
      </c>
      <c r="J158" s="3" t="s">
        <v>14</v>
      </c>
      <c r="K158" s="3" t="s">
        <v>50</v>
      </c>
      <c r="L158" s="6">
        <v>4817.32</v>
      </c>
      <c r="M158" s="6">
        <v>442.8</v>
      </c>
      <c r="N158" s="6">
        <v>2211.39</v>
      </c>
      <c r="O158" s="6">
        <v>7315.39</v>
      </c>
      <c r="P158" s="3" t="s">
        <v>31</v>
      </c>
      <c r="Q158" s="3" t="s">
        <v>1077</v>
      </c>
      <c r="R158" s="3" t="s">
        <v>54</v>
      </c>
      <c r="S158" s="3" t="s">
        <v>374</v>
      </c>
      <c r="T158" s="3">
        <v>8</v>
      </c>
      <c r="U158" s="3">
        <f>CAPSTONE_PROJECT[[#This Row],[Discharge Date]]-CAPSTONE_PROJECT[[#This Row],[Admission Date]]</f>
        <v>1</v>
      </c>
      <c r="V158" s="6">
        <f>SUM(CAPSTONE_PROJECT[[#This Row],[Room Cost]:[Treatment Cost]])</f>
        <v>14786.900000000001</v>
      </c>
      <c r="W158" s="6">
        <f t="shared" si="2"/>
        <v>14786.900000000001</v>
      </c>
      <c r="X158" s="3" t="str">
        <f>TEXT(CAPSTONE_PROJECT[[#This Row],[Admission Date]],"mmmm")</f>
        <v>November</v>
      </c>
      <c r="Y158" s="3" t="str">
        <f>TEXT(CAPSTONE_PROJECT[[#This Row],[Admission Date]],"yyyy")</f>
        <v>2025</v>
      </c>
      <c r="Z158" s="3" t="str">
        <f>TEXT(CAPSTONE_PROJECT[[#This Row],[Admission Date]],"mmm yyyy")</f>
        <v>Nov 2025</v>
      </c>
      <c r="AA158" s="3" t="str">
        <f>TEXT(CAPSTONE_PROJECT[[#This Row],[Admission Date]],"dddd")</f>
        <v>Wednesday</v>
      </c>
      <c r="AB158" s="3" t="str">
        <f>IF(CAPSTONE_PROJECT[[#This Row],[Age]]&lt;=34,"Young Adults",IF(CAPSTONE_PROJECT[[#This Row],[Age]]&lt;=59,"Adults","Elders"))</f>
        <v>Elders</v>
      </c>
      <c r="AC158" s="3" t="str">
        <f>_xlfn.XLOOKUP(CAPSTONE_PROJECT[[#This Row],[Patient ID]],'Lookup table'!A:A,'Lookup table'!B:B,,0)</f>
        <v>Benjamin Wilson</v>
      </c>
      <c r="AD158" s="3" t="str">
        <f>_xlfn.XLOOKUP(CAPSTONE_PROJECT[[#This Row],[Patient ID]],'Lookup table'!A:A,'Lookup table'!C:C,,0)</f>
        <v>Male</v>
      </c>
      <c r="AE158" s="3" t="str">
        <f>IF(CAPSTONE_PROJECT[[#This Row],[Length of Stay]]&lt;=3,"Short Stay",IF(CAPSTONE_PROJECT[[#This Row],[Length of Stay]]&lt;=7,"Moderate Stay",IF(CAPSTONE_PROJECT[[#This Row],[Length of Stay]]&lt;=14,"Long Stay","Extended Stay")))</f>
        <v>Short Stay</v>
      </c>
    </row>
    <row r="159" spans="1:31" x14ac:dyDescent="0.3">
      <c r="A159" s="3" t="s">
        <v>375</v>
      </c>
      <c r="B159" s="4">
        <v>45369</v>
      </c>
      <c r="C159" s="4">
        <v>45384</v>
      </c>
      <c r="D159" s="4">
        <v>23245</v>
      </c>
      <c r="E159" s="3">
        <v>62</v>
      </c>
      <c r="F159" s="3" t="s">
        <v>47</v>
      </c>
      <c r="G159" s="3" t="s">
        <v>67</v>
      </c>
      <c r="H159" s="3" t="s">
        <v>12</v>
      </c>
      <c r="I159" s="3" t="s">
        <v>13</v>
      </c>
      <c r="J159" s="3" t="s">
        <v>23</v>
      </c>
      <c r="K159" s="3" t="s">
        <v>65</v>
      </c>
      <c r="L159" s="6">
        <v>3653.84</v>
      </c>
      <c r="M159" s="6">
        <v>1342.31</v>
      </c>
      <c r="N159" s="6">
        <v>1120.2</v>
      </c>
      <c r="O159" s="6">
        <v>3397.63</v>
      </c>
      <c r="P159" s="3" t="s">
        <v>25</v>
      </c>
      <c r="Q159" s="3" t="s">
        <v>1082</v>
      </c>
      <c r="R159" s="3" t="s">
        <v>62</v>
      </c>
      <c r="S159" s="3" t="s">
        <v>376</v>
      </c>
      <c r="T159" s="3">
        <v>2</v>
      </c>
      <c r="U159" s="3">
        <f>CAPSTONE_PROJECT[[#This Row],[Discharge Date]]-CAPSTONE_PROJECT[[#This Row],[Admission Date]]</f>
        <v>15</v>
      </c>
      <c r="V159" s="6">
        <f>SUM(CAPSTONE_PROJECT[[#This Row],[Room Cost]:[Treatment Cost]])</f>
        <v>9513.98</v>
      </c>
      <c r="W159" s="6">
        <f t="shared" si="2"/>
        <v>634.26533333333327</v>
      </c>
      <c r="X159" s="3" t="str">
        <f>TEXT(CAPSTONE_PROJECT[[#This Row],[Admission Date]],"mmmm")</f>
        <v>March</v>
      </c>
      <c r="Y159" s="3" t="str">
        <f>TEXT(CAPSTONE_PROJECT[[#This Row],[Admission Date]],"yyyy")</f>
        <v>2024</v>
      </c>
      <c r="Z159" s="3" t="str">
        <f>TEXT(CAPSTONE_PROJECT[[#This Row],[Admission Date]],"mmm yyyy")</f>
        <v>Mar 2024</v>
      </c>
      <c r="AA159" s="3" t="str">
        <f>TEXT(CAPSTONE_PROJECT[[#This Row],[Admission Date]],"dddd")</f>
        <v>Monday</v>
      </c>
      <c r="AB159" s="3" t="str">
        <f>IF(CAPSTONE_PROJECT[[#This Row],[Age]]&lt;=34,"Young Adults",IF(CAPSTONE_PROJECT[[#This Row],[Age]]&lt;=59,"Adults","Elders"))</f>
        <v>Elders</v>
      </c>
      <c r="AC159" s="3" t="str">
        <f>_xlfn.XLOOKUP(CAPSTONE_PROJECT[[#This Row],[Patient ID]],'Lookup table'!A:A,'Lookup table'!B:B,,0)</f>
        <v>Emma Q Martin</v>
      </c>
      <c r="AD159" s="3" t="str">
        <f>_xlfn.XLOOKUP(CAPSTONE_PROJECT[[#This Row],[Patient ID]],'Lookup table'!A:A,'Lookup table'!C:C,,0)</f>
        <v>Female</v>
      </c>
      <c r="AE159" s="3" t="str">
        <f>IF(CAPSTONE_PROJECT[[#This Row],[Length of Stay]]&lt;=3,"Short Stay",IF(CAPSTONE_PROJECT[[#This Row],[Length of Stay]]&lt;=7,"Moderate Stay",IF(CAPSTONE_PROJECT[[#This Row],[Length of Stay]]&lt;=14,"Long Stay","Extended Stay")))</f>
        <v>Extended Stay</v>
      </c>
    </row>
    <row r="160" spans="1:31" x14ac:dyDescent="0.3">
      <c r="A160" s="3" t="s">
        <v>377</v>
      </c>
      <c r="B160" s="4">
        <v>45364</v>
      </c>
      <c r="C160" s="4">
        <v>45383</v>
      </c>
      <c r="D160" s="4">
        <v>18631</v>
      </c>
      <c r="E160" s="3">
        <v>75</v>
      </c>
      <c r="F160" s="3" t="s">
        <v>8</v>
      </c>
      <c r="G160" s="3" t="s">
        <v>53</v>
      </c>
      <c r="H160" s="3" t="s">
        <v>12</v>
      </c>
      <c r="I160" s="3" t="s">
        <v>13</v>
      </c>
      <c r="J160" s="3" t="s">
        <v>14</v>
      </c>
      <c r="K160" s="3" t="s">
        <v>50</v>
      </c>
      <c r="L160" s="6">
        <v>4061.12</v>
      </c>
      <c r="M160" s="6">
        <v>1162.75</v>
      </c>
      <c r="N160" s="6">
        <v>724.29</v>
      </c>
      <c r="O160" s="6">
        <v>938.42</v>
      </c>
      <c r="P160" s="3" t="s">
        <v>16</v>
      </c>
      <c r="Q160" s="3" t="s">
        <v>1079</v>
      </c>
      <c r="R160" s="3" t="s">
        <v>54</v>
      </c>
      <c r="S160" s="3" t="s">
        <v>378</v>
      </c>
      <c r="T160" s="3">
        <v>1</v>
      </c>
      <c r="U160" s="3">
        <f>CAPSTONE_PROJECT[[#This Row],[Discharge Date]]-CAPSTONE_PROJECT[[#This Row],[Admission Date]]</f>
        <v>19</v>
      </c>
      <c r="V160" s="6">
        <f>SUM(CAPSTONE_PROJECT[[#This Row],[Room Cost]:[Treatment Cost]])</f>
        <v>6886.58</v>
      </c>
      <c r="W160" s="6">
        <f t="shared" si="2"/>
        <v>362.45157894736843</v>
      </c>
      <c r="X160" s="3" t="str">
        <f>TEXT(CAPSTONE_PROJECT[[#This Row],[Admission Date]],"mmmm")</f>
        <v>March</v>
      </c>
      <c r="Y160" s="3" t="str">
        <f>TEXT(CAPSTONE_PROJECT[[#This Row],[Admission Date]],"yyyy")</f>
        <v>2024</v>
      </c>
      <c r="Z160" s="3" t="str">
        <f>TEXT(CAPSTONE_PROJECT[[#This Row],[Admission Date]],"mmm yyyy")</f>
        <v>Mar 2024</v>
      </c>
      <c r="AA160" s="3" t="str">
        <f>TEXT(CAPSTONE_PROJECT[[#This Row],[Admission Date]],"dddd")</f>
        <v>Wednesday</v>
      </c>
      <c r="AB160" s="3" t="str">
        <f>IF(CAPSTONE_PROJECT[[#This Row],[Age]]&lt;=34,"Young Adults",IF(CAPSTONE_PROJECT[[#This Row],[Age]]&lt;=59,"Adults","Elders"))</f>
        <v>Elders</v>
      </c>
      <c r="AC160" s="3" t="str">
        <f>_xlfn.XLOOKUP(CAPSTONE_PROJECT[[#This Row],[Patient ID]],'Lookup table'!A:A,'Lookup table'!B:B,,0)</f>
        <v>Daniel Thomas</v>
      </c>
      <c r="AD160" s="3" t="str">
        <f>_xlfn.XLOOKUP(CAPSTONE_PROJECT[[#This Row],[Patient ID]],'Lookup table'!A:A,'Lookup table'!C:C,,0)</f>
        <v>Male</v>
      </c>
      <c r="AE160" s="3" t="str">
        <f>IF(CAPSTONE_PROJECT[[#This Row],[Length of Stay]]&lt;=3,"Short Stay",IF(CAPSTONE_PROJECT[[#This Row],[Length of Stay]]&lt;=7,"Moderate Stay",IF(CAPSTONE_PROJECT[[#This Row],[Length of Stay]]&lt;=14,"Long Stay","Extended Stay")))</f>
        <v>Extended Stay</v>
      </c>
    </row>
    <row r="161" spans="1:31" x14ac:dyDescent="0.3">
      <c r="A161" s="3" t="s">
        <v>379</v>
      </c>
      <c r="B161" s="4">
        <v>45348</v>
      </c>
      <c r="C161" s="4">
        <v>45351</v>
      </c>
      <c r="D161" s="4">
        <v>32276</v>
      </c>
      <c r="E161" s="3">
        <v>38</v>
      </c>
      <c r="F161" s="3" t="s">
        <v>33</v>
      </c>
      <c r="G161" s="3" t="s">
        <v>9</v>
      </c>
      <c r="H161" s="3" t="s">
        <v>29</v>
      </c>
      <c r="I161" s="3" t="s">
        <v>37</v>
      </c>
      <c r="J161" s="3" t="s">
        <v>38</v>
      </c>
      <c r="K161" s="3" t="s">
        <v>15</v>
      </c>
      <c r="L161" s="6">
        <v>411.31</v>
      </c>
      <c r="M161" s="6">
        <v>1543.82</v>
      </c>
      <c r="N161" s="6">
        <v>0</v>
      </c>
      <c r="O161" s="6">
        <v>0</v>
      </c>
      <c r="P161" s="3" t="s">
        <v>31</v>
      </c>
      <c r="Q161" s="3" t="s">
        <v>1077</v>
      </c>
      <c r="R161" s="3" t="s">
        <v>102</v>
      </c>
      <c r="S161" s="3" t="s">
        <v>380</v>
      </c>
      <c r="T161" s="3">
        <v>5</v>
      </c>
      <c r="U161" s="3">
        <f>CAPSTONE_PROJECT[[#This Row],[Discharge Date]]-CAPSTONE_PROJECT[[#This Row],[Admission Date]]</f>
        <v>3</v>
      </c>
      <c r="V161" s="6">
        <f>SUM(CAPSTONE_PROJECT[[#This Row],[Room Cost]:[Treatment Cost]])</f>
        <v>1955.1299999999999</v>
      </c>
      <c r="W161" s="6">
        <f t="shared" si="2"/>
        <v>651.70999999999992</v>
      </c>
      <c r="X161" s="3" t="str">
        <f>TEXT(CAPSTONE_PROJECT[[#This Row],[Admission Date]],"mmmm")</f>
        <v>February</v>
      </c>
      <c r="Y161" s="3" t="str">
        <f>TEXT(CAPSTONE_PROJECT[[#This Row],[Admission Date]],"yyyy")</f>
        <v>2024</v>
      </c>
      <c r="Z161" s="3" t="str">
        <f>TEXT(CAPSTONE_PROJECT[[#This Row],[Admission Date]],"mmm yyyy")</f>
        <v>Feb 2024</v>
      </c>
      <c r="AA161" s="3" t="str">
        <f>TEXT(CAPSTONE_PROJECT[[#This Row],[Admission Date]],"dddd")</f>
        <v>Monday</v>
      </c>
      <c r="AB161" s="3" t="str">
        <f>IF(CAPSTONE_PROJECT[[#This Row],[Age]]&lt;=34,"Young Adults",IF(CAPSTONE_PROJECT[[#This Row],[Age]]&lt;=59,"Adults","Elders"))</f>
        <v>Adults</v>
      </c>
      <c r="AC161" s="3" t="str">
        <f>_xlfn.XLOOKUP(CAPSTONE_PROJECT[[#This Row],[Patient ID]],'Lookup table'!A:A,'Lookup table'!B:B,,0)</f>
        <v>Freya Evans</v>
      </c>
      <c r="AD161" s="3" t="str">
        <f>_xlfn.XLOOKUP(CAPSTONE_PROJECT[[#This Row],[Patient ID]],'Lookup table'!A:A,'Lookup table'!C:C,,0)</f>
        <v>Female</v>
      </c>
      <c r="AE161" s="3" t="str">
        <f>IF(CAPSTONE_PROJECT[[#This Row],[Length of Stay]]&lt;=3,"Short Stay",IF(CAPSTONE_PROJECT[[#This Row],[Length of Stay]]&lt;=7,"Moderate Stay",IF(CAPSTONE_PROJECT[[#This Row],[Length of Stay]]&lt;=14,"Long Stay","Extended Stay")))</f>
        <v>Short Stay</v>
      </c>
    </row>
    <row r="162" spans="1:31" x14ac:dyDescent="0.3">
      <c r="A162" s="3" t="s">
        <v>381</v>
      </c>
      <c r="B162" s="4">
        <v>45845</v>
      </c>
      <c r="C162" s="4">
        <v>45855</v>
      </c>
      <c r="D162" s="4">
        <v>25260</v>
      </c>
      <c r="E162" s="3">
        <v>57</v>
      </c>
      <c r="F162" s="3" t="s">
        <v>18</v>
      </c>
      <c r="G162" s="3" t="s">
        <v>9</v>
      </c>
      <c r="H162" s="3" t="s">
        <v>1080</v>
      </c>
      <c r="I162" s="3" t="s">
        <v>44</v>
      </c>
      <c r="J162" s="3" t="s">
        <v>14</v>
      </c>
      <c r="K162" s="3" t="s">
        <v>50</v>
      </c>
      <c r="L162" s="6">
        <v>4050.72</v>
      </c>
      <c r="M162" s="6">
        <v>1288.29</v>
      </c>
      <c r="N162" s="6">
        <v>120.7</v>
      </c>
      <c r="O162" s="6">
        <v>9163.83</v>
      </c>
      <c r="P162" s="3" t="s">
        <v>16</v>
      </c>
      <c r="Q162" s="3" t="s">
        <v>1084</v>
      </c>
      <c r="R162" s="3" t="s">
        <v>35</v>
      </c>
      <c r="S162" s="3" t="s">
        <v>382</v>
      </c>
      <c r="T162" s="3">
        <v>1</v>
      </c>
      <c r="U162" s="3">
        <f>CAPSTONE_PROJECT[[#This Row],[Discharge Date]]-CAPSTONE_PROJECT[[#This Row],[Admission Date]]</f>
        <v>10</v>
      </c>
      <c r="V162" s="6">
        <f>SUM(CAPSTONE_PROJECT[[#This Row],[Room Cost]:[Treatment Cost]])</f>
        <v>14623.54</v>
      </c>
      <c r="W162" s="6">
        <f t="shared" si="2"/>
        <v>1462.354</v>
      </c>
      <c r="X162" s="3" t="str">
        <f>TEXT(CAPSTONE_PROJECT[[#This Row],[Admission Date]],"mmmm")</f>
        <v>July</v>
      </c>
      <c r="Y162" s="3" t="str">
        <f>TEXT(CAPSTONE_PROJECT[[#This Row],[Admission Date]],"yyyy")</f>
        <v>2025</v>
      </c>
      <c r="Z162" s="3" t="str">
        <f>TEXT(CAPSTONE_PROJECT[[#This Row],[Admission Date]],"mmm yyyy")</f>
        <v>Jul 2025</v>
      </c>
      <c r="AA162" s="3" t="str">
        <f>TEXT(CAPSTONE_PROJECT[[#This Row],[Admission Date]],"dddd")</f>
        <v>Monday</v>
      </c>
      <c r="AB162" s="3" t="str">
        <f>IF(CAPSTONE_PROJECT[[#This Row],[Age]]&lt;=34,"Young Adults",IF(CAPSTONE_PROJECT[[#This Row],[Age]]&lt;=59,"Adults","Elders"))</f>
        <v>Adults</v>
      </c>
      <c r="AC162" s="3" t="str">
        <f>_xlfn.XLOOKUP(CAPSTONE_PROJECT[[#This Row],[Patient ID]],'Lookup table'!A:A,'Lookup table'!B:B,,0)</f>
        <v>Arthur H Taylor</v>
      </c>
      <c r="AD162" s="3" t="str">
        <f>_xlfn.XLOOKUP(CAPSTONE_PROJECT[[#This Row],[Patient ID]],'Lookup table'!A:A,'Lookup table'!C:C,,0)</f>
        <v>Male</v>
      </c>
      <c r="AE162" s="3" t="str">
        <f>IF(CAPSTONE_PROJECT[[#This Row],[Length of Stay]]&lt;=3,"Short Stay",IF(CAPSTONE_PROJECT[[#This Row],[Length of Stay]]&lt;=7,"Moderate Stay",IF(CAPSTONE_PROJECT[[#This Row],[Length of Stay]]&lt;=14,"Long Stay","Extended Stay")))</f>
        <v>Long Stay</v>
      </c>
    </row>
    <row r="163" spans="1:31" x14ac:dyDescent="0.3">
      <c r="A163" s="3" t="s">
        <v>383</v>
      </c>
      <c r="B163" s="4">
        <v>45606</v>
      </c>
      <c r="C163" s="4">
        <v>45610</v>
      </c>
      <c r="D163" s="4">
        <v>20761</v>
      </c>
      <c r="E163" s="3">
        <v>69</v>
      </c>
      <c r="F163" s="3" t="s">
        <v>33</v>
      </c>
      <c r="G163" s="3" t="s">
        <v>34</v>
      </c>
      <c r="H163" s="3" t="s">
        <v>1080</v>
      </c>
      <c r="I163" s="3" t="s">
        <v>44</v>
      </c>
      <c r="J163" s="3" t="s">
        <v>73</v>
      </c>
      <c r="K163" s="3" t="s">
        <v>50</v>
      </c>
      <c r="L163" s="6">
        <v>2357.12</v>
      </c>
      <c r="M163" s="6">
        <v>878.4</v>
      </c>
      <c r="N163" s="6">
        <v>496.42</v>
      </c>
      <c r="O163" s="6">
        <v>6059.22</v>
      </c>
      <c r="P163" s="3" t="s">
        <v>31</v>
      </c>
      <c r="Q163" s="3" t="s">
        <v>1078</v>
      </c>
      <c r="R163" s="3" t="s">
        <v>10</v>
      </c>
      <c r="S163" s="3" t="s">
        <v>384</v>
      </c>
      <c r="T163" s="3">
        <v>10</v>
      </c>
      <c r="U163" s="3">
        <f>CAPSTONE_PROJECT[[#This Row],[Discharge Date]]-CAPSTONE_PROJECT[[#This Row],[Admission Date]]</f>
        <v>4</v>
      </c>
      <c r="V163" s="6">
        <f>SUM(CAPSTONE_PROJECT[[#This Row],[Room Cost]:[Treatment Cost]])</f>
        <v>9791.16</v>
      </c>
      <c r="W163" s="6">
        <f t="shared" si="2"/>
        <v>2447.79</v>
      </c>
      <c r="X163" s="3" t="str">
        <f>TEXT(CAPSTONE_PROJECT[[#This Row],[Admission Date]],"mmmm")</f>
        <v>November</v>
      </c>
      <c r="Y163" s="3" t="str">
        <f>TEXT(CAPSTONE_PROJECT[[#This Row],[Admission Date]],"yyyy")</f>
        <v>2024</v>
      </c>
      <c r="Z163" s="3" t="str">
        <f>TEXT(CAPSTONE_PROJECT[[#This Row],[Admission Date]],"mmm yyyy")</f>
        <v>Nov 2024</v>
      </c>
      <c r="AA163" s="3" t="str">
        <f>TEXT(CAPSTONE_PROJECT[[#This Row],[Admission Date]],"dddd")</f>
        <v>Sunday</v>
      </c>
      <c r="AB163" s="3" t="str">
        <f>IF(CAPSTONE_PROJECT[[#This Row],[Age]]&lt;=34,"Young Adults",IF(CAPSTONE_PROJECT[[#This Row],[Age]]&lt;=59,"Adults","Elders"))</f>
        <v>Elders</v>
      </c>
      <c r="AC163" s="3" t="str">
        <f>_xlfn.XLOOKUP(CAPSTONE_PROJECT[[#This Row],[Patient ID]],'Lookup table'!A:A,'Lookup table'!B:B,,0)</f>
        <v>Grace Robinson</v>
      </c>
      <c r="AD163" s="3" t="str">
        <f>_xlfn.XLOOKUP(CAPSTONE_PROJECT[[#This Row],[Patient ID]],'Lookup table'!A:A,'Lookup table'!C:C,,0)</f>
        <v>Female</v>
      </c>
      <c r="AE163" s="3" t="str">
        <f>IF(CAPSTONE_PROJECT[[#This Row],[Length of Stay]]&lt;=3,"Short Stay",IF(CAPSTONE_PROJECT[[#This Row],[Length of Stay]]&lt;=7,"Moderate Stay",IF(CAPSTONE_PROJECT[[#This Row],[Length of Stay]]&lt;=14,"Long Stay","Extended Stay")))</f>
        <v>Moderate Stay</v>
      </c>
    </row>
    <row r="164" spans="1:31" x14ac:dyDescent="0.3">
      <c r="A164" s="3" t="s">
        <v>385</v>
      </c>
      <c r="B164" s="4">
        <v>45333</v>
      </c>
      <c r="C164" s="4">
        <v>45338</v>
      </c>
      <c r="D164" s="4">
        <v>26773</v>
      </c>
      <c r="E164" s="3">
        <v>53</v>
      </c>
      <c r="F164" s="3" t="s">
        <v>8</v>
      </c>
      <c r="G164" s="3" t="s">
        <v>53</v>
      </c>
      <c r="H164" s="3" t="s">
        <v>100</v>
      </c>
      <c r="I164" s="3" t="s">
        <v>13</v>
      </c>
      <c r="J164" s="3" t="s">
        <v>15</v>
      </c>
      <c r="K164" s="3" t="s">
        <v>50</v>
      </c>
      <c r="L164" s="6">
        <v>5002</v>
      </c>
      <c r="M164" s="6">
        <v>1073.5999999999999</v>
      </c>
      <c r="N164" s="6">
        <v>697.56</v>
      </c>
      <c r="O164" s="6">
        <v>11194.67</v>
      </c>
      <c r="P164" s="3" t="s">
        <v>16</v>
      </c>
      <c r="Q164" s="3" t="s">
        <v>1076</v>
      </c>
      <c r="R164" s="3" t="s">
        <v>68</v>
      </c>
      <c r="S164" s="3" t="s">
        <v>386</v>
      </c>
      <c r="T164" s="3">
        <v>5</v>
      </c>
      <c r="U164" s="3">
        <f>CAPSTONE_PROJECT[[#This Row],[Discharge Date]]-CAPSTONE_PROJECT[[#This Row],[Admission Date]]</f>
        <v>5</v>
      </c>
      <c r="V164" s="6">
        <f>SUM(CAPSTONE_PROJECT[[#This Row],[Room Cost]:[Treatment Cost]])</f>
        <v>17967.830000000002</v>
      </c>
      <c r="W164" s="6">
        <f t="shared" si="2"/>
        <v>3593.5660000000003</v>
      </c>
      <c r="X164" s="3" t="str">
        <f>TEXT(CAPSTONE_PROJECT[[#This Row],[Admission Date]],"mmmm")</f>
        <v>February</v>
      </c>
      <c r="Y164" s="3" t="str">
        <f>TEXT(CAPSTONE_PROJECT[[#This Row],[Admission Date]],"yyyy")</f>
        <v>2024</v>
      </c>
      <c r="Z164" s="3" t="str">
        <f>TEXT(CAPSTONE_PROJECT[[#This Row],[Admission Date]],"mmm yyyy")</f>
        <v>Feb 2024</v>
      </c>
      <c r="AA164" s="3" t="str">
        <f>TEXT(CAPSTONE_PROJECT[[#This Row],[Admission Date]],"dddd")</f>
        <v>Sunday</v>
      </c>
      <c r="AB164" s="3" t="str">
        <f>IF(CAPSTONE_PROJECT[[#This Row],[Age]]&lt;=34,"Young Adults",IF(CAPSTONE_PROJECT[[#This Row],[Age]]&lt;=59,"Adults","Elders"))</f>
        <v>Adults</v>
      </c>
      <c r="AC164" s="3" t="str">
        <f>_xlfn.XLOOKUP(CAPSTONE_PROJECT[[#This Row],[Patient ID]],'Lookup table'!A:A,'Lookup table'!B:B,,0)</f>
        <v>David R Wood</v>
      </c>
      <c r="AD164" s="3" t="str">
        <f>_xlfn.XLOOKUP(CAPSTONE_PROJECT[[#This Row],[Patient ID]],'Lookup table'!A:A,'Lookup table'!C:C,,0)</f>
        <v>Male</v>
      </c>
      <c r="AE164" s="3" t="str">
        <f>IF(CAPSTONE_PROJECT[[#This Row],[Length of Stay]]&lt;=3,"Short Stay",IF(CAPSTONE_PROJECT[[#This Row],[Length of Stay]]&lt;=7,"Moderate Stay",IF(CAPSTONE_PROJECT[[#This Row],[Length of Stay]]&lt;=14,"Long Stay","Extended Stay")))</f>
        <v>Moderate Stay</v>
      </c>
    </row>
    <row r="165" spans="1:31" x14ac:dyDescent="0.3">
      <c r="A165" s="3" t="s">
        <v>387</v>
      </c>
      <c r="B165" s="4">
        <v>45863</v>
      </c>
      <c r="C165" s="4">
        <v>45871</v>
      </c>
      <c r="D165" s="4">
        <v>24654</v>
      </c>
      <c r="E165" s="3">
        <v>58</v>
      </c>
      <c r="F165" s="3" t="s">
        <v>18</v>
      </c>
      <c r="G165" s="3" t="s">
        <v>67</v>
      </c>
      <c r="H165" s="3" t="s">
        <v>72</v>
      </c>
      <c r="I165" s="3" t="s">
        <v>13</v>
      </c>
      <c r="J165" s="3" t="s">
        <v>23</v>
      </c>
      <c r="K165" s="3" t="s">
        <v>65</v>
      </c>
      <c r="L165" s="6">
        <v>2455.96</v>
      </c>
      <c r="M165" s="6">
        <v>550.71</v>
      </c>
      <c r="N165" s="6">
        <v>2621.19</v>
      </c>
      <c r="O165" s="6">
        <v>2029.86</v>
      </c>
      <c r="P165" s="3" t="s">
        <v>31</v>
      </c>
      <c r="Q165" s="3" t="s">
        <v>1086</v>
      </c>
      <c r="R165" s="3" t="s">
        <v>58</v>
      </c>
      <c r="S165" s="3" t="s">
        <v>388</v>
      </c>
      <c r="T165" s="3">
        <v>9</v>
      </c>
      <c r="U165" s="3">
        <f>CAPSTONE_PROJECT[[#This Row],[Discharge Date]]-CAPSTONE_PROJECT[[#This Row],[Admission Date]]</f>
        <v>8</v>
      </c>
      <c r="V165" s="6">
        <f>SUM(CAPSTONE_PROJECT[[#This Row],[Room Cost]:[Treatment Cost]])</f>
        <v>7657.72</v>
      </c>
      <c r="W165" s="6">
        <f t="shared" si="2"/>
        <v>957.21500000000003</v>
      </c>
      <c r="X165" s="3" t="str">
        <f>TEXT(CAPSTONE_PROJECT[[#This Row],[Admission Date]],"mmmm")</f>
        <v>July</v>
      </c>
      <c r="Y165" s="3" t="str">
        <f>TEXT(CAPSTONE_PROJECT[[#This Row],[Admission Date]],"yyyy")</f>
        <v>2025</v>
      </c>
      <c r="Z165" s="3" t="str">
        <f>TEXT(CAPSTONE_PROJECT[[#This Row],[Admission Date]],"mmm yyyy")</f>
        <v>Jul 2025</v>
      </c>
      <c r="AA165" s="3" t="str">
        <f>TEXT(CAPSTONE_PROJECT[[#This Row],[Admission Date]],"dddd")</f>
        <v>Friday</v>
      </c>
      <c r="AB165" s="3" t="str">
        <f>IF(CAPSTONE_PROJECT[[#This Row],[Age]]&lt;=34,"Young Adults",IF(CAPSTONE_PROJECT[[#This Row],[Age]]&lt;=59,"Adults","Elders"))</f>
        <v>Adults</v>
      </c>
      <c r="AC165" s="3" t="str">
        <f>_xlfn.XLOOKUP(CAPSTONE_PROJECT[[#This Row],[Patient ID]],'Lookup table'!A:A,'Lookup table'!B:B,,0)</f>
        <v>Ella T Robinson</v>
      </c>
      <c r="AD165" s="3" t="str">
        <f>_xlfn.XLOOKUP(CAPSTONE_PROJECT[[#This Row],[Patient ID]],'Lookup table'!A:A,'Lookup table'!C:C,,0)</f>
        <v>Female</v>
      </c>
      <c r="AE165" s="3" t="str">
        <f>IF(CAPSTONE_PROJECT[[#This Row],[Length of Stay]]&lt;=3,"Short Stay",IF(CAPSTONE_PROJECT[[#This Row],[Length of Stay]]&lt;=7,"Moderate Stay",IF(CAPSTONE_PROJECT[[#This Row],[Length of Stay]]&lt;=14,"Long Stay","Extended Stay")))</f>
        <v>Long Stay</v>
      </c>
    </row>
    <row r="166" spans="1:31" x14ac:dyDescent="0.3">
      <c r="A166" s="3" t="s">
        <v>389</v>
      </c>
      <c r="B166" s="4">
        <v>45842</v>
      </c>
      <c r="C166" s="4">
        <v>45848</v>
      </c>
      <c r="D166" s="4">
        <v>18964</v>
      </c>
      <c r="E166" s="3">
        <v>74</v>
      </c>
      <c r="F166" s="3" t="s">
        <v>8</v>
      </c>
      <c r="G166" s="3" t="s">
        <v>40</v>
      </c>
      <c r="H166" s="3" t="s">
        <v>114</v>
      </c>
      <c r="I166" s="3" t="s">
        <v>13</v>
      </c>
      <c r="J166" s="3" t="s">
        <v>45</v>
      </c>
      <c r="K166" s="3" t="s">
        <v>50</v>
      </c>
      <c r="L166" s="6">
        <v>4073.43</v>
      </c>
      <c r="M166" s="6">
        <v>919.25</v>
      </c>
      <c r="N166" s="6">
        <v>429.51</v>
      </c>
      <c r="O166" s="6">
        <v>2174.9899999999998</v>
      </c>
      <c r="P166" s="3" t="s">
        <v>31</v>
      </c>
      <c r="Q166" s="3" t="s">
        <v>1087</v>
      </c>
      <c r="R166" s="3" t="s">
        <v>19</v>
      </c>
      <c r="S166" s="3" t="s">
        <v>390</v>
      </c>
      <c r="T166" s="3">
        <v>8</v>
      </c>
      <c r="U166" s="3">
        <f>CAPSTONE_PROJECT[[#This Row],[Discharge Date]]-CAPSTONE_PROJECT[[#This Row],[Admission Date]]</f>
        <v>6</v>
      </c>
      <c r="V166" s="6">
        <f>SUM(CAPSTONE_PROJECT[[#This Row],[Room Cost]:[Treatment Cost]])</f>
        <v>7597.18</v>
      </c>
      <c r="W166" s="6">
        <f t="shared" si="2"/>
        <v>1266.1966666666667</v>
      </c>
      <c r="X166" s="3" t="str">
        <f>TEXT(CAPSTONE_PROJECT[[#This Row],[Admission Date]],"mmmm")</f>
        <v>July</v>
      </c>
      <c r="Y166" s="3" t="str">
        <f>TEXT(CAPSTONE_PROJECT[[#This Row],[Admission Date]],"yyyy")</f>
        <v>2025</v>
      </c>
      <c r="Z166" s="3" t="str">
        <f>TEXT(CAPSTONE_PROJECT[[#This Row],[Admission Date]],"mmm yyyy")</f>
        <v>Jul 2025</v>
      </c>
      <c r="AA166" s="3" t="str">
        <f>TEXT(CAPSTONE_PROJECT[[#This Row],[Admission Date]],"dddd")</f>
        <v>Friday</v>
      </c>
      <c r="AB166" s="3" t="str">
        <f>IF(CAPSTONE_PROJECT[[#This Row],[Age]]&lt;=34,"Young Adults",IF(CAPSTONE_PROJECT[[#This Row],[Age]]&lt;=59,"Adults","Elders"))</f>
        <v>Elders</v>
      </c>
      <c r="AC166" s="3" t="str">
        <f>_xlfn.XLOOKUP(CAPSTONE_PROJECT[[#This Row],[Patient ID]],'Lookup table'!A:A,'Lookup table'!B:B,,0)</f>
        <v>Henry Brown</v>
      </c>
      <c r="AD166" s="3" t="str">
        <f>_xlfn.XLOOKUP(CAPSTONE_PROJECT[[#This Row],[Patient ID]],'Lookup table'!A:A,'Lookup table'!C:C,,0)</f>
        <v>Male</v>
      </c>
      <c r="AE166" s="3" t="str">
        <f>IF(CAPSTONE_PROJECT[[#This Row],[Length of Stay]]&lt;=3,"Short Stay",IF(CAPSTONE_PROJECT[[#This Row],[Length of Stay]]&lt;=7,"Moderate Stay",IF(CAPSTONE_PROJECT[[#This Row],[Length of Stay]]&lt;=14,"Long Stay","Extended Stay")))</f>
        <v>Moderate Stay</v>
      </c>
    </row>
    <row r="167" spans="1:31" x14ac:dyDescent="0.3">
      <c r="A167" s="3" t="s">
        <v>391</v>
      </c>
      <c r="B167" s="4">
        <v>45760</v>
      </c>
      <c r="C167" s="4">
        <v>45767</v>
      </c>
      <c r="D167" s="4">
        <v>25359</v>
      </c>
      <c r="E167" s="3">
        <v>57</v>
      </c>
      <c r="F167" s="3" t="s">
        <v>33</v>
      </c>
      <c r="G167" s="3" t="s">
        <v>78</v>
      </c>
      <c r="H167" s="3" t="s">
        <v>29</v>
      </c>
      <c r="I167" s="3" t="s">
        <v>44</v>
      </c>
      <c r="J167" s="3" t="s">
        <v>45</v>
      </c>
      <c r="K167" s="3" t="s">
        <v>15</v>
      </c>
      <c r="L167" s="6">
        <v>1932.16</v>
      </c>
      <c r="M167" s="6">
        <v>1757.14</v>
      </c>
      <c r="N167" s="6">
        <v>250.22</v>
      </c>
      <c r="O167" s="6">
        <v>15061.77</v>
      </c>
      <c r="P167" s="3" t="s">
        <v>51</v>
      </c>
      <c r="Q167" s="3" t="s">
        <v>1077</v>
      </c>
      <c r="R167" s="3" t="s">
        <v>75</v>
      </c>
      <c r="S167" s="3" t="s">
        <v>392</v>
      </c>
      <c r="T167" s="3">
        <v>1</v>
      </c>
      <c r="U167" s="3">
        <f>CAPSTONE_PROJECT[[#This Row],[Discharge Date]]-CAPSTONE_PROJECT[[#This Row],[Admission Date]]</f>
        <v>7</v>
      </c>
      <c r="V167" s="6">
        <f>SUM(CAPSTONE_PROJECT[[#This Row],[Room Cost]:[Treatment Cost]])</f>
        <v>19001.29</v>
      </c>
      <c r="W167" s="6">
        <f t="shared" si="2"/>
        <v>2714.4700000000003</v>
      </c>
      <c r="X167" s="3" t="str">
        <f>TEXT(CAPSTONE_PROJECT[[#This Row],[Admission Date]],"mmmm")</f>
        <v>April</v>
      </c>
      <c r="Y167" s="3" t="str">
        <f>TEXT(CAPSTONE_PROJECT[[#This Row],[Admission Date]],"yyyy")</f>
        <v>2025</v>
      </c>
      <c r="Z167" s="3" t="str">
        <f>TEXT(CAPSTONE_PROJECT[[#This Row],[Admission Date]],"mmm yyyy")</f>
        <v>Apr 2025</v>
      </c>
      <c r="AA167" s="3" t="str">
        <f>TEXT(CAPSTONE_PROJECT[[#This Row],[Admission Date]],"dddd")</f>
        <v>Sunday</v>
      </c>
      <c r="AB167" s="3" t="str">
        <f>IF(CAPSTONE_PROJECT[[#This Row],[Age]]&lt;=34,"Young Adults",IF(CAPSTONE_PROJECT[[#This Row],[Age]]&lt;=59,"Adults","Elders"))</f>
        <v>Adults</v>
      </c>
      <c r="AC167" s="3" t="str">
        <f>_xlfn.XLOOKUP(CAPSTONE_PROJECT[[#This Row],[Patient ID]],'Lookup table'!A:A,'Lookup table'!B:B,,0)</f>
        <v>Amelia Robinson</v>
      </c>
      <c r="AD167" s="3" t="str">
        <f>_xlfn.XLOOKUP(CAPSTONE_PROJECT[[#This Row],[Patient ID]],'Lookup table'!A:A,'Lookup table'!C:C,,0)</f>
        <v>Female</v>
      </c>
      <c r="AE167" s="3" t="str">
        <f>IF(CAPSTONE_PROJECT[[#This Row],[Length of Stay]]&lt;=3,"Short Stay",IF(CAPSTONE_PROJECT[[#This Row],[Length of Stay]]&lt;=7,"Moderate Stay",IF(CAPSTONE_PROJECT[[#This Row],[Length of Stay]]&lt;=14,"Long Stay","Extended Stay")))</f>
        <v>Moderate Stay</v>
      </c>
    </row>
    <row r="168" spans="1:31" x14ac:dyDescent="0.3">
      <c r="A168" s="3" t="s">
        <v>393</v>
      </c>
      <c r="B168" s="4">
        <v>45627</v>
      </c>
      <c r="C168" s="4">
        <v>45641</v>
      </c>
      <c r="D168" s="4">
        <v>33702</v>
      </c>
      <c r="E168" s="3">
        <v>34</v>
      </c>
      <c r="F168" s="3" t="s">
        <v>47</v>
      </c>
      <c r="G168" s="3" t="s">
        <v>53</v>
      </c>
      <c r="H168" s="3" t="s">
        <v>21</v>
      </c>
      <c r="I168" s="3" t="s">
        <v>44</v>
      </c>
      <c r="J168" s="3" t="s">
        <v>14</v>
      </c>
      <c r="K168" s="3" t="s">
        <v>65</v>
      </c>
      <c r="L168" s="6">
        <v>1898.27</v>
      </c>
      <c r="M168" s="6">
        <v>636.95000000000005</v>
      </c>
      <c r="N168" s="6">
        <v>2488.83</v>
      </c>
      <c r="O168" s="6">
        <v>12587.79</v>
      </c>
      <c r="P168" s="3" t="s">
        <v>51</v>
      </c>
      <c r="Q168" s="3" t="s">
        <v>1079</v>
      </c>
      <c r="R168" s="3" t="s">
        <v>35</v>
      </c>
      <c r="S168" s="3" t="s">
        <v>394</v>
      </c>
      <c r="T168" s="3">
        <v>3</v>
      </c>
      <c r="U168" s="3">
        <f>CAPSTONE_PROJECT[[#This Row],[Discharge Date]]-CAPSTONE_PROJECT[[#This Row],[Admission Date]]</f>
        <v>14</v>
      </c>
      <c r="V168" s="6">
        <f>SUM(CAPSTONE_PROJECT[[#This Row],[Room Cost]:[Treatment Cost]])</f>
        <v>17611.84</v>
      </c>
      <c r="W168" s="6">
        <f t="shared" si="2"/>
        <v>1257.9885714285715</v>
      </c>
      <c r="X168" s="3" t="str">
        <f>TEXT(CAPSTONE_PROJECT[[#This Row],[Admission Date]],"mmmm")</f>
        <v>December</v>
      </c>
      <c r="Y168" s="3" t="str">
        <f>TEXT(CAPSTONE_PROJECT[[#This Row],[Admission Date]],"yyyy")</f>
        <v>2024</v>
      </c>
      <c r="Z168" s="3" t="str">
        <f>TEXT(CAPSTONE_PROJECT[[#This Row],[Admission Date]],"mmm yyyy")</f>
        <v>Dec 2024</v>
      </c>
      <c r="AA168" s="3" t="str">
        <f>TEXT(CAPSTONE_PROJECT[[#This Row],[Admission Date]],"dddd")</f>
        <v>Sunday</v>
      </c>
      <c r="AB168" s="3" t="str">
        <f>IF(CAPSTONE_PROJECT[[#This Row],[Age]]&lt;=34,"Young Adults",IF(CAPSTONE_PROJECT[[#This Row],[Age]]&lt;=59,"Adults","Elders"))</f>
        <v>Young Adults</v>
      </c>
      <c r="AC168" s="3" t="str">
        <f>_xlfn.XLOOKUP(CAPSTONE_PROJECT[[#This Row],[Patient ID]],'Lookup table'!A:A,'Lookup table'!B:B,,0)</f>
        <v>Arthur Wilson</v>
      </c>
      <c r="AD168" s="3" t="str">
        <f>_xlfn.XLOOKUP(CAPSTONE_PROJECT[[#This Row],[Patient ID]],'Lookup table'!A:A,'Lookup table'!C:C,,0)</f>
        <v>Male</v>
      </c>
      <c r="AE168" s="3" t="str">
        <f>IF(CAPSTONE_PROJECT[[#This Row],[Length of Stay]]&lt;=3,"Short Stay",IF(CAPSTONE_PROJECT[[#This Row],[Length of Stay]]&lt;=7,"Moderate Stay",IF(CAPSTONE_PROJECT[[#This Row],[Length of Stay]]&lt;=14,"Long Stay","Extended Stay")))</f>
        <v>Long Stay</v>
      </c>
    </row>
    <row r="169" spans="1:31" x14ac:dyDescent="0.3">
      <c r="A169" s="3" t="s">
        <v>395</v>
      </c>
      <c r="B169" s="4">
        <v>45457</v>
      </c>
      <c r="C169" s="4">
        <v>45472</v>
      </c>
      <c r="D169" s="4">
        <v>27708</v>
      </c>
      <c r="E169" s="3">
        <v>50</v>
      </c>
      <c r="F169" s="3" t="s">
        <v>47</v>
      </c>
      <c r="G169" s="3" t="s">
        <v>9</v>
      </c>
      <c r="H169" s="3" t="s">
        <v>21</v>
      </c>
      <c r="I169" s="3" t="s">
        <v>22</v>
      </c>
      <c r="J169" s="3" t="s">
        <v>15</v>
      </c>
      <c r="K169" s="3" t="s">
        <v>50</v>
      </c>
      <c r="L169" s="6">
        <v>2923.58</v>
      </c>
      <c r="M169" s="6">
        <v>157.74</v>
      </c>
      <c r="N169" s="6">
        <v>2026.18</v>
      </c>
      <c r="O169" s="6">
        <v>14089.67</v>
      </c>
      <c r="P169" s="3" t="s">
        <v>16</v>
      </c>
      <c r="Q169" s="3" t="s">
        <v>1085</v>
      </c>
      <c r="R169" s="3" t="s">
        <v>19</v>
      </c>
      <c r="S169" s="3" t="s">
        <v>396</v>
      </c>
      <c r="T169" s="3">
        <v>7</v>
      </c>
      <c r="U169" s="3">
        <f>CAPSTONE_PROJECT[[#This Row],[Discharge Date]]-CAPSTONE_PROJECT[[#This Row],[Admission Date]]</f>
        <v>15</v>
      </c>
      <c r="V169" s="6">
        <f>SUM(CAPSTONE_PROJECT[[#This Row],[Room Cost]:[Treatment Cost]])</f>
        <v>19197.169999999998</v>
      </c>
      <c r="W169" s="6">
        <f t="shared" si="2"/>
        <v>1279.8113333333333</v>
      </c>
      <c r="X169" s="3" t="str">
        <f>TEXT(CAPSTONE_PROJECT[[#This Row],[Admission Date]],"mmmm")</f>
        <v>June</v>
      </c>
      <c r="Y169" s="3" t="str">
        <f>TEXT(CAPSTONE_PROJECT[[#This Row],[Admission Date]],"yyyy")</f>
        <v>2024</v>
      </c>
      <c r="Z169" s="3" t="str">
        <f>TEXT(CAPSTONE_PROJECT[[#This Row],[Admission Date]],"mmm yyyy")</f>
        <v>Jun 2024</v>
      </c>
      <c r="AA169" s="3" t="str">
        <f>TEXT(CAPSTONE_PROJECT[[#This Row],[Admission Date]],"dddd")</f>
        <v>Friday</v>
      </c>
      <c r="AB169" s="3" t="str">
        <f>IF(CAPSTONE_PROJECT[[#This Row],[Age]]&lt;=34,"Young Adults",IF(CAPSTONE_PROJECT[[#This Row],[Age]]&lt;=59,"Adults","Elders"))</f>
        <v>Adults</v>
      </c>
      <c r="AC169" s="3" t="str">
        <f>_xlfn.XLOOKUP(CAPSTONE_PROJECT[[#This Row],[Patient ID]],'Lookup table'!A:A,'Lookup table'!B:B,,0)</f>
        <v>Freya Thomas</v>
      </c>
      <c r="AD169" s="3" t="str">
        <f>_xlfn.XLOOKUP(CAPSTONE_PROJECT[[#This Row],[Patient ID]],'Lookup table'!A:A,'Lookup table'!C:C,,0)</f>
        <v>Female</v>
      </c>
      <c r="AE169" s="3" t="str">
        <f>IF(CAPSTONE_PROJECT[[#This Row],[Length of Stay]]&lt;=3,"Short Stay",IF(CAPSTONE_PROJECT[[#This Row],[Length of Stay]]&lt;=7,"Moderate Stay",IF(CAPSTONE_PROJECT[[#This Row],[Length of Stay]]&lt;=14,"Long Stay","Extended Stay")))</f>
        <v>Extended Stay</v>
      </c>
    </row>
    <row r="170" spans="1:31" x14ac:dyDescent="0.3">
      <c r="A170" s="3" t="s">
        <v>397</v>
      </c>
      <c r="B170" s="4">
        <v>45768</v>
      </c>
      <c r="C170" s="4">
        <v>45788</v>
      </c>
      <c r="D170" s="4">
        <v>19187</v>
      </c>
      <c r="E170" s="3">
        <v>73</v>
      </c>
      <c r="F170" s="3" t="s">
        <v>33</v>
      </c>
      <c r="G170" s="3" t="s">
        <v>48</v>
      </c>
      <c r="H170" s="3" t="s">
        <v>43</v>
      </c>
      <c r="I170" s="3" t="s">
        <v>22</v>
      </c>
      <c r="J170" s="3" t="s">
        <v>15</v>
      </c>
      <c r="K170" s="3" t="s">
        <v>65</v>
      </c>
      <c r="L170" s="6">
        <v>3854.62</v>
      </c>
      <c r="M170" s="6">
        <v>1139.48</v>
      </c>
      <c r="N170" s="6">
        <v>2416.9299999999998</v>
      </c>
      <c r="O170" s="6">
        <v>1910.81</v>
      </c>
      <c r="P170" s="3" t="s">
        <v>31</v>
      </c>
      <c r="Q170" s="3" t="s">
        <v>1085</v>
      </c>
      <c r="R170" s="3" t="s">
        <v>54</v>
      </c>
      <c r="S170" s="3" t="s">
        <v>398</v>
      </c>
      <c r="T170" s="3">
        <v>4</v>
      </c>
      <c r="U170" s="3">
        <f>CAPSTONE_PROJECT[[#This Row],[Discharge Date]]-CAPSTONE_PROJECT[[#This Row],[Admission Date]]</f>
        <v>20</v>
      </c>
      <c r="V170" s="6">
        <f>SUM(CAPSTONE_PROJECT[[#This Row],[Room Cost]:[Treatment Cost]])</f>
        <v>9321.84</v>
      </c>
      <c r="W170" s="6">
        <f t="shared" si="2"/>
        <v>466.09199999999998</v>
      </c>
      <c r="X170" s="3" t="str">
        <f>TEXT(CAPSTONE_PROJECT[[#This Row],[Admission Date]],"mmmm")</f>
        <v>April</v>
      </c>
      <c r="Y170" s="3" t="str">
        <f>TEXT(CAPSTONE_PROJECT[[#This Row],[Admission Date]],"yyyy")</f>
        <v>2025</v>
      </c>
      <c r="Z170" s="3" t="str">
        <f>TEXT(CAPSTONE_PROJECT[[#This Row],[Admission Date]],"mmm yyyy")</f>
        <v>Apr 2025</v>
      </c>
      <c r="AA170" s="3" t="str">
        <f>TEXT(CAPSTONE_PROJECT[[#This Row],[Admission Date]],"dddd")</f>
        <v>Monday</v>
      </c>
      <c r="AB170" s="3" t="str">
        <f>IF(CAPSTONE_PROJECT[[#This Row],[Age]]&lt;=34,"Young Adults",IF(CAPSTONE_PROJECT[[#This Row],[Age]]&lt;=59,"Adults","Elders"))</f>
        <v>Elders</v>
      </c>
      <c r="AC170" s="3" t="str">
        <f>_xlfn.XLOOKUP(CAPSTONE_PROJECT[[#This Row],[Patient ID]],'Lookup table'!A:A,'Lookup table'!B:B,,0)</f>
        <v>Daniel Wilson</v>
      </c>
      <c r="AD170" s="3" t="str">
        <f>_xlfn.XLOOKUP(CAPSTONE_PROJECT[[#This Row],[Patient ID]],'Lookup table'!A:A,'Lookup table'!C:C,,0)</f>
        <v>Male</v>
      </c>
      <c r="AE170" s="3" t="str">
        <f>IF(CAPSTONE_PROJECT[[#This Row],[Length of Stay]]&lt;=3,"Short Stay",IF(CAPSTONE_PROJECT[[#This Row],[Length of Stay]]&lt;=7,"Moderate Stay",IF(CAPSTONE_PROJECT[[#This Row],[Length of Stay]]&lt;=14,"Long Stay","Extended Stay")))</f>
        <v>Extended Stay</v>
      </c>
    </row>
    <row r="171" spans="1:31" x14ac:dyDescent="0.3">
      <c r="A171" s="3" t="s">
        <v>399</v>
      </c>
      <c r="B171" s="4">
        <v>45981</v>
      </c>
      <c r="C171" s="4">
        <v>45984</v>
      </c>
      <c r="D171" s="4">
        <v>26949</v>
      </c>
      <c r="E171" s="3">
        <v>52</v>
      </c>
      <c r="F171" s="3" t="s">
        <v>47</v>
      </c>
      <c r="G171" s="3" t="s">
        <v>48</v>
      </c>
      <c r="H171" s="3" t="s">
        <v>72</v>
      </c>
      <c r="I171" s="3" t="s">
        <v>37</v>
      </c>
      <c r="J171" s="3" t="s">
        <v>30</v>
      </c>
      <c r="K171" s="3" t="s">
        <v>50</v>
      </c>
      <c r="L171" s="6">
        <v>3809.77</v>
      </c>
      <c r="M171" s="6">
        <v>77.58</v>
      </c>
      <c r="N171" s="6">
        <v>1739.79</v>
      </c>
      <c r="O171" s="6">
        <v>8610.7000000000007</v>
      </c>
      <c r="P171" s="3" t="s">
        <v>31</v>
      </c>
      <c r="Q171" s="3" t="s">
        <v>1087</v>
      </c>
      <c r="R171" s="3" t="s">
        <v>41</v>
      </c>
      <c r="S171" s="3" t="s">
        <v>400</v>
      </c>
      <c r="T171" s="3">
        <v>5</v>
      </c>
      <c r="U171" s="3">
        <f>CAPSTONE_PROJECT[[#This Row],[Discharge Date]]-CAPSTONE_PROJECT[[#This Row],[Admission Date]]</f>
        <v>3</v>
      </c>
      <c r="V171" s="6">
        <f>SUM(CAPSTONE_PROJECT[[#This Row],[Room Cost]:[Treatment Cost]])</f>
        <v>14237.84</v>
      </c>
      <c r="W171" s="6">
        <f t="shared" si="2"/>
        <v>4745.9466666666667</v>
      </c>
      <c r="X171" s="3" t="str">
        <f>TEXT(CAPSTONE_PROJECT[[#This Row],[Admission Date]],"mmmm")</f>
        <v>November</v>
      </c>
      <c r="Y171" s="3" t="str">
        <f>TEXT(CAPSTONE_PROJECT[[#This Row],[Admission Date]],"yyyy")</f>
        <v>2025</v>
      </c>
      <c r="Z171" s="3" t="str">
        <f>TEXT(CAPSTONE_PROJECT[[#This Row],[Admission Date]],"mmm yyyy")</f>
        <v>Nov 2025</v>
      </c>
      <c r="AA171" s="3" t="str">
        <f>TEXT(CAPSTONE_PROJECT[[#This Row],[Admission Date]],"dddd")</f>
        <v>Thursday</v>
      </c>
      <c r="AB171" s="3" t="str">
        <f>IF(CAPSTONE_PROJECT[[#This Row],[Age]]&lt;=34,"Young Adults",IF(CAPSTONE_PROJECT[[#This Row],[Age]]&lt;=59,"Adults","Elders"))</f>
        <v>Adults</v>
      </c>
      <c r="AC171" s="3" t="str">
        <f>_xlfn.XLOOKUP(CAPSTONE_PROJECT[[#This Row],[Patient ID]],'Lookup table'!A:A,'Lookup table'!B:B,,0)</f>
        <v>Freya Wilson</v>
      </c>
      <c r="AD171" s="3" t="str">
        <f>_xlfn.XLOOKUP(CAPSTONE_PROJECT[[#This Row],[Patient ID]],'Lookup table'!A:A,'Lookup table'!C:C,,0)</f>
        <v>Female</v>
      </c>
      <c r="AE171" s="3" t="str">
        <f>IF(CAPSTONE_PROJECT[[#This Row],[Length of Stay]]&lt;=3,"Short Stay",IF(CAPSTONE_PROJECT[[#This Row],[Length of Stay]]&lt;=7,"Moderate Stay",IF(CAPSTONE_PROJECT[[#This Row],[Length of Stay]]&lt;=14,"Long Stay","Extended Stay")))</f>
        <v>Short Stay</v>
      </c>
    </row>
    <row r="172" spans="1:31" x14ac:dyDescent="0.3">
      <c r="A172" s="3" t="s">
        <v>401</v>
      </c>
      <c r="B172" s="4">
        <v>45824</v>
      </c>
      <c r="C172" s="4">
        <v>45835</v>
      </c>
      <c r="D172" s="4">
        <v>36643</v>
      </c>
      <c r="E172" s="3">
        <v>26</v>
      </c>
      <c r="F172" s="3" t="s">
        <v>18</v>
      </c>
      <c r="G172" s="3" t="s">
        <v>67</v>
      </c>
      <c r="H172" s="3" t="s">
        <v>111</v>
      </c>
      <c r="I172" s="3" t="s">
        <v>37</v>
      </c>
      <c r="J172" s="3" t="s">
        <v>23</v>
      </c>
      <c r="K172" s="3" t="s">
        <v>24</v>
      </c>
      <c r="L172" s="6">
        <v>1488.18</v>
      </c>
      <c r="M172" s="6">
        <v>613.11</v>
      </c>
      <c r="N172" s="6">
        <v>2100.34</v>
      </c>
      <c r="O172" s="6">
        <v>8925.2099999999991</v>
      </c>
      <c r="P172" s="3" t="s">
        <v>25</v>
      </c>
      <c r="Q172" s="3" t="s">
        <v>1081</v>
      </c>
      <c r="R172" s="3" t="s">
        <v>41</v>
      </c>
      <c r="S172" s="3" t="s">
        <v>402</v>
      </c>
      <c r="T172" s="3">
        <v>9</v>
      </c>
      <c r="U172" s="3">
        <f>CAPSTONE_PROJECT[[#This Row],[Discharge Date]]-CAPSTONE_PROJECT[[#This Row],[Admission Date]]</f>
        <v>11</v>
      </c>
      <c r="V172" s="6">
        <f>SUM(CAPSTONE_PROJECT[[#This Row],[Room Cost]:[Treatment Cost]])</f>
        <v>13126.84</v>
      </c>
      <c r="W172" s="6">
        <f t="shared" si="2"/>
        <v>1193.3490909090908</v>
      </c>
      <c r="X172" s="3" t="str">
        <f>TEXT(CAPSTONE_PROJECT[[#This Row],[Admission Date]],"mmmm")</f>
        <v>June</v>
      </c>
      <c r="Y172" s="3" t="str">
        <f>TEXT(CAPSTONE_PROJECT[[#This Row],[Admission Date]],"yyyy")</f>
        <v>2025</v>
      </c>
      <c r="Z172" s="3" t="str">
        <f>TEXT(CAPSTONE_PROJECT[[#This Row],[Admission Date]],"mmm yyyy")</f>
        <v>Jun 2025</v>
      </c>
      <c r="AA172" s="3" t="str">
        <f>TEXT(CAPSTONE_PROJECT[[#This Row],[Admission Date]],"dddd")</f>
        <v>Monday</v>
      </c>
      <c r="AB172" s="3" t="str">
        <f>IF(CAPSTONE_PROJECT[[#This Row],[Age]]&lt;=34,"Young Adults",IF(CAPSTONE_PROJECT[[#This Row],[Age]]&lt;=59,"Adults","Elders"))</f>
        <v>Young Adults</v>
      </c>
      <c r="AC172" s="3" t="str">
        <f>_xlfn.XLOOKUP(CAPSTONE_PROJECT[[#This Row],[Patient ID]],'Lookup table'!A:A,'Lookup table'!B:B,,0)</f>
        <v>Lucas Thomas</v>
      </c>
      <c r="AD172" s="3" t="str">
        <f>_xlfn.XLOOKUP(CAPSTONE_PROJECT[[#This Row],[Patient ID]],'Lookup table'!A:A,'Lookup table'!C:C,,0)</f>
        <v>Male</v>
      </c>
      <c r="AE172" s="3" t="str">
        <f>IF(CAPSTONE_PROJECT[[#This Row],[Length of Stay]]&lt;=3,"Short Stay",IF(CAPSTONE_PROJECT[[#This Row],[Length of Stay]]&lt;=7,"Moderate Stay",IF(CAPSTONE_PROJECT[[#This Row],[Length of Stay]]&lt;=14,"Long Stay","Extended Stay")))</f>
        <v>Long Stay</v>
      </c>
    </row>
    <row r="173" spans="1:31" x14ac:dyDescent="0.3">
      <c r="A173" s="3" t="s">
        <v>403</v>
      </c>
      <c r="B173" s="4">
        <v>45334</v>
      </c>
      <c r="C173" s="4">
        <v>45345</v>
      </c>
      <c r="D173" s="4">
        <v>20183</v>
      </c>
      <c r="E173" s="3">
        <v>71</v>
      </c>
      <c r="F173" s="3" t="s">
        <v>33</v>
      </c>
      <c r="G173" s="3" t="s">
        <v>57</v>
      </c>
      <c r="H173" s="3" t="s">
        <v>21</v>
      </c>
      <c r="I173" s="3" t="s">
        <v>13</v>
      </c>
      <c r="J173" s="3" t="s">
        <v>23</v>
      </c>
      <c r="K173" s="3" t="s">
        <v>24</v>
      </c>
      <c r="L173" s="6">
        <v>4671.5600000000004</v>
      </c>
      <c r="M173" s="6">
        <v>730.36</v>
      </c>
      <c r="N173" s="6">
        <v>946.25</v>
      </c>
      <c r="O173" s="6">
        <v>3060.29</v>
      </c>
      <c r="P173" s="3" t="s">
        <v>51</v>
      </c>
      <c r="Q173" s="3" t="s">
        <v>1082</v>
      </c>
      <c r="R173" s="3" t="s">
        <v>41</v>
      </c>
      <c r="S173" s="3" t="s">
        <v>404</v>
      </c>
      <c r="T173" s="3">
        <v>1</v>
      </c>
      <c r="U173" s="3">
        <f>CAPSTONE_PROJECT[[#This Row],[Discharge Date]]-CAPSTONE_PROJECT[[#This Row],[Admission Date]]</f>
        <v>11</v>
      </c>
      <c r="V173" s="6">
        <f>SUM(CAPSTONE_PROJECT[[#This Row],[Room Cost]:[Treatment Cost]])</f>
        <v>9408.4599999999991</v>
      </c>
      <c r="W173" s="6">
        <f t="shared" si="2"/>
        <v>855.3145454545454</v>
      </c>
      <c r="X173" s="3" t="str">
        <f>TEXT(CAPSTONE_PROJECT[[#This Row],[Admission Date]],"mmmm")</f>
        <v>February</v>
      </c>
      <c r="Y173" s="3" t="str">
        <f>TEXT(CAPSTONE_PROJECT[[#This Row],[Admission Date]],"yyyy")</f>
        <v>2024</v>
      </c>
      <c r="Z173" s="3" t="str">
        <f>TEXT(CAPSTONE_PROJECT[[#This Row],[Admission Date]],"mmm yyyy")</f>
        <v>Feb 2024</v>
      </c>
      <c r="AA173" s="3" t="str">
        <f>TEXT(CAPSTONE_PROJECT[[#This Row],[Admission Date]],"dddd")</f>
        <v>Monday</v>
      </c>
      <c r="AB173" s="3" t="str">
        <f>IF(CAPSTONE_PROJECT[[#This Row],[Age]]&lt;=34,"Young Adults",IF(CAPSTONE_PROJECT[[#This Row],[Age]]&lt;=59,"Adults","Elders"))</f>
        <v>Elders</v>
      </c>
      <c r="AC173" s="3" t="str">
        <f>_xlfn.XLOOKUP(CAPSTONE_PROJECT[[#This Row],[Patient ID]],'Lookup table'!A:A,'Lookup table'!B:B,,0)</f>
        <v>Ava Robinson</v>
      </c>
      <c r="AD173" s="3" t="str">
        <f>_xlfn.XLOOKUP(CAPSTONE_PROJECT[[#This Row],[Patient ID]],'Lookup table'!A:A,'Lookup table'!C:C,,0)</f>
        <v>Female</v>
      </c>
      <c r="AE173" s="3" t="str">
        <f>IF(CAPSTONE_PROJECT[[#This Row],[Length of Stay]]&lt;=3,"Short Stay",IF(CAPSTONE_PROJECT[[#This Row],[Length of Stay]]&lt;=7,"Moderate Stay",IF(CAPSTONE_PROJECT[[#This Row],[Length of Stay]]&lt;=14,"Long Stay","Extended Stay")))</f>
        <v>Long Stay</v>
      </c>
    </row>
    <row r="174" spans="1:31" x14ac:dyDescent="0.3">
      <c r="A174" s="3" t="s">
        <v>405</v>
      </c>
      <c r="B174" s="4">
        <v>45879</v>
      </c>
      <c r="C174" s="4">
        <v>45884</v>
      </c>
      <c r="D174" s="4">
        <v>37401</v>
      </c>
      <c r="E174" s="3">
        <v>24</v>
      </c>
      <c r="F174" s="3" t="s">
        <v>8</v>
      </c>
      <c r="G174" s="3" t="s">
        <v>126</v>
      </c>
      <c r="H174" s="3" t="s">
        <v>21</v>
      </c>
      <c r="I174" s="3" t="s">
        <v>22</v>
      </c>
      <c r="J174" s="3" t="s">
        <v>73</v>
      </c>
      <c r="K174" s="3" t="s">
        <v>50</v>
      </c>
      <c r="L174" s="6">
        <v>2395.5700000000002</v>
      </c>
      <c r="M174" s="6">
        <v>217.92</v>
      </c>
      <c r="N174" s="6">
        <v>2883.23</v>
      </c>
      <c r="O174" s="6">
        <v>10584.43</v>
      </c>
      <c r="P174" s="3" t="s">
        <v>25</v>
      </c>
      <c r="Q174" s="3" t="s">
        <v>1078</v>
      </c>
      <c r="R174" s="3" t="s">
        <v>10</v>
      </c>
      <c r="S174" s="3" t="s">
        <v>406</v>
      </c>
      <c r="T174" s="3">
        <v>8</v>
      </c>
      <c r="U174" s="3">
        <f>CAPSTONE_PROJECT[[#This Row],[Discharge Date]]-CAPSTONE_PROJECT[[#This Row],[Admission Date]]</f>
        <v>5</v>
      </c>
      <c r="V174" s="6">
        <f>SUM(CAPSTONE_PROJECT[[#This Row],[Room Cost]:[Treatment Cost]])</f>
        <v>16081.150000000001</v>
      </c>
      <c r="W174" s="6">
        <f t="shared" si="2"/>
        <v>3216.2300000000005</v>
      </c>
      <c r="X174" s="3" t="str">
        <f>TEXT(CAPSTONE_PROJECT[[#This Row],[Admission Date]],"mmmm")</f>
        <v>August</v>
      </c>
      <c r="Y174" s="3" t="str">
        <f>TEXT(CAPSTONE_PROJECT[[#This Row],[Admission Date]],"yyyy")</f>
        <v>2025</v>
      </c>
      <c r="Z174" s="3" t="str">
        <f>TEXT(CAPSTONE_PROJECT[[#This Row],[Admission Date]],"mmm yyyy")</f>
        <v>Aug 2025</v>
      </c>
      <c r="AA174" s="3" t="str">
        <f>TEXT(CAPSTONE_PROJECT[[#This Row],[Admission Date]],"dddd")</f>
        <v>Sunday</v>
      </c>
      <c r="AB174" s="3" t="str">
        <f>IF(CAPSTONE_PROJECT[[#This Row],[Age]]&lt;=34,"Young Adults",IF(CAPSTONE_PROJECT[[#This Row],[Age]]&lt;=59,"Adults","Elders"))</f>
        <v>Young Adults</v>
      </c>
      <c r="AC174" s="3" t="str">
        <f>_xlfn.XLOOKUP(CAPSTONE_PROJECT[[#This Row],[Patient ID]],'Lookup table'!A:A,'Lookup table'!B:B,,0)</f>
        <v>Benjamin W Martin</v>
      </c>
      <c r="AD174" s="3" t="str">
        <f>_xlfn.XLOOKUP(CAPSTONE_PROJECT[[#This Row],[Patient ID]],'Lookup table'!A:A,'Lookup table'!C:C,,0)</f>
        <v>Male</v>
      </c>
      <c r="AE174" s="3" t="str">
        <f>IF(CAPSTONE_PROJECT[[#This Row],[Length of Stay]]&lt;=3,"Short Stay",IF(CAPSTONE_PROJECT[[#This Row],[Length of Stay]]&lt;=7,"Moderate Stay",IF(CAPSTONE_PROJECT[[#This Row],[Length of Stay]]&lt;=14,"Long Stay","Extended Stay")))</f>
        <v>Moderate Stay</v>
      </c>
    </row>
    <row r="175" spans="1:31" x14ac:dyDescent="0.3">
      <c r="A175" s="3" t="s">
        <v>407</v>
      </c>
      <c r="B175" s="4">
        <v>45794</v>
      </c>
      <c r="C175" s="4">
        <v>45805</v>
      </c>
      <c r="D175" s="4">
        <v>28313</v>
      </c>
      <c r="E175" s="3">
        <v>48</v>
      </c>
      <c r="F175" s="3" t="s">
        <v>8</v>
      </c>
      <c r="G175" s="3" t="s">
        <v>67</v>
      </c>
      <c r="H175" s="3" t="s">
        <v>21</v>
      </c>
      <c r="I175" s="3" t="s">
        <v>13</v>
      </c>
      <c r="J175" s="3" t="s">
        <v>38</v>
      </c>
      <c r="K175" s="3" t="s">
        <v>50</v>
      </c>
      <c r="L175" s="6">
        <v>3644.86</v>
      </c>
      <c r="M175" s="6">
        <v>874.98</v>
      </c>
      <c r="N175" s="6">
        <v>1692.79</v>
      </c>
      <c r="O175" s="6">
        <v>14428</v>
      </c>
      <c r="P175" s="3" t="s">
        <v>25</v>
      </c>
      <c r="Q175" s="3" t="s">
        <v>1085</v>
      </c>
      <c r="R175" s="3" t="s">
        <v>68</v>
      </c>
      <c r="S175" s="3" t="s">
        <v>408</v>
      </c>
      <c r="T175" s="3">
        <v>7</v>
      </c>
      <c r="U175" s="3">
        <f>CAPSTONE_PROJECT[[#This Row],[Discharge Date]]-CAPSTONE_PROJECT[[#This Row],[Admission Date]]</f>
        <v>11</v>
      </c>
      <c r="V175" s="6">
        <f>SUM(CAPSTONE_PROJECT[[#This Row],[Room Cost]:[Treatment Cost]])</f>
        <v>20640.63</v>
      </c>
      <c r="W175" s="6">
        <f t="shared" si="2"/>
        <v>1876.4209090909092</v>
      </c>
      <c r="X175" s="3" t="str">
        <f>TEXT(CAPSTONE_PROJECT[[#This Row],[Admission Date]],"mmmm")</f>
        <v>May</v>
      </c>
      <c r="Y175" s="3" t="str">
        <f>TEXT(CAPSTONE_PROJECT[[#This Row],[Admission Date]],"yyyy")</f>
        <v>2025</v>
      </c>
      <c r="Z175" s="3" t="str">
        <f>TEXT(CAPSTONE_PROJECT[[#This Row],[Admission Date]],"mmm yyyy")</f>
        <v>May 2025</v>
      </c>
      <c r="AA175" s="3" t="str">
        <f>TEXT(CAPSTONE_PROJECT[[#This Row],[Admission Date]],"dddd")</f>
        <v>Saturday</v>
      </c>
      <c r="AB175" s="3" t="str">
        <f>IF(CAPSTONE_PROJECT[[#This Row],[Age]]&lt;=34,"Young Adults",IF(CAPSTONE_PROJECT[[#This Row],[Age]]&lt;=59,"Adults","Elders"))</f>
        <v>Adults</v>
      </c>
      <c r="AC175" s="3" t="str">
        <f>_xlfn.XLOOKUP(CAPSTONE_PROJECT[[#This Row],[Patient ID]],'Lookup table'!A:A,'Lookup table'!B:B,,0)</f>
        <v>Grace V Martin</v>
      </c>
      <c r="AD175" s="3" t="str">
        <f>_xlfn.XLOOKUP(CAPSTONE_PROJECT[[#This Row],[Patient ID]],'Lookup table'!A:A,'Lookup table'!C:C,,0)</f>
        <v>Female</v>
      </c>
      <c r="AE175" s="3" t="str">
        <f>IF(CAPSTONE_PROJECT[[#This Row],[Length of Stay]]&lt;=3,"Short Stay",IF(CAPSTONE_PROJECT[[#This Row],[Length of Stay]]&lt;=7,"Moderate Stay",IF(CAPSTONE_PROJECT[[#This Row],[Length of Stay]]&lt;=14,"Long Stay","Extended Stay")))</f>
        <v>Long Stay</v>
      </c>
    </row>
    <row r="176" spans="1:31" x14ac:dyDescent="0.3">
      <c r="A176" s="3" t="s">
        <v>409</v>
      </c>
      <c r="B176" s="4">
        <v>45829</v>
      </c>
      <c r="C176" s="4">
        <v>45840</v>
      </c>
      <c r="D176" s="4">
        <v>21321</v>
      </c>
      <c r="E176" s="3">
        <v>68</v>
      </c>
      <c r="F176" s="3" t="s">
        <v>18</v>
      </c>
      <c r="G176" s="3" t="s">
        <v>40</v>
      </c>
      <c r="H176" s="3" t="s">
        <v>100</v>
      </c>
      <c r="I176" s="3" t="s">
        <v>22</v>
      </c>
      <c r="J176" s="3" t="s">
        <v>30</v>
      </c>
      <c r="K176" s="3" t="s">
        <v>15</v>
      </c>
      <c r="L176" s="6">
        <v>135.4</v>
      </c>
      <c r="M176" s="6">
        <v>681.8</v>
      </c>
      <c r="N176" s="6">
        <v>412.66</v>
      </c>
      <c r="O176" s="6">
        <v>4204.84</v>
      </c>
      <c r="P176" s="3" t="s">
        <v>16</v>
      </c>
      <c r="Q176" s="3" t="s">
        <v>1082</v>
      </c>
      <c r="R176" s="3" t="s">
        <v>41</v>
      </c>
      <c r="S176" s="3" t="s">
        <v>410</v>
      </c>
      <c r="T176" s="3">
        <v>5</v>
      </c>
      <c r="U176" s="3">
        <f>CAPSTONE_PROJECT[[#This Row],[Discharge Date]]-CAPSTONE_PROJECT[[#This Row],[Admission Date]]</f>
        <v>11</v>
      </c>
      <c r="V176" s="6">
        <f>SUM(CAPSTONE_PROJECT[[#This Row],[Room Cost]:[Treatment Cost]])</f>
        <v>5434.7</v>
      </c>
      <c r="W176" s="6">
        <f t="shared" si="2"/>
        <v>494.06363636363636</v>
      </c>
      <c r="X176" s="3" t="str">
        <f>TEXT(CAPSTONE_PROJECT[[#This Row],[Admission Date]],"mmmm")</f>
        <v>June</v>
      </c>
      <c r="Y176" s="3" t="str">
        <f>TEXT(CAPSTONE_PROJECT[[#This Row],[Admission Date]],"yyyy")</f>
        <v>2025</v>
      </c>
      <c r="Z176" s="3" t="str">
        <f>TEXT(CAPSTONE_PROJECT[[#This Row],[Admission Date]],"mmm yyyy")</f>
        <v>Jun 2025</v>
      </c>
      <c r="AA176" s="3" t="str">
        <f>TEXT(CAPSTONE_PROJECT[[#This Row],[Admission Date]],"dddd")</f>
        <v>Saturday</v>
      </c>
      <c r="AB176" s="3" t="str">
        <f>IF(CAPSTONE_PROJECT[[#This Row],[Age]]&lt;=34,"Young Adults",IF(CAPSTONE_PROJECT[[#This Row],[Age]]&lt;=59,"Adults","Elders"))</f>
        <v>Elders</v>
      </c>
      <c r="AC176" s="3" t="str">
        <f>_xlfn.XLOOKUP(CAPSTONE_PROJECT[[#This Row],[Patient ID]],'Lookup table'!A:A,'Lookup table'!B:B,,0)</f>
        <v>Ethan Q Walker</v>
      </c>
      <c r="AD176" s="3" t="str">
        <f>_xlfn.XLOOKUP(CAPSTONE_PROJECT[[#This Row],[Patient ID]],'Lookup table'!A:A,'Lookup table'!C:C,,0)</f>
        <v>Male</v>
      </c>
      <c r="AE176" s="3" t="str">
        <f>IF(CAPSTONE_PROJECT[[#This Row],[Length of Stay]]&lt;=3,"Short Stay",IF(CAPSTONE_PROJECT[[#This Row],[Length of Stay]]&lt;=7,"Moderate Stay",IF(CAPSTONE_PROJECT[[#This Row],[Length of Stay]]&lt;=14,"Long Stay","Extended Stay")))</f>
        <v>Long Stay</v>
      </c>
    </row>
    <row r="177" spans="1:31" x14ac:dyDescent="0.3">
      <c r="A177" s="3" t="s">
        <v>411</v>
      </c>
      <c r="B177" s="4">
        <v>45719</v>
      </c>
      <c r="C177" s="4">
        <v>45725</v>
      </c>
      <c r="D177" s="4">
        <v>31726</v>
      </c>
      <c r="E177" s="3">
        <v>39</v>
      </c>
      <c r="F177" s="3" t="s">
        <v>33</v>
      </c>
      <c r="G177" s="3" t="s">
        <v>61</v>
      </c>
      <c r="H177" s="3" t="s">
        <v>1080</v>
      </c>
      <c r="I177" s="3" t="s">
        <v>22</v>
      </c>
      <c r="J177" s="3" t="s">
        <v>73</v>
      </c>
      <c r="K177" s="3" t="s">
        <v>50</v>
      </c>
      <c r="L177" s="6">
        <v>2764.1</v>
      </c>
      <c r="M177" s="6">
        <v>1445.77</v>
      </c>
      <c r="N177" s="6">
        <v>614.47</v>
      </c>
      <c r="O177" s="6">
        <v>10087.51</v>
      </c>
      <c r="P177" s="3" t="s">
        <v>31</v>
      </c>
      <c r="Q177" s="3" t="s">
        <v>1085</v>
      </c>
      <c r="R177" s="3" t="s">
        <v>10</v>
      </c>
      <c r="S177" s="3" t="s">
        <v>412</v>
      </c>
      <c r="T177" s="3">
        <v>8</v>
      </c>
      <c r="U177" s="3">
        <f>CAPSTONE_PROJECT[[#This Row],[Discharge Date]]-CAPSTONE_PROJECT[[#This Row],[Admission Date]]</f>
        <v>6</v>
      </c>
      <c r="V177" s="6">
        <f>SUM(CAPSTONE_PROJECT[[#This Row],[Room Cost]:[Treatment Cost]])</f>
        <v>14911.85</v>
      </c>
      <c r="W177" s="6">
        <f t="shared" si="2"/>
        <v>2485.3083333333334</v>
      </c>
      <c r="X177" s="3" t="str">
        <f>TEXT(CAPSTONE_PROJECT[[#This Row],[Admission Date]],"mmmm")</f>
        <v>March</v>
      </c>
      <c r="Y177" s="3" t="str">
        <f>TEXT(CAPSTONE_PROJECT[[#This Row],[Admission Date]],"yyyy")</f>
        <v>2025</v>
      </c>
      <c r="Z177" s="3" t="str">
        <f>TEXT(CAPSTONE_PROJECT[[#This Row],[Admission Date]],"mmm yyyy")</f>
        <v>Mar 2025</v>
      </c>
      <c r="AA177" s="3" t="str">
        <f>TEXT(CAPSTONE_PROJECT[[#This Row],[Admission Date]],"dddd")</f>
        <v>Monday</v>
      </c>
      <c r="AB177" s="3" t="str">
        <f>IF(CAPSTONE_PROJECT[[#This Row],[Age]]&lt;=34,"Young Adults",IF(CAPSTONE_PROJECT[[#This Row],[Age]]&lt;=59,"Adults","Elders"))</f>
        <v>Adults</v>
      </c>
      <c r="AC177" s="3" t="str">
        <f>_xlfn.XLOOKUP(CAPSTONE_PROJECT[[#This Row],[Patient ID]],'Lookup table'!A:A,'Lookup table'!B:B,,0)</f>
        <v>Mia Walker</v>
      </c>
      <c r="AD177" s="3" t="str">
        <f>_xlfn.XLOOKUP(CAPSTONE_PROJECT[[#This Row],[Patient ID]],'Lookup table'!A:A,'Lookup table'!C:C,,0)</f>
        <v>Female</v>
      </c>
      <c r="AE177" s="3" t="str">
        <f>IF(CAPSTONE_PROJECT[[#This Row],[Length of Stay]]&lt;=3,"Short Stay",IF(CAPSTONE_PROJECT[[#This Row],[Length of Stay]]&lt;=7,"Moderate Stay",IF(CAPSTONE_PROJECT[[#This Row],[Length of Stay]]&lt;=14,"Long Stay","Extended Stay")))</f>
        <v>Moderate Stay</v>
      </c>
    </row>
    <row r="178" spans="1:31" x14ac:dyDescent="0.3">
      <c r="A178" s="3" t="s">
        <v>413</v>
      </c>
      <c r="B178" s="4">
        <v>45943</v>
      </c>
      <c r="C178" s="4">
        <v>45955</v>
      </c>
      <c r="D178" s="4">
        <v>22811</v>
      </c>
      <c r="E178" s="3">
        <v>63</v>
      </c>
      <c r="F178" s="3" t="s">
        <v>8</v>
      </c>
      <c r="G178" s="3" t="s">
        <v>34</v>
      </c>
      <c r="H178" s="3" t="s">
        <v>43</v>
      </c>
      <c r="I178" s="3" t="s">
        <v>22</v>
      </c>
      <c r="J178" s="3" t="s">
        <v>23</v>
      </c>
      <c r="K178" s="3" t="s">
        <v>50</v>
      </c>
      <c r="L178" s="6">
        <v>4113.2</v>
      </c>
      <c r="M178" s="6">
        <v>1951.54</v>
      </c>
      <c r="N178" s="6">
        <v>2173.38</v>
      </c>
      <c r="O178" s="6">
        <v>9270.42</v>
      </c>
      <c r="P178" s="3" t="s">
        <v>31</v>
      </c>
      <c r="Q178" s="3" t="s">
        <v>1084</v>
      </c>
      <c r="R178" s="3" t="s">
        <v>62</v>
      </c>
      <c r="S178" s="3" t="s">
        <v>414</v>
      </c>
      <c r="T178" s="3">
        <v>3</v>
      </c>
      <c r="U178" s="3">
        <f>CAPSTONE_PROJECT[[#This Row],[Discharge Date]]-CAPSTONE_PROJECT[[#This Row],[Admission Date]]</f>
        <v>12</v>
      </c>
      <c r="V178" s="6">
        <f>SUM(CAPSTONE_PROJECT[[#This Row],[Room Cost]:[Treatment Cost]])</f>
        <v>17508.54</v>
      </c>
      <c r="W178" s="6">
        <f t="shared" si="2"/>
        <v>1459.0450000000001</v>
      </c>
      <c r="X178" s="3" t="str">
        <f>TEXT(CAPSTONE_PROJECT[[#This Row],[Admission Date]],"mmmm")</f>
        <v>October</v>
      </c>
      <c r="Y178" s="3" t="str">
        <f>TEXT(CAPSTONE_PROJECT[[#This Row],[Admission Date]],"yyyy")</f>
        <v>2025</v>
      </c>
      <c r="Z178" s="3" t="str">
        <f>TEXT(CAPSTONE_PROJECT[[#This Row],[Admission Date]],"mmm yyyy")</f>
        <v>Oct 2025</v>
      </c>
      <c r="AA178" s="3" t="str">
        <f>TEXT(CAPSTONE_PROJECT[[#This Row],[Admission Date]],"dddd")</f>
        <v>Monday</v>
      </c>
      <c r="AB178" s="3" t="str">
        <f>IF(CAPSTONE_PROJECT[[#This Row],[Age]]&lt;=34,"Young Adults",IF(CAPSTONE_PROJECT[[#This Row],[Age]]&lt;=59,"Adults","Elders"))</f>
        <v>Elders</v>
      </c>
      <c r="AC178" s="3" t="str">
        <f>_xlfn.XLOOKUP(CAPSTONE_PROJECT[[#This Row],[Patient ID]],'Lookup table'!A:A,'Lookup table'!B:B,,0)</f>
        <v>Arthur Smith</v>
      </c>
      <c r="AD178" s="3" t="str">
        <f>_xlfn.XLOOKUP(CAPSTONE_PROJECT[[#This Row],[Patient ID]],'Lookup table'!A:A,'Lookup table'!C:C,,0)</f>
        <v>Male</v>
      </c>
      <c r="AE178" s="3" t="str">
        <f>IF(CAPSTONE_PROJECT[[#This Row],[Length of Stay]]&lt;=3,"Short Stay",IF(CAPSTONE_PROJECT[[#This Row],[Length of Stay]]&lt;=7,"Moderate Stay",IF(CAPSTONE_PROJECT[[#This Row],[Length of Stay]]&lt;=14,"Long Stay","Extended Stay")))</f>
        <v>Long Stay</v>
      </c>
    </row>
    <row r="179" spans="1:31" x14ac:dyDescent="0.3">
      <c r="A179" s="3" t="s">
        <v>415</v>
      </c>
      <c r="B179" s="4">
        <v>45484</v>
      </c>
      <c r="C179" s="4">
        <v>45502</v>
      </c>
      <c r="D179" s="4">
        <v>19975</v>
      </c>
      <c r="E179" s="3">
        <v>71</v>
      </c>
      <c r="F179" s="3" t="s">
        <v>8</v>
      </c>
      <c r="G179" s="3" t="s">
        <v>67</v>
      </c>
      <c r="H179" s="3" t="s">
        <v>21</v>
      </c>
      <c r="I179" s="3" t="s">
        <v>37</v>
      </c>
      <c r="J179" s="3" t="s">
        <v>30</v>
      </c>
      <c r="K179" s="3" t="s">
        <v>65</v>
      </c>
      <c r="L179" s="6">
        <v>1334.8</v>
      </c>
      <c r="M179" s="6">
        <v>655.27</v>
      </c>
      <c r="N179" s="6">
        <v>0</v>
      </c>
      <c r="O179" s="6">
        <v>0</v>
      </c>
      <c r="P179" s="3" t="s">
        <v>31</v>
      </c>
      <c r="Q179" s="3" t="s">
        <v>1084</v>
      </c>
      <c r="R179" s="3" t="s">
        <v>75</v>
      </c>
      <c r="S179" s="3" t="s">
        <v>416</v>
      </c>
      <c r="T179" s="3">
        <v>2</v>
      </c>
      <c r="U179" s="3">
        <f>CAPSTONE_PROJECT[[#This Row],[Discharge Date]]-CAPSTONE_PROJECT[[#This Row],[Admission Date]]</f>
        <v>18</v>
      </c>
      <c r="V179" s="6">
        <f>SUM(CAPSTONE_PROJECT[[#This Row],[Room Cost]:[Treatment Cost]])</f>
        <v>1990.07</v>
      </c>
      <c r="W179" s="6">
        <f t="shared" si="2"/>
        <v>110.55944444444444</v>
      </c>
      <c r="X179" s="3" t="str">
        <f>TEXT(CAPSTONE_PROJECT[[#This Row],[Admission Date]],"mmmm")</f>
        <v>July</v>
      </c>
      <c r="Y179" s="3" t="str">
        <f>TEXT(CAPSTONE_PROJECT[[#This Row],[Admission Date]],"yyyy")</f>
        <v>2024</v>
      </c>
      <c r="Z179" s="3" t="str">
        <f>TEXT(CAPSTONE_PROJECT[[#This Row],[Admission Date]],"mmm yyyy")</f>
        <v>Jul 2024</v>
      </c>
      <c r="AA179" s="3" t="str">
        <f>TEXT(CAPSTONE_PROJECT[[#This Row],[Admission Date]],"dddd")</f>
        <v>Thursday</v>
      </c>
      <c r="AB179" s="3" t="str">
        <f>IF(CAPSTONE_PROJECT[[#This Row],[Age]]&lt;=34,"Young Adults",IF(CAPSTONE_PROJECT[[#This Row],[Age]]&lt;=59,"Adults","Elders"))</f>
        <v>Elders</v>
      </c>
      <c r="AC179" s="3" t="str">
        <f>_xlfn.XLOOKUP(CAPSTONE_PROJECT[[#This Row],[Patient ID]],'Lookup table'!A:A,'Lookup table'!B:B,,0)</f>
        <v>Emma Hall</v>
      </c>
      <c r="AD179" s="3" t="str">
        <f>_xlfn.XLOOKUP(CAPSTONE_PROJECT[[#This Row],[Patient ID]],'Lookup table'!A:A,'Lookup table'!C:C,,0)</f>
        <v>Female</v>
      </c>
      <c r="AE179" s="3" t="str">
        <f>IF(CAPSTONE_PROJECT[[#This Row],[Length of Stay]]&lt;=3,"Short Stay",IF(CAPSTONE_PROJECT[[#This Row],[Length of Stay]]&lt;=7,"Moderate Stay",IF(CAPSTONE_PROJECT[[#This Row],[Length of Stay]]&lt;=14,"Long Stay","Extended Stay")))</f>
        <v>Extended Stay</v>
      </c>
    </row>
    <row r="180" spans="1:31" x14ac:dyDescent="0.3">
      <c r="A180" s="3" t="s">
        <v>417</v>
      </c>
      <c r="B180" s="4">
        <v>45406</v>
      </c>
      <c r="C180" s="4">
        <v>45409</v>
      </c>
      <c r="D180" s="4">
        <v>26658</v>
      </c>
      <c r="E180" s="3">
        <v>53</v>
      </c>
      <c r="F180" s="3" t="s">
        <v>47</v>
      </c>
      <c r="G180" s="3" t="s">
        <v>27</v>
      </c>
      <c r="H180" s="3" t="s">
        <v>43</v>
      </c>
      <c r="I180" s="3" t="s">
        <v>44</v>
      </c>
      <c r="J180" s="3" t="s">
        <v>45</v>
      </c>
      <c r="K180" s="3" t="s">
        <v>24</v>
      </c>
      <c r="L180" s="6">
        <v>2466.88</v>
      </c>
      <c r="M180" s="6">
        <v>749.61</v>
      </c>
      <c r="N180" s="6">
        <v>864.78</v>
      </c>
      <c r="O180" s="6">
        <v>1069.78</v>
      </c>
      <c r="P180" s="3" t="s">
        <v>31</v>
      </c>
      <c r="Q180" s="3" t="s">
        <v>1086</v>
      </c>
      <c r="R180" s="3" t="s">
        <v>62</v>
      </c>
      <c r="S180" s="3" t="s">
        <v>418</v>
      </c>
      <c r="T180" s="3">
        <v>9</v>
      </c>
      <c r="U180" s="3">
        <f>CAPSTONE_PROJECT[[#This Row],[Discharge Date]]-CAPSTONE_PROJECT[[#This Row],[Admission Date]]</f>
        <v>3</v>
      </c>
      <c r="V180" s="6">
        <f>SUM(CAPSTONE_PROJECT[[#This Row],[Room Cost]:[Treatment Cost]])</f>
        <v>5151.05</v>
      </c>
      <c r="W180" s="6">
        <f t="shared" si="2"/>
        <v>1717.0166666666667</v>
      </c>
      <c r="X180" s="3" t="str">
        <f>TEXT(CAPSTONE_PROJECT[[#This Row],[Admission Date]],"mmmm")</f>
        <v>April</v>
      </c>
      <c r="Y180" s="3" t="str">
        <f>TEXT(CAPSTONE_PROJECT[[#This Row],[Admission Date]],"yyyy")</f>
        <v>2024</v>
      </c>
      <c r="Z180" s="3" t="str">
        <f>TEXT(CAPSTONE_PROJECT[[#This Row],[Admission Date]],"mmm yyyy")</f>
        <v>Apr 2024</v>
      </c>
      <c r="AA180" s="3" t="str">
        <f>TEXT(CAPSTONE_PROJECT[[#This Row],[Admission Date]],"dddd")</f>
        <v>Wednesday</v>
      </c>
      <c r="AB180" s="3" t="str">
        <f>IF(CAPSTONE_PROJECT[[#This Row],[Age]]&lt;=34,"Young Adults",IF(CAPSTONE_PROJECT[[#This Row],[Age]]&lt;=59,"Adults","Elders"))</f>
        <v>Adults</v>
      </c>
      <c r="AC180" s="3" t="str">
        <f>_xlfn.XLOOKUP(CAPSTONE_PROJECT[[#This Row],[Patient ID]],'Lookup table'!A:A,'Lookup table'!B:B,,0)</f>
        <v>Leo Walker</v>
      </c>
      <c r="AD180" s="3" t="str">
        <f>_xlfn.XLOOKUP(CAPSTONE_PROJECT[[#This Row],[Patient ID]],'Lookup table'!A:A,'Lookup table'!C:C,,0)</f>
        <v>Male</v>
      </c>
      <c r="AE180" s="3" t="str">
        <f>IF(CAPSTONE_PROJECT[[#This Row],[Length of Stay]]&lt;=3,"Short Stay",IF(CAPSTONE_PROJECT[[#This Row],[Length of Stay]]&lt;=7,"Moderate Stay",IF(CAPSTONE_PROJECT[[#This Row],[Length of Stay]]&lt;=14,"Long Stay","Extended Stay")))</f>
        <v>Short Stay</v>
      </c>
    </row>
    <row r="181" spans="1:31" x14ac:dyDescent="0.3">
      <c r="A181" s="3" t="s">
        <v>419</v>
      </c>
      <c r="B181" s="4">
        <v>45306</v>
      </c>
      <c r="C181" s="4">
        <v>45323</v>
      </c>
      <c r="D181" s="4">
        <v>18926</v>
      </c>
      <c r="E181" s="3">
        <v>74</v>
      </c>
      <c r="F181" s="3" t="s">
        <v>33</v>
      </c>
      <c r="G181" s="3" t="s">
        <v>34</v>
      </c>
      <c r="H181" s="3" t="s">
        <v>72</v>
      </c>
      <c r="I181" s="3" t="s">
        <v>13</v>
      </c>
      <c r="J181" s="3" t="s">
        <v>15</v>
      </c>
      <c r="K181" s="3" t="s">
        <v>50</v>
      </c>
      <c r="L181" s="6">
        <v>2686.36</v>
      </c>
      <c r="M181" s="6">
        <v>270.99</v>
      </c>
      <c r="N181" s="6">
        <v>2250.4299999999998</v>
      </c>
      <c r="O181" s="6">
        <v>7289.85</v>
      </c>
      <c r="P181" s="3" t="s">
        <v>51</v>
      </c>
      <c r="Q181" s="3" t="s">
        <v>1076</v>
      </c>
      <c r="R181" s="3" t="s">
        <v>54</v>
      </c>
      <c r="S181" s="3" t="s">
        <v>420</v>
      </c>
      <c r="T181" s="3">
        <v>2</v>
      </c>
      <c r="U181" s="3">
        <f>CAPSTONE_PROJECT[[#This Row],[Discharge Date]]-CAPSTONE_PROJECT[[#This Row],[Admission Date]]</f>
        <v>17</v>
      </c>
      <c r="V181" s="6">
        <f>SUM(CAPSTONE_PROJECT[[#This Row],[Room Cost]:[Treatment Cost]])</f>
        <v>12497.630000000001</v>
      </c>
      <c r="W181" s="6">
        <f t="shared" si="2"/>
        <v>735.15470588235303</v>
      </c>
      <c r="X181" s="3" t="str">
        <f>TEXT(CAPSTONE_PROJECT[[#This Row],[Admission Date]],"mmmm")</f>
        <v>January</v>
      </c>
      <c r="Y181" s="3" t="str">
        <f>TEXT(CAPSTONE_PROJECT[[#This Row],[Admission Date]],"yyyy")</f>
        <v>2024</v>
      </c>
      <c r="Z181" s="3" t="str">
        <f>TEXT(CAPSTONE_PROJECT[[#This Row],[Admission Date]],"mmm yyyy")</f>
        <v>Jan 2024</v>
      </c>
      <c r="AA181" s="3" t="str">
        <f>TEXT(CAPSTONE_PROJECT[[#This Row],[Admission Date]],"dddd")</f>
        <v>Monday</v>
      </c>
      <c r="AB181" s="3" t="str">
        <f>IF(CAPSTONE_PROJECT[[#This Row],[Age]]&lt;=34,"Young Adults",IF(CAPSTONE_PROJECT[[#This Row],[Age]]&lt;=59,"Adults","Elders"))</f>
        <v>Elders</v>
      </c>
      <c r="AC181" s="3" t="str">
        <f>_xlfn.XLOOKUP(CAPSTONE_PROJECT[[#This Row],[Patient ID]],'Lookup table'!A:A,'Lookup table'!B:B,,0)</f>
        <v>Sarah Brown</v>
      </c>
      <c r="AD181" s="3" t="str">
        <f>_xlfn.XLOOKUP(CAPSTONE_PROJECT[[#This Row],[Patient ID]],'Lookup table'!A:A,'Lookup table'!C:C,,0)</f>
        <v>Female</v>
      </c>
      <c r="AE181" s="3" t="str">
        <f>IF(CAPSTONE_PROJECT[[#This Row],[Length of Stay]]&lt;=3,"Short Stay",IF(CAPSTONE_PROJECT[[#This Row],[Length of Stay]]&lt;=7,"Moderate Stay",IF(CAPSTONE_PROJECT[[#This Row],[Length of Stay]]&lt;=14,"Long Stay","Extended Stay")))</f>
        <v>Extended Stay</v>
      </c>
    </row>
    <row r="182" spans="1:31" x14ac:dyDescent="0.3">
      <c r="A182" s="3" t="s">
        <v>421</v>
      </c>
      <c r="B182" s="4">
        <v>45333</v>
      </c>
      <c r="C182" s="4">
        <v>45336</v>
      </c>
      <c r="D182" s="4">
        <v>33011</v>
      </c>
      <c r="E182" s="3">
        <v>36</v>
      </c>
      <c r="F182" s="3" t="s">
        <v>33</v>
      </c>
      <c r="G182" s="3" t="s">
        <v>40</v>
      </c>
      <c r="H182" s="3" t="s">
        <v>29</v>
      </c>
      <c r="I182" s="3" t="s">
        <v>13</v>
      </c>
      <c r="J182" s="3" t="s">
        <v>14</v>
      </c>
      <c r="K182" s="3" t="s">
        <v>15</v>
      </c>
      <c r="L182" s="6">
        <v>807.92</v>
      </c>
      <c r="M182" s="6">
        <v>848.03</v>
      </c>
      <c r="N182" s="6">
        <v>2582.62</v>
      </c>
      <c r="O182" s="6">
        <v>9721.5499999999993</v>
      </c>
      <c r="P182" s="3" t="s">
        <v>16</v>
      </c>
      <c r="Q182" s="3" t="s">
        <v>1087</v>
      </c>
      <c r="R182" s="3" t="s">
        <v>19</v>
      </c>
      <c r="S182" s="3" t="s">
        <v>422</v>
      </c>
      <c r="T182" s="3">
        <v>8</v>
      </c>
      <c r="U182" s="3">
        <f>CAPSTONE_PROJECT[[#This Row],[Discharge Date]]-CAPSTONE_PROJECT[[#This Row],[Admission Date]]</f>
        <v>3</v>
      </c>
      <c r="V182" s="6">
        <f>SUM(CAPSTONE_PROJECT[[#This Row],[Room Cost]:[Treatment Cost]])</f>
        <v>13960.119999999999</v>
      </c>
      <c r="W182" s="6">
        <f t="shared" si="2"/>
        <v>4653.373333333333</v>
      </c>
      <c r="X182" s="3" t="str">
        <f>TEXT(CAPSTONE_PROJECT[[#This Row],[Admission Date]],"mmmm")</f>
        <v>February</v>
      </c>
      <c r="Y182" s="3" t="str">
        <f>TEXT(CAPSTONE_PROJECT[[#This Row],[Admission Date]],"yyyy")</f>
        <v>2024</v>
      </c>
      <c r="Z182" s="3" t="str">
        <f>TEXT(CAPSTONE_PROJECT[[#This Row],[Admission Date]],"mmm yyyy")</f>
        <v>Feb 2024</v>
      </c>
      <c r="AA182" s="3" t="str">
        <f>TEXT(CAPSTONE_PROJECT[[#This Row],[Admission Date]],"dddd")</f>
        <v>Sunday</v>
      </c>
      <c r="AB182" s="3" t="str">
        <f>IF(CAPSTONE_PROJECT[[#This Row],[Age]]&lt;=34,"Young Adults",IF(CAPSTONE_PROJECT[[#This Row],[Age]]&lt;=59,"Adults","Elders"))</f>
        <v>Adults</v>
      </c>
      <c r="AC182" s="3" t="str">
        <f>_xlfn.XLOOKUP(CAPSTONE_PROJECT[[#This Row],[Patient ID]],'Lookup table'!A:A,'Lookup table'!B:B,,0)</f>
        <v>Noah Thomas</v>
      </c>
      <c r="AD182" s="3" t="str">
        <f>_xlfn.XLOOKUP(CAPSTONE_PROJECT[[#This Row],[Patient ID]],'Lookup table'!A:A,'Lookup table'!C:C,,0)</f>
        <v>Male</v>
      </c>
      <c r="AE182" s="3" t="str">
        <f>IF(CAPSTONE_PROJECT[[#This Row],[Length of Stay]]&lt;=3,"Short Stay",IF(CAPSTONE_PROJECT[[#This Row],[Length of Stay]]&lt;=7,"Moderate Stay",IF(CAPSTONE_PROJECT[[#This Row],[Length of Stay]]&lt;=14,"Long Stay","Extended Stay")))</f>
        <v>Short Stay</v>
      </c>
    </row>
    <row r="183" spans="1:31" x14ac:dyDescent="0.3">
      <c r="A183" s="3" t="s">
        <v>423</v>
      </c>
      <c r="B183" s="4">
        <v>45638</v>
      </c>
      <c r="C183" s="4">
        <v>45645</v>
      </c>
      <c r="D183" s="4">
        <v>18056</v>
      </c>
      <c r="E183" s="3">
        <v>77</v>
      </c>
      <c r="F183" s="3" t="s">
        <v>33</v>
      </c>
      <c r="G183" s="3" t="s">
        <v>34</v>
      </c>
      <c r="H183" s="3" t="s">
        <v>21</v>
      </c>
      <c r="I183" s="3" t="s">
        <v>44</v>
      </c>
      <c r="J183" s="3" t="s">
        <v>38</v>
      </c>
      <c r="K183" s="3" t="s">
        <v>65</v>
      </c>
      <c r="L183" s="6">
        <v>2052.84</v>
      </c>
      <c r="M183" s="6">
        <v>296.49</v>
      </c>
      <c r="N183" s="6">
        <v>1861.52</v>
      </c>
      <c r="O183" s="6">
        <v>5096.34</v>
      </c>
      <c r="P183" s="3" t="s">
        <v>51</v>
      </c>
      <c r="Q183" s="3" t="s">
        <v>1077</v>
      </c>
      <c r="R183" s="3" t="s">
        <v>68</v>
      </c>
      <c r="S183" s="3" t="s">
        <v>424</v>
      </c>
      <c r="T183" s="3">
        <v>5</v>
      </c>
      <c r="U183" s="3">
        <f>CAPSTONE_PROJECT[[#This Row],[Discharge Date]]-CAPSTONE_PROJECT[[#This Row],[Admission Date]]</f>
        <v>7</v>
      </c>
      <c r="V183" s="6">
        <f>SUM(CAPSTONE_PROJECT[[#This Row],[Room Cost]:[Treatment Cost]])</f>
        <v>9307.19</v>
      </c>
      <c r="W183" s="6">
        <f t="shared" si="2"/>
        <v>1329.5985714285714</v>
      </c>
      <c r="X183" s="3" t="str">
        <f>TEXT(CAPSTONE_PROJECT[[#This Row],[Admission Date]],"mmmm")</f>
        <v>December</v>
      </c>
      <c r="Y183" s="3" t="str">
        <f>TEXT(CAPSTONE_PROJECT[[#This Row],[Admission Date]],"yyyy")</f>
        <v>2024</v>
      </c>
      <c r="Z183" s="3" t="str">
        <f>TEXT(CAPSTONE_PROJECT[[#This Row],[Admission Date]],"mmm yyyy")</f>
        <v>Dec 2024</v>
      </c>
      <c r="AA183" s="3" t="str">
        <f>TEXT(CAPSTONE_PROJECT[[#This Row],[Admission Date]],"dddd")</f>
        <v>Thursday</v>
      </c>
      <c r="AB183" s="3" t="str">
        <f>IF(CAPSTONE_PROJECT[[#This Row],[Age]]&lt;=34,"Young Adults",IF(CAPSTONE_PROJECT[[#This Row],[Age]]&lt;=59,"Adults","Elders"))</f>
        <v>Elders</v>
      </c>
      <c r="AC183" s="3" t="str">
        <f>_xlfn.XLOOKUP(CAPSTONE_PROJECT[[#This Row],[Patient ID]],'Lookup table'!A:A,'Lookup table'!B:B,,0)</f>
        <v>Amelia Walker</v>
      </c>
      <c r="AD183" s="3" t="str">
        <f>_xlfn.XLOOKUP(CAPSTONE_PROJECT[[#This Row],[Patient ID]],'Lookup table'!A:A,'Lookup table'!C:C,,0)</f>
        <v>Female</v>
      </c>
      <c r="AE183" s="3" t="str">
        <f>IF(CAPSTONE_PROJECT[[#This Row],[Length of Stay]]&lt;=3,"Short Stay",IF(CAPSTONE_PROJECT[[#This Row],[Length of Stay]]&lt;=7,"Moderate Stay",IF(CAPSTONE_PROJECT[[#This Row],[Length of Stay]]&lt;=14,"Long Stay","Extended Stay")))</f>
        <v>Moderate Stay</v>
      </c>
    </row>
    <row r="184" spans="1:31" x14ac:dyDescent="0.3">
      <c r="A184" s="3" t="s">
        <v>425</v>
      </c>
      <c r="B184" s="4">
        <v>45475</v>
      </c>
      <c r="C184" s="4">
        <v>45488</v>
      </c>
      <c r="D184" s="4">
        <v>28065</v>
      </c>
      <c r="E184" s="3">
        <v>49</v>
      </c>
      <c r="F184" s="3" t="s">
        <v>33</v>
      </c>
      <c r="G184" s="3" t="s">
        <v>139</v>
      </c>
      <c r="H184" s="3" t="s">
        <v>21</v>
      </c>
      <c r="I184" s="3" t="s">
        <v>37</v>
      </c>
      <c r="J184" s="3" t="s">
        <v>73</v>
      </c>
      <c r="K184" s="3" t="s">
        <v>65</v>
      </c>
      <c r="L184" s="6">
        <v>3226.26</v>
      </c>
      <c r="M184" s="6">
        <v>94.64</v>
      </c>
      <c r="N184" s="6">
        <v>429.11</v>
      </c>
      <c r="O184" s="6">
        <v>7235.12</v>
      </c>
      <c r="P184" s="3" t="s">
        <v>31</v>
      </c>
      <c r="Q184" s="3" t="s">
        <v>1087</v>
      </c>
      <c r="R184" s="3" t="s">
        <v>35</v>
      </c>
      <c r="S184" s="3" t="s">
        <v>426</v>
      </c>
      <c r="T184" s="3">
        <v>9</v>
      </c>
      <c r="U184" s="3">
        <f>CAPSTONE_PROJECT[[#This Row],[Discharge Date]]-CAPSTONE_PROJECT[[#This Row],[Admission Date]]</f>
        <v>13</v>
      </c>
      <c r="V184" s="6">
        <f>SUM(CAPSTONE_PROJECT[[#This Row],[Room Cost]:[Treatment Cost]])</f>
        <v>10985.130000000001</v>
      </c>
      <c r="W184" s="6">
        <f t="shared" si="2"/>
        <v>845.0100000000001</v>
      </c>
      <c r="X184" s="3" t="str">
        <f>TEXT(CAPSTONE_PROJECT[[#This Row],[Admission Date]],"mmmm")</f>
        <v>July</v>
      </c>
      <c r="Y184" s="3" t="str">
        <f>TEXT(CAPSTONE_PROJECT[[#This Row],[Admission Date]],"yyyy")</f>
        <v>2024</v>
      </c>
      <c r="Z184" s="3" t="str">
        <f>TEXT(CAPSTONE_PROJECT[[#This Row],[Admission Date]],"mmm yyyy")</f>
        <v>Jul 2024</v>
      </c>
      <c r="AA184" s="3" t="str">
        <f>TEXT(CAPSTONE_PROJECT[[#This Row],[Admission Date]],"dddd")</f>
        <v>Tuesday</v>
      </c>
      <c r="AB184" s="3" t="str">
        <f>IF(CAPSTONE_PROJECT[[#This Row],[Age]]&lt;=34,"Young Adults",IF(CAPSTONE_PROJECT[[#This Row],[Age]]&lt;=59,"Adults","Elders"))</f>
        <v>Adults</v>
      </c>
      <c r="AC184" s="3" t="str">
        <f>_xlfn.XLOOKUP(CAPSTONE_PROJECT[[#This Row],[Patient ID]],'Lookup table'!A:A,'Lookup table'!B:B,,0)</f>
        <v>Lucas R Hall</v>
      </c>
      <c r="AD184" s="3" t="str">
        <f>_xlfn.XLOOKUP(CAPSTONE_PROJECT[[#This Row],[Patient ID]],'Lookup table'!A:A,'Lookup table'!C:C,,0)</f>
        <v>Male</v>
      </c>
      <c r="AE184" s="3" t="str">
        <f>IF(CAPSTONE_PROJECT[[#This Row],[Length of Stay]]&lt;=3,"Short Stay",IF(CAPSTONE_PROJECT[[#This Row],[Length of Stay]]&lt;=7,"Moderate Stay",IF(CAPSTONE_PROJECT[[#This Row],[Length of Stay]]&lt;=14,"Long Stay","Extended Stay")))</f>
        <v>Long Stay</v>
      </c>
    </row>
    <row r="185" spans="1:31" x14ac:dyDescent="0.3">
      <c r="A185" s="3" t="s">
        <v>427</v>
      </c>
      <c r="B185" s="4">
        <v>45611</v>
      </c>
      <c r="C185" s="4">
        <v>45624</v>
      </c>
      <c r="D185" s="4">
        <v>27946</v>
      </c>
      <c r="E185" s="3">
        <v>49</v>
      </c>
      <c r="F185" s="3" t="s">
        <v>47</v>
      </c>
      <c r="G185" s="3" t="s">
        <v>53</v>
      </c>
      <c r="H185" s="3" t="s">
        <v>1080</v>
      </c>
      <c r="I185" s="3" t="s">
        <v>22</v>
      </c>
      <c r="J185" s="3" t="s">
        <v>30</v>
      </c>
      <c r="K185" s="3" t="s">
        <v>65</v>
      </c>
      <c r="L185" s="6">
        <v>1233.69</v>
      </c>
      <c r="M185" s="6">
        <v>774.48</v>
      </c>
      <c r="N185" s="6">
        <v>2808.38</v>
      </c>
      <c r="O185" s="6">
        <v>1551.46</v>
      </c>
      <c r="P185" s="3" t="s">
        <v>16</v>
      </c>
      <c r="Q185" s="3" t="s">
        <v>1081</v>
      </c>
      <c r="R185" s="3" t="s">
        <v>62</v>
      </c>
      <c r="S185" s="3" t="s">
        <v>428</v>
      </c>
      <c r="T185" s="3">
        <v>9</v>
      </c>
      <c r="U185" s="3">
        <f>CAPSTONE_PROJECT[[#This Row],[Discharge Date]]-CAPSTONE_PROJECT[[#This Row],[Admission Date]]</f>
        <v>13</v>
      </c>
      <c r="V185" s="6">
        <f>SUM(CAPSTONE_PROJECT[[#This Row],[Room Cost]:[Treatment Cost]])</f>
        <v>6368.01</v>
      </c>
      <c r="W185" s="6">
        <f t="shared" si="2"/>
        <v>489.84692307692308</v>
      </c>
      <c r="X185" s="3" t="str">
        <f>TEXT(CAPSTONE_PROJECT[[#This Row],[Admission Date]],"mmmm")</f>
        <v>November</v>
      </c>
      <c r="Y185" s="3" t="str">
        <f>TEXT(CAPSTONE_PROJECT[[#This Row],[Admission Date]],"yyyy")</f>
        <v>2024</v>
      </c>
      <c r="Z185" s="3" t="str">
        <f>TEXT(CAPSTONE_PROJECT[[#This Row],[Admission Date]],"mmm yyyy")</f>
        <v>Nov 2024</v>
      </c>
      <c r="AA185" s="3" t="str">
        <f>TEXT(CAPSTONE_PROJECT[[#This Row],[Admission Date]],"dddd")</f>
        <v>Friday</v>
      </c>
      <c r="AB185" s="3" t="str">
        <f>IF(CAPSTONE_PROJECT[[#This Row],[Age]]&lt;=34,"Young Adults",IF(CAPSTONE_PROJECT[[#This Row],[Age]]&lt;=59,"Adults","Elders"))</f>
        <v>Adults</v>
      </c>
      <c r="AC185" s="3" t="str">
        <f>_xlfn.XLOOKUP(CAPSTONE_PROJECT[[#This Row],[Patient ID]],'Lookup table'!A:A,'Lookup table'!B:B,,0)</f>
        <v>Sarah C Wilson</v>
      </c>
      <c r="AD185" s="3" t="str">
        <f>_xlfn.XLOOKUP(CAPSTONE_PROJECT[[#This Row],[Patient ID]],'Lookup table'!A:A,'Lookup table'!C:C,,0)</f>
        <v>Female</v>
      </c>
      <c r="AE185" s="3" t="str">
        <f>IF(CAPSTONE_PROJECT[[#This Row],[Length of Stay]]&lt;=3,"Short Stay",IF(CAPSTONE_PROJECT[[#This Row],[Length of Stay]]&lt;=7,"Moderate Stay",IF(CAPSTONE_PROJECT[[#This Row],[Length of Stay]]&lt;=14,"Long Stay","Extended Stay")))</f>
        <v>Long Stay</v>
      </c>
    </row>
    <row r="186" spans="1:31" x14ac:dyDescent="0.3">
      <c r="A186" s="3" t="s">
        <v>429</v>
      </c>
      <c r="B186" s="4">
        <v>45645</v>
      </c>
      <c r="C186" s="4">
        <v>45657</v>
      </c>
      <c r="D186" s="4">
        <v>25248</v>
      </c>
      <c r="E186" s="3">
        <v>57</v>
      </c>
      <c r="F186" s="3" t="s">
        <v>47</v>
      </c>
      <c r="G186" s="3" t="s">
        <v>34</v>
      </c>
      <c r="H186" s="3" t="s">
        <v>111</v>
      </c>
      <c r="I186" s="3" t="s">
        <v>13</v>
      </c>
      <c r="J186" s="3" t="s">
        <v>15</v>
      </c>
      <c r="K186" s="3" t="s">
        <v>65</v>
      </c>
      <c r="L186" s="6">
        <v>380.58</v>
      </c>
      <c r="M186" s="6">
        <v>821.52</v>
      </c>
      <c r="N186" s="6">
        <v>1075.81</v>
      </c>
      <c r="O186" s="6">
        <v>12371.7</v>
      </c>
      <c r="P186" s="3" t="s">
        <v>51</v>
      </c>
      <c r="Q186" s="3" t="s">
        <v>1085</v>
      </c>
      <c r="R186" s="3" t="s">
        <v>41</v>
      </c>
      <c r="S186" s="3" t="s">
        <v>430</v>
      </c>
      <c r="T186" s="3">
        <v>10</v>
      </c>
      <c r="U186" s="3">
        <f>CAPSTONE_PROJECT[[#This Row],[Discharge Date]]-CAPSTONE_PROJECT[[#This Row],[Admission Date]]</f>
        <v>12</v>
      </c>
      <c r="V186" s="6">
        <f>SUM(CAPSTONE_PROJECT[[#This Row],[Room Cost]:[Treatment Cost]])</f>
        <v>14649.61</v>
      </c>
      <c r="W186" s="6">
        <f t="shared" si="2"/>
        <v>1220.8008333333335</v>
      </c>
      <c r="X186" s="3" t="str">
        <f>TEXT(CAPSTONE_PROJECT[[#This Row],[Admission Date]],"mmmm")</f>
        <v>December</v>
      </c>
      <c r="Y186" s="3" t="str">
        <f>TEXT(CAPSTONE_PROJECT[[#This Row],[Admission Date]],"yyyy")</f>
        <v>2024</v>
      </c>
      <c r="Z186" s="3" t="str">
        <f>TEXT(CAPSTONE_PROJECT[[#This Row],[Admission Date]],"mmm yyyy")</f>
        <v>Dec 2024</v>
      </c>
      <c r="AA186" s="3" t="str">
        <f>TEXT(CAPSTONE_PROJECT[[#This Row],[Admission Date]],"dddd")</f>
        <v>Thursday</v>
      </c>
      <c r="AB186" s="3" t="str">
        <f>IF(CAPSTONE_PROJECT[[#This Row],[Age]]&lt;=34,"Young Adults",IF(CAPSTONE_PROJECT[[#This Row],[Age]]&lt;=59,"Adults","Elders"))</f>
        <v>Adults</v>
      </c>
      <c r="AC186" s="3" t="str">
        <f>_xlfn.XLOOKUP(CAPSTONE_PROJECT[[#This Row],[Patient ID]],'Lookup table'!A:A,'Lookup table'!B:B,,0)</f>
        <v>Arthur Thomas</v>
      </c>
      <c r="AD186" s="3" t="str">
        <f>_xlfn.XLOOKUP(CAPSTONE_PROJECT[[#This Row],[Patient ID]],'Lookup table'!A:A,'Lookup table'!C:C,,0)</f>
        <v>Male</v>
      </c>
      <c r="AE186" s="3" t="str">
        <f>IF(CAPSTONE_PROJECT[[#This Row],[Length of Stay]]&lt;=3,"Short Stay",IF(CAPSTONE_PROJECT[[#This Row],[Length of Stay]]&lt;=7,"Moderate Stay",IF(CAPSTONE_PROJECT[[#This Row],[Length of Stay]]&lt;=14,"Long Stay","Extended Stay")))</f>
        <v>Long Stay</v>
      </c>
    </row>
    <row r="187" spans="1:31" x14ac:dyDescent="0.3">
      <c r="A187" s="3" t="s">
        <v>431</v>
      </c>
      <c r="B187" s="4">
        <v>45999</v>
      </c>
      <c r="C187" s="4">
        <v>46006</v>
      </c>
      <c r="D187" s="4">
        <v>35281</v>
      </c>
      <c r="E187" s="3">
        <v>29</v>
      </c>
      <c r="F187" s="3" t="s">
        <v>47</v>
      </c>
      <c r="G187" s="3" t="s">
        <v>57</v>
      </c>
      <c r="H187" s="3" t="s">
        <v>29</v>
      </c>
      <c r="I187" s="3" t="s">
        <v>13</v>
      </c>
      <c r="J187" s="3" t="s">
        <v>45</v>
      </c>
      <c r="K187" s="3" t="s">
        <v>65</v>
      </c>
      <c r="L187" s="6">
        <v>935.19</v>
      </c>
      <c r="M187" s="6">
        <v>582.36</v>
      </c>
      <c r="N187" s="6">
        <v>793.48</v>
      </c>
      <c r="O187" s="6">
        <v>13102.19</v>
      </c>
      <c r="P187" s="3" t="s">
        <v>25</v>
      </c>
      <c r="Q187" s="3" t="s">
        <v>1078</v>
      </c>
      <c r="R187" s="3" t="s">
        <v>102</v>
      </c>
      <c r="S187" s="3" t="s">
        <v>432</v>
      </c>
      <c r="T187" s="3">
        <v>6</v>
      </c>
      <c r="U187" s="3">
        <f>CAPSTONE_PROJECT[[#This Row],[Discharge Date]]-CAPSTONE_PROJECT[[#This Row],[Admission Date]]</f>
        <v>7</v>
      </c>
      <c r="V187" s="6">
        <f>SUM(CAPSTONE_PROJECT[[#This Row],[Room Cost]:[Treatment Cost]])</f>
        <v>15413.220000000001</v>
      </c>
      <c r="W187" s="6">
        <f t="shared" si="2"/>
        <v>2201.8885714285716</v>
      </c>
      <c r="X187" s="3" t="str">
        <f>TEXT(CAPSTONE_PROJECT[[#This Row],[Admission Date]],"mmmm")</f>
        <v>December</v>
      </c>
      <c r="Y187" s="3" t="str">
        <f>TEXT(CAPSTONE_PROJECT[[#This Row],[Admission Date]],"yyyy")</f>
        <v>2025</v>
      </c>
      <c r="Z187" s="3" t="str">
        <f>TEXT(CAPSTONE_PROJECT[[#This Row],[Admission Date]],"mmm yyyy")</f>
        <v>Dec 2025</v>
      </c>
      <c r="AA187" s="3" t="str">
        <f>TEXT(CAPSTONE_PROJECT[[#This Row],[Admission Date]],"dddd")</f>
        <v>Monday</v>
      </c>
      <c r="AB187" s="3" t="str">
        <f>IF(CAPSTONE_PROJECT[[#This Row],[Age]]&lt;=34,"Young Adults",IF(CAPSTONE_PROJECT[[#This Row],[Age]]&lt;=59,"Adults","Elders"))</f>
        <v>Young Adults</v>
      </c>
      <c r="AC187" s="3" t="str">
        <f>_xlfn.XLOOKUP(CAPSTONE_PROJECT[[#This Row],[Patient ID]],'Lookup table'!A:A,'Lookup table'!B:B,,0)</f>
        <v>Emily Smith</v>
      </c>
      <c r="AD187" s="3" t="str">
        <f>_xlfn.XLOOKUP(CAPSTONE_PROJECT[[#This Row],[Patient ID]],'Lookup table'!A:A,'Lookup table'!C:C,,0)</f>
        <v>Female</v>
      </c>
      <c r="AE187" s="3" t="str">
        <f>IF(CAPSTONE_PROJECT[[#This Row],[Length of Stay]]&lt;=3,"Short Stay",IF(CAPSTONE_PROJECT[[#This Row],[Length of Stay]]&lt;=7,"Moderate Stay",IF(CAPSTONE_PROJECT[[#This Row],[Length of Stay]]&lt;=14,"Long Stay","Extended Stay")))</f>
        <v>Moderate Stay</v>
      </c>
    </row>
    <row r="188" spans="1:31" x14ac:dyDescent="0.3">
      <c r="A188" s="3" t="s">
        <v>433</v>
      </c>
      <c r="B188" s="4">
        <v>45370</v>
      </c>
      <c r="C188" s="4">
        <v>45380</v>
      </c>
      <c r="D188" s="4">
        <v>21362</v>
      </c>
      <c r="E188" s="3">
        <v>67</v>
      </c>
      <c r="F188" s="3" t="s">
        <v>18</v>
      </c>
      <c r="G188" s="3" t="s">
        <v>126</v>
      </c>
      <c r="H188" s="3" t="s">
        <v>104</v>
      </c>
      <c r="I188" s="3" t="s">
        <v>13</v>
      </c>
      <c r="J188" s="3" t="s">
        <v>30</v>
      </c>
      <c r="K188" s="3" t="s">
        <v>15</v>
      </c>
      <c r="L188" s="6">
        <v>642.23</v>
      </c>
      <c r="M188" s="6">
        <v>789.12</v>
      </c>
      <c r="N188" s="6">
        <v>910.43</v>
      </c>
      <c r="O188" s="6">
        <v>10501.62</v>
      </c>
      <c r="P188" s="3" t="s">
        <v>25</v>
      </c>
      <c r="Q188" s="3" t="s">
        <v>1079</v>
      </c>
      <c r="R188" s="3" t="s">
        <v>35</v>
      </c>
      <c r="S188" s="3" t="s">
        <v>434</v>
      </c>
      <c r="T188" s="3">
        <v>5</v>
      </c>
      <c r="U188" s="3">
        <f>CAPSTONE_PROJECT[[#This Row],[Discharge Date]]-CAPSTONE_PROJECT[[#This Row],[Admission Date]]</f>
        <v>10</v>
      </c>
      <c r="V188" s="6">
        <f>SUM(CAPSTONE_PROJECT[[#This Row],[Room Cost]:[Treatment Cost]])</f>
        <v>12843.400000000001</v>
      </c>
      <c r="W188" s="6">
        <f t="shared" si="2"/>
        <v>1284.3400000000001</v>
      </c>
      <c r="X188" s="3" t="str">
        <f>TEXT(CAPSTONE_PROJECT[[#This Row],[Admission Date]],"mmmm")</f>
        <v>March</v>
      </c>
      <c r="Y188" s="3" t="str">
        <f>TEXT(CAPSTONE_PROJECT[[#This Row],[Admission Date]],"yyyy")</f>
        <v>2024</v>
      </c>
      <c r="Z188" s="3" t="str">
        <f>TEXT(CAPSTONE_PROJECT[[#This Row],[Admission Date]],"mmm yyyy")</f>
        <v>Mar 2024</v>
      </c>
      <c r="AA188" s="3" t="str">
        <f>TEXT(CAPSTONE_PROJECT[[#This Row],[Admission Date]],"dddd")</f>
        <v>Tuesday</v>
      </c>
      <c r="AB188" s="3" t="str">
        <f>IF(CAPSTONE_PROJECT[[#This Row],[Age]]&lt;=34,"Young Adults",IF(CAPSTONE_PROJECT[[#This Row],[Age]]&lt;=59,"Adults","Elders"))</f>
        <v>Elders</v>
      </c>
      <c r="AC188" s="3" t="str">
        <f>_xlfn.XLOOKUP(CAPSTONE_PROJECT[[#This Row],[Patient ID]],'Lookup table'!A:A,'Lookup table'!B:B,,0)</f>
        <v>Leo Evans</v>
      </c>
      <c r="AD188" s="3" t="str">
        <f>_xlfn.XLOOKUP(CAPSTONE_PROJECT[[#This Row],[Patient ID]],'Lookup table'!A:A,'Lookup table'!C:C,,0)</f>
        <v>Male</v>
      </c>
      <c r="AE188" s="3" t="str">
        <f>IF(CAPSTONE_PROJECT[[#This Row],[Length of Stay]]&lt;=3,"Short Stay",IF(CAPSTONE_PROJECT[[#This Row],[Length of Stay]]&lt;=7,"Moderate Stay",IF(CAPSTONE_PROJECT[[#This Row],[Length of Stay]]&lt;=14,"Long Stay","Extended Stay")))</f>
        <v>Long Stay</v>
      </c>
    </row>
    <row r="189" spans="1:31" x14ac:dyDescent="0.3">
      <c r="A189" s="3" t="s">
        <v>435</v>
      </c>
      <c r="B189" s="4">
        <v>45599</v>
      </c>
      <c r="C189" s="4">
        <v>45613</v>
      </c>
      <c r="D189" s="4">
        <v>33933</v>
      </c>
      <c r="E189" s="3">
        <v>33</v>
      </c>
      <c r="F189" s="3" t="s">
        <v>18</v>
      </c>
      <c r="G189" s="3" t="s">
        <v>53</v>
      </c>
      <c r="H189" s="3" t="s">
        <v>111</v>
      </c>
      <c r="I189" s="3" t="s">
        <v>22</v>
      </c>
      <c r="J189" s="3" t="s">
        <v>38</v>
      </c>
      <c r="K189" s="3" t="s">
        <v>15</v>
      </c>
      <c r="L189" s="6">
        <v>423.2</v>
      </c>
      <c r="M189" s="6">
        <v>584.82000000000005</v>
      </c>
      <c r="N189" s="6">
        <v>2666.36</v>
      </c>
      <c r="O189" s="6">
        <v>8060.92</v>
      </c>
      <c r="P189" s="3" t="s">
        <v>31</v>
      </c>
      <c r="Q189" s="3" t="s">
        <v>1082</v>
      </c>
      <c r="R189" s="3" t="s">
        <v>102</v>
      </c>
      <c r="S189" s="3" t="s">
        <v>436</v>
      </c>
      <c r="T189" s="3">
        <v>7</v>
      </c>
      <c r="U189" s="3">
        <f>CAPSTONE_PROJECT[[#This Row],[Discharge Date]]-CAPSTONE_PROJECT[[#This Row],[Admission Date]]</f>
        <v>14</v>
      </c>
      <c r="V189" s="6">
        <f>SUM(CAPSTONE_PROJECT[[#This Row],[Room Cost]:[Treatment Cost]])</f>
        <v>11735.3</v>
      </c>
      <c r="W189" s="6">
        <f t="shared" si="2"/>
        <v>838.23571428571427</v>
      </c>
      <c r="X189" s="3" t="str">
        <f>TEXT(CAPSTONE_PROJECT[[#This Row],[Admission Date]],"mmmm")</f>
        <v>November</v>
      </c>
      <c r="Y189" s="3" t="str">
        <f>TEXT(CAPSTONE_PROJECT[[#This Row],[Admission Date]],"yyyy")</f>
        <v>2024</v>
      </c>
      <c r="Z189" s="3" t="str">
        <f>TEXT(CAPSTONE_PROJECT[[#This Row],[Admission Date]],"mmm yyyy")</f>
        <v>Nov 2024</v>
      </c>
      <c r="AA189" s="3" t="str">
        <f>TEXT(CAPSTONE_PROJECT[[#This Row],[Admission Date]],"dddd")</f>
        <v>Sunday</v>
      </c>
      <c r="AB189" s="3" t="str">
        <f>IF(CAPSTONE_PROJECT[[#This Row],[Age]]&lt;=34,"Young Adults",IF(CAPSTONE_PROJECT[[#This Row],[Age]]&lt;=59,"Adults","Elders"))</f>
        <v>Young Adults</v>
      </c>
      <c r="AC189" s="3" t="str">
        <f>_xlfn.XLOOKUP(CAPSTONE_PROJECT[[#This Row],[Patient ID]],'Lookup table'!A:A,'Lookup table'!B:B,,0)</f>
        <v>Charlotte Thomas</v>
      </c>
      <c r="AD189" s="3" t="str">
        <f>_xlfn.XLOOKUP(CAPSTONE_PROJECT[[#This Row],[Patient ID]],'Lookup table'!A:A,'Lookup table'!C:C,,0)</f>
        <v>Female</v>
      </c>
      <c r="AE189" s="3" t="str">
        <f>IF(CAPSTONE_PROJECT[[#This Row],[Length of Stay]]&lt;=3,"Short Stay",IF(CAPSTONE_PROJECT[[#This Row],[Length of Stay]]&lt;=7,"Moderate Stay",IF(CAPSTONE_PROJECT[[#This Row],[Length of Stay]]&lt;=14,"Long Stay","Extended Stay")))</f>
        <v>Long Stay</v>
      </c>
    </row>
    <row r="190" spans="1:31" x14ac:dyDescent="0.3">
      <c r="A190" s="3" t="s">
        <v>437</v>
      </c>
      <c r="B190" s="4">
        <v>45951</v>
      </c>
      <c r="C190" s="4">
        <v>45953</v>
      </c>
      <c r="D190" s="4">
        <v>32026</v>
      </c>
      <c r="E190" s="3">
        <v>38</v>
      </c>
      <c r="F190" s="3" t="s">
        <v>47</v>
      </c>
      <c r="G190" s="3" t="s">
        <v>53</v>
      </c>
      <c r="H190" s="3" t="s">
        <v>1080</v>
      </c>
      <c r="I190" s="3" t="s">
        <v>22</v>
      </c>
      <c r="J190" s="3" t="s">
        <v>38</v>
      </c>
      <c r="K190" s="3" t="s">
        <v>50</v>
      </c>
      <c r="L190" s="6">
        <v>2699.93</v>
      </c>
      <c r="M190" s="6">
        <v>1252.8599999999999</v>
      </c>
      <c r="N190" s="6">
        <v>1395.16</v>
      </c>
      <c r="O190" s="6">
        <v>10449.280000000001</v>
      </c>
      <c r="P190" s="3" t="s">
        <v>31</v>
      </c>
      <c r="Q190" s="3" t="s">
        <v>1077</v>
      </c>
      <c r="R190" s="3" t="s">
        <v>41</v>
      </c>
      <c r="S190" s="3" t="s">
        <v>438</v>
      </c>
      <c r="T190" s="3">
        <v>2</v>
      </c>
      <c r="U190" s="3">
        <f>CAPSTONE_PROJECT[[#This Row],[Discharge Date]]-CAPSTONE_PROJECT[[#This Row],[Admission Date]]</f>
        <v>2</v>
      </c>
      <c r="V190" s="6">
        <f>SUM(CAPSTONE_PROJECT[[#This Row],[Room Cost]:[Treatment Cost]])</f>
        <v>15797.23</v>
      </c>
      <c r="W190" s="6">
        <f t="shared" si="2"/>
        <v>7898.6149999999998</v>
      </c>
      <c r="X190" s="3" t="str">
        <f>TEXT(CAPSTONE_PROJECT[[#This Row],[Admission Date]],"mmmm")</f>
        <v>October</v>
      </c>
      <c r="Y190" s="3" t="str">
        <f>TEXT(CAPSTONE_PROJECT[[#This Row],[Admission Date]],"yyyy")</f>
        <v>2025</v>
      </c>
      <c r="Z190" s="3" t="str">
        <f>TEXT(CAPSTONE_PROJECT[[#This Row],[Admission Date]],"mmm yyyy")</f>
        <v>Oct 2025</v>
      </c>
      <c r="AA190" s="3" t="str">
        <f>TEXT(CAPSTONE_PROJECT[[#This Row],[Admission Date]],"dddd")</f>
        <v>Tuesday</v>
      </c>
      <c r="AB190" s="3" t="str">
        <f>IF(CAPSTONE_PROJECT[[#This Row],[Age]]&lt;=34,"Young Adults",IF(CAPSTONE_PROJECT[[#This Row],[Age]]&lt;=59,"Adults","Elders"))</f>
        <v>Adults</v>
      </c>
      <c r="AC190" s="3" t="str">
        <f>_xlfn.XLOOKUP(CAPSTONE_PROJECT[[#This Row],[Patient ID]],'Lookup table'!A:A,'Lookup table'!B:B,,0)</f>
        <v>Oliver Thomas</v>
      </c>
      <c r="AD190" s="3" t="str">
        <f>_xlfn.XLOOKUP(CAPSTONE_PROJECT[[#This Row],[Patient ID]],'Lookup table'!A:A,'Lookup table'!C:C,,0)</f>
        <v>Male</v>
      </c>
      <c r="AE190" s="3" t="str">
        <f>IF(CAPSTONE_PROJECT[[#This Row],[Length of Stay]]&lt;=3,"Short Stay",IF(CAPSTONE_PROJECT[[#This Row],[Length of Stay]]&lt;=7,"Moderate Stay",IF(CAPSTONE_PROJECT[[#This Row],[Length of Stay]]&lt;=14,"Long Stay","Extended Stay")))</f>
        <v>Short Stay</v>
      </c>
    </row>
    <row r="191" spans="1:31" x14ac:dyDescent="0.3">
      <c r="A191" s="3" t="s">
        <v>439</v>
      </c>
      <c r="B191" s="4">
        <v>45471</v>
      </c>
      <c r="C191" s="4">
        <v>45478</v>
      </c>
      <c r="D191" s="4">
        <v>21248</v>
      </c>
      <c r="E191" s="3">
        <v>68</v>
      </c>
      <c r="F191" s="3" t="s">
        <v>8</v>
      </c>
      <c r="G191" s="3" t="s">
        <v>78</v>
      </c>
      <c r="H191" s="3" t="s">
        <v>12</v>
      </c>
      <c r="I191" s="3" t="s">
        <v>37</v>
      </c>
      <c r="J191" s="3" t="s">
        <v>73</v>
      </c>
      <c r="K191" s="3" t="s">
        <v>24</v>
      </c>
      <c r="L191" s="6">
        <v>3162.32</v>
      </c>
      <c r="M191" s="6">
        <v>1429.1</v>
      </c>
      <c r="N191" s="6">
        <v>2111.35</v>
      </c>
      <c r="O191" s="6">
        <v>9939.69</v>
      </c>
      <c r="P191" s="3" t="s">
        <v>31</v>
      </c>
      <c r="Q191" s="3" t="s">
        <v>1076</v>
      </c>
      <c r="R191" s="3" t="s">
        <v>75</v>
      </c>
      <c r="S191" s="3" t="s">
        <v>440</v>
      </c>
      <c r="T191" s="3">
        <v>2</v>
      </c>
      <c r="U191" s="3">
        <f>CAPSTONE_PROJECT[[#This Row],[Discharge Date]]-CAPSTONE_PROJECT[[#This Row],[Admission Date]]</f>
        <v>7</v>
      </c>
      <c r="V191" s="6">
        <f>SUM(CAPSTONE_PROJECT[[#This Row],[Room Cost]:[Treatment Cost]])</f>
        <v>16642.46</v>
      </c>
      <c r="W191" s="6">
        <f t="shared" si="2"/>
        <v>2377.4942857142855</v>
      </c>
      <c r="X191" s="3" t="str">
        <f>TEXT(CAPSTONE_PROJECT[[#This Row],[Admission Date]],"mmmm")</f>
        <v>June</v>
      </c>
      <c r="Y191" s="3" t="str">
        <f>TEXT(CAPSTONE_PROJECT[[#This Row],[Admission Date]],"yyyy")</f>
        <v>2024</v>
      </c>
      <c r="Z191" s="3" t="str">
        <f>TEXT(CAPSTONE_PROJECT[[#This Row],[Admission Date]],"mmm yyyy")</f>
        <v>Jun 2024</v>
      </c>
      <c r="AA191" s="3" t="str">
        <f>TEXT(CAPSTONE_PROJECT[[#This Row],[Admission Date]],"dddd")</f>
        <v>Friday</v>
      </c>
      <c r="AB191" s="3" t="str">
        <f>IF(CAPSTONE_PROJECT[[#This Row],[Age]]&lt;=34,"Young Adults",IF(CAPSTONE_PROJECT[[#This Row],[Age]]&lt;=59,"Adults","Elders"))</f>
        <v>Elders</v>
      </c>
      <c r="AC191" s="3" t="str">
        <f>_xlfn.XLOOKUP(CAPSTONE_PROJECT[[#This Row],[Patient ID]],'Lookup table'!A:A,'Lookup table'!B:B,,0)</f>
        <v>Sarah Robinson</v>
      </c>
      <c r="AD191" s="3" t="str">
        <f>_xlfn.XLOOKUP(CAPSTONE_PROJECT[[#This Row],[Patient ID]],'Lookup table'!A:A,'Lookup table'!C:C,,0)</f>
        <v>Female</v>
      </c>
      <c r="AE191" s="3" t="str">
        <f>IF(CAPSTONE_PROJECT[[#This Row],[Length of Stay]]&lt;=3,"Short Stay",IF(CAPSTONE_PROJECT[[#This Row],[Length of Stay]]&lt;=7,"Moderate Stay",IF(CAPSTONE_PROJECT[[#This Row],[Length of Stay]]&lt;=14,"Long Stay","Extended Stay")))</f>
        <v>Moderate Stay</v>
      </c>
    </row>
    <row r="192" spans="1:31" x14ac:dyDescent="0.3">
      <c r="A192" s="3" t="s">
        <v>441</v>
      </c>
      <c r="B192" s="4">
        <v>45553</v>
      </c>
      <c r="C192" s="4">
        <v>45563</v>
      </c>
      <c r="D192" s="4">
        <v>25216</v>
      </c>
      <c r="E192" s="3">
        <v>57</v>
      </c>
      <c r="F192" s="3" t="s">
        <v>33</v>
      </c>
      <c r="G192" s="3" t="s">
        <v>126</v>
      </c>
      <c r="H192" s="3" t="s">
        <v>100</v>
      </c>
      <c r="I192" s="3" t="s">
        <v>22</v>
      </c>
      <c r="J192" s="3" t="s">
        <v>15</v>
      </c>
      <c r="K192" s="3" t="s">
        <v>50</v>
      </c>
      <c r="L192" s="6">
        <v>678.19</v>
      </c>
      <c r="M192" s="6">
        <v>1289.46</v>
      </c>
      <c r="N192" s="6">
        <v>996.94</v>
      </c>
      <c r="O192" s="6">
        <v>12203.97</v>
      </c>
      <c r="P192" s="3" t="s">
        <v>25</v>
      </c>
      <c r="Q192" s="3" t="s">
        <v>1077</v>
      </c>
      <c r="R192" s="3" t="s">
        <v>62</v>
      </c>
      <c r="S192" s="3" t="s">
        <v>442</v>
      </c>
      <c r="T192" s="3">
        <v>3</v>
      </c>
      <c r="U192" s="3">
        <f>CAPSTONE_PROJECT[[#This Row],[Discharge Date]]-CAPSTONE_PROJECT[[#This Row],[Admission Date]]</f>
        <v>10</v>
      </c>
      <c r="V192" s="6">
        <f>SUM(CAPSTONE_PROJECT[[#This Row],[Room Cost]:[Treatment Cost]])</f>
        <v>15168.56</v>
      </c>
      <c r="W192" s="6">
        <f t="shared" si="2"/>
        <v>1516.856</v>
      </c>
      <c r="X192" s="3" t="str">
        <f>TEXT(CAPSTONE_PROJECT[[#This Row],[Admission Date]],"mmmm")</f>
        <v>September</v>
      </c>
      <c r="Y192" s="3" t="str">
        <f>TEXT(CAPSTONE_PROJECT[[#This Row],[Admission Date]],"yyyy")</f>
        <v>2024</v>
      </c>
      <c r="Z192" s="3" t="str">
        <f>TEXT(CAPSTONE_PROJECT[[#This Row],[Admission Date]],"mmm yyyy")</f>
        <v>Sep 2024</v>
      </c>
      <c r="AA192" s="3" t="str">
        <f>TEXT(CAPSTONE_PROJECT[[#This Row],[Admission Date]],"dddd")</f>
        <v>Wednesday</v>
      </c>
      <c r="AB192" s="3" t="str">
        <f>IF(CAPSTONE_PROJECT[[#This Row],[Age]]&lt;=34,"Young Adults",IF(CAPSTONE_PROJECT[[#This Row],[Age]]&lt;=59,"Adults","Elders"))</f>
        <v>Adults</v>
      </c>
      <c r="AC192" s="3" t="str">
        <f>_xlfn.XLOOKUP(CAPSTONE_PROJECT[[#This Row],[Patient ID]],'Lookup table'!A:A,'Lookup table'!B:B,,0)</f>
        <v>Noah Smith</v>
      </c>
      <c r="AD192" s="3" t="str">
        <f>_xlfn.XLOOKUP(CAPSTONE_PROJECT[[#This Row],[Patient ID]],'Lookup table'!A:A,'Lookup table'!C:C,,0)</f>
        <v>Male</v>
      </c>
      <c r="AE192" s="3" t="str">
        <f>IF(CAPSTONE_PROJECT[[#This Row],[Length of Stay]]&lt;=3,"Short Stay",IF(CAPSTONE_PROJECT[[#This Row],[Length of Stay]]&lt;=7,"Moderate Stay",IF(CAPSTONE_PROJECT[[#This Row],[Length of Stay]]&lt;=14,"Long Stay","Extended Stay")))</f>
        <v>Long Stay</v>
      </c>
    </row>
    <row r="193" spans="1:31" x14ac:dyDescent="0.3">
      <c r="A193" s="3" t="s">
        <v>443</v>
      </c>
      <c r="B193" s="4">
        <v>45345</v>
      </c>
      <c r="C193" s="4">
        <v>45351</v>
      </c>
      <c r="D193" s="4">
        <v>32533</v>
      </c>
      <c r="E193" s="3">
        <v>37</v>
      </c>
      <c r="F193" s="3" t="s">
        <v>18</v>
      </c>
      <c r="G193" s="3" t="s">
        <v>61</v>
      </c>
      <c r="H193" s="3" t="s">
        <v>1080</v>
      </c>
      <c r="I193" s="3" t="s">
        <v>22</v>
      </c>
      <c r="J193" s="3" t="s">
        <v>23</v>
      </c>
      <c r="K193" s="3" t="s">
        <v>24</v>
      </c>
      <c r="L193" s="6">
        <v>832.45</v>
      </c>
      <c r="M193" s="6">
        <v>411.67</v>
      </c>
      <c r="N193" s="6">
        <v>931.83</v>
      </c>
      <c r="O193" s="6">
        <v>13880.8</v>
      </c>
      <c r="P193" s="3" t="s">
        <v>16</v>
      </c>
      <c r="Q193" s="3" t="s">
        <v>1078</v>
      </c>
      <c r="R193" s="3" t="s">
        <v>10</v>
      </c>
      <c r="S193" s="3" t="s">
        <v>444</v>
      </c>
      <c r="T193" s="3">
        <v>6</v>
      </c>
      <c r="U193" s="3">
        <f>CAPSTONE_PROJECT[[#This Row],[Discharge Date]]-CAPSTONE_PROJECT[[#This Row],[Admission Date]]</f>
        <v>6</v>
      </c>
      <c r="V193" s="6">
        <f>SUM(CAPSTONE_PROJECT[[#This Row],[Room Cost]:[Treatment Cost]])</f>
        <v>16056.75</v>
      </c>
      <c r="W193" s="6">
        <f t="shared" si="2"/>
        <v>2676.125</v>
      </c>
      <c r="X193" s="3" t="str">
        <f>TEXT(CAPSTONE_PROJECT[[#This Row],[Admission Date]],"mmmm")</f>
        <v>February</v>
      </c>
      <c r="Y193" s="3" t="str">
        <f>TEXT(CAPSTONE_PROJECT[[#This Row],[Admission Date]],"yyyy")</f>
        <v>2024</v>
      </c>
      <c r="Z193" s="3" t="str">
        <f>TEXT(CAPSTONE_PROJECT[[#This Row],[Admission Date]],"mmm yyyy")</f>
        <v>Feb 2024</v>
      </c>
      <c r="AA193" s="3" t="str">
        <f>TEXT(CAPSTONE_PROJECT[[#This Row],[Admission Date]],"dddd")</f>
        <v>Friday</v>
      </c>
      <c r="AB193" s="3" t="str">
        <f>IF(CAPSTONE_PROJECT[[#This Row],[Age]]&lt;=34,"Young Adults",IF(CAPSTONE_PROJECT[[#This Row],[Age]]&lt;=59,"Adults","Elders"))</f>
        <v>Adults</v>
      </c>
      <c r="AC193" s="3" t="str">
        <f>_xlfn.XLOOKUP(CAPSTONE_PROJECT[[#This Row],[Patient ID]],'Lookup table'!A:A,'Lookup table'!B:B,,0)</f>
        <v>Freya G Evans</v>
      </c>
      <c r="AD193" s="3" t="str">
        <f>_xlfn.XLOOKUP(CAPSTONE_PROJECT[[#This Row],[Patient ID]],'Lookup table'!A:A,'Lookup table'!C:C,,0)</f>
        <v>Female</v>
      </c>
      <c r="AE193" s="3" t="str">
        <f>IF(CAPSTONE_PROJECT[[#This Row],[Length of Stay]]&lt;=3,"Short Stay",IF(CAPSTONE_PROJECT[[#This Row],[Length of Stay]]&lt;=7,"Moderate Stay",IF(CAPSTONE_PROJECT[[#This Row],[Length of Stay]]&lt;=14,"Long Stay","Extended Stay")))</f>
        <v>Moderate Stay</v>
      </c>
    </row>
    <row r="194" spans="1:31" x14ac:dyDescent="0.3">
      <c r="A194" s="3" t="s">
        <v>445</v>
      </c>
      <c r="B194" s="4">
        <v>45954</v>
      </c>
      <c r="C194" s="4">
        <v>45974</v>
      </c>
      <c r="D194" s="4">
        <v>16820</v>
      </c>
      <c r="E194" s="3">
        <v>80</v>
      </c>
      <c r="F194" s="3" t="s">
        <v>18</v>
      </c>
      <c r="G194" s="3" t="s">
        <v>27</v>
      </c>
      <c r="H194" s="3" t="s">
        <v>72</v>
      </c>
      <c r="I194" s="3" t="s">
        <v>13</v>
      </c>
      <c r="J194" s="3" t="s">
        <v>38</v>
      </c>
      <c r="K194" s="3" t="s">
        <v>65</v>
      </c>
      <c r="L194" s="6">
        <v>1754.61</v>
      </c>
      <c r="M194" s="6">
        <v>1724.11</v>
      </c>
      <c r="N194" s="6">
        <v>1192.1300000000001</v>
      </c>
      <c r="O194" s="6">
        <v>4890.5600000000004</v>
      </c>
      <c r="P194" s="3" t="s">
        <v>1083</v>
      </c>
      <c r="Q194" s="3" t="s">
        <v>1082</v>
      </c>
      <c r="R194" s="3" t="s">
        <v>75</v>
      </c>
      <c r="S194" s="3" t="s">
        <v>446</v>
      </c>
      <c r="T194" s="3">
        <v>3</v>
      </c>
      <c r="U194" s="3">
        <f>CAPSTONE_PROJECT[[#This Row],[Discharge Date]]-CAPSTONE_PROJECT[[#This Row],[Admission Date]]</f>
        <v>20</v>
      </c>
      <c r="V194" s="6">
        <f>SUM(CAPSTONE_PROJECT[[#This Row],[Room Cost]:[Treatment Cost]])</f>
        <v>9561.41</v>
      </c>
      <c r="W194" s="6">
        <f t="shared" ref="W194:W257" si="3">V194/U194</f>
        <v>478.07049999999998</v>
      </c>
      <c r="X194" s="3" t="str">
        <f>TEXT(CAPSTONE_PROJECT[[#This Row],[Admission Date]],"mmmm")</f>
        <v>October</v>
      </c>
      <c r="Y194" s="3" t="str">
        <f>TEXT(CAPSTONE_PROJECT[[#This Row],[Admission Date]],"yyyy")</f>
        <v>2025</v>
      </c>
      <c r="Z194" s="3" t="str">
        <f>TEXT(CAPSTONE_PROJECT[[#This Row],[Admission Date]],"mmm yyyy")</f>
        <v>Oct 2025</v>
      </c>
      <c r="AA194" s="3" t="str">
        <f>TEXT(CAPSTONE_PROJECT[[#This Row],[Admission Date]],"dddd")</f>
        <v>Friday</v>
      </c>
      <c r="AB194" s="3" t="str">
        <f>IF(CAPSTONE_PROJECT[[#This Row],[Age]]&lt;=34,"Young Adults",IF(CAPSTONE_PROJECT[[#This Row],[Age]]&lt;=59,"Adults","Elders"))</f>
        <v>Elders</v>
      </c>
      <c r="AC194" s="3" t="str">
        <f>_xlfn.XLOOKUP(CAPSTONE_PROJECT[[#This Row],[Patient ID]],'Lookup table'!A:A,'Lookup table'!B:B,,0)</f>
        <v>Ethan Jones</v>
      </c>
      <c r="AD194" s="3" t="str">
        <f>_xlfn.XLOOKUP(CAPSTONE_PROJECT[[#This Row],[Patient ID]],'Lookup table'!A:A,'Lookup table'!C:C,,0)</f>
        <v>Male</v>
      </c>
      <c r="AE194" s="3" t="str">
        <f>IF(CAPSTONE_PROJECT[[#This Row],[Length of Stay]]&lt;=3,"Short Stay",IF(CAPSTONE_PROJECT[[#This Row],[Length of Stay]]&lt;=7,"Moderate Stay",IF(CAPSTONE_PROJECT[[#This Row],[Length of Stay]]&lt;=14,"Long Stay","Extended Stay")))</f>
        <v>Extended Stay</v>
      </c>
    </row>
    <row r="195" spans="1:31" x14ac:dyDescent="0.3">
      <c r="A195" s="3" t="s">
        <v>447</v>
      </c>
      <c r="B195" s="4">
        <v>45503</v>
      </c>
      <c r="C195" s="4">
        <v>45523</v>
      </c>
      <c r="D195" s="4">
        <v>25276</v>
      </c>
      <c r="E195" s="3">
        <v>57</v>
      </c>
      <c r="F195" s="3" t="s">
        <v>33</v>
      </c>
      <c r="G195" s="3" t="s">
        <v>40</v>
      </c>
      <c r="H195" s="3" t="s">
        <v>72</v>
      </c>
      <c r="I195" s="3" t="s">
        <v>13</v>
      </c>
      <c r="J195" s="3" t="s">
        <v>23</v>
      </c>
      <c r="K195" s="3" t="s">
        <v>15</v>
      </c>
      <c r="L195" s="6">
        <v>3311.85</v>
      </c>
      <c r="M195" s="6">
        <v>1556.86</v>
      </c>
      <c r="N195" s="6">
        <v>1781.04</v>
      </c>
      <c r="O195" s="6">
        <v>11965.22</v>
      </c>
      <c r="P195" s="3" t="s">
        <v>1083</v>
      </c>
      <c r="Q195" s="3" t="s">
        <v>1081</v>
      </c>
      <c r="R195" s="3" t="s">
        <v>75</v>
      </c>
      <c r="S195" s="3" t="s">
        <v>448</v>
      </c>
      <c r="T195" s="3">
        <v>3</v>
      </c>
      <c r="U195" s="3">
        <f>CAPSTONE_PROJECT[[#This Row],[Discharge Date]]-CAPSTONE_PROJECT[[#This Row],[Admission Date]]</f>
        <v>20</v>
      </c>
      <c r="V195" s="6">
        <f>SUM(CAPSTONE_PROJECT[[#This Row],[Room Cost]:[Treatment Cost]])</f>
        <v>18614.97</v>
      </c>
      <c r="W195" s="6">
        <f t="shared" si="3"/>
        <v>930.74850000000004</v>
      </c>
      <c r="X195" s="3" t="str">
        <f>TEXT(CAPSTONE_PROJECT[[#This Row],[Admission Date]],"mmmm")</f>
        <v>July</v>
      </c>
      <c r="Y195" s="3" t="str">
        <f>TEXT(CAPSTONE_PROJECT[[#This Row],[Admission Date]],"yyyy")</f>
        <v>2024</v>
      </c>
      <c r="Z195" s="3" t="str">
        <f>TEXT(CAPSTONE_PROJECT[[#This Row],[Admission Date]],"mmm yyyy")</f>
        <v>Jul 2024</v>
      </c>
      <c r="AA195" s="3" t="str">
        <f>TEXT(CAPSTONE_PROJECT[[#This Row],[Admission Date]],"dddd")</f>
        <v>Tuesday</v>
      </c>
      <c r="AB195" s="3" t="str">
        <f>IF(CAPSTONE_PROJECT[[#This Row],[Age]]&lt;=34,"Young Adults",IF(CAPSTONE_PROJECT[[#This Row],[Age]]&lt;=59,"Adults","Elders"))</f>
        <v>Adults</v>
      </c>
      <c r="AC195" s="3" t="str">
        <f>_xlfn.XLOOKUP(CAPSTONE_PROJECT[[#This Row],[Patient ID]],'Lookup table'!A:A,'Lookup table'!B:B,,0)</f>
        <v>Amelia L Wilson</v>
      </c>
      <c r="AD195" s="3" t="str">
        <f>_xlfn.XLOOKUP(CAPSTONE_PROJECT[[#This Row],[Patient ID]],'Lookup table'!A:A,'Lookup table'!C:C,,0)</f>
        <v>Female</v>
      </c>
      <c r="AE195" s="3" t="str">
        <f>IF(CAPSTONE_PROJECT[[#This Row],[Length of Stay]]&lt;=3,"Short Stay",IF(CAPSTONE_PROJECT[[#This Row],[Length of Stay]]&lt;=7,"Moderate Stay",IF(CAPSTONE_PROJECT[[#This Row],[Length of Stay]]&lt;=14,"Long Stay","Extended Stay")))</f>
        <v>Extended Stay</v>
      </c>
    </row>
    <row r="196" spans="1:31" x14ac:dyDescent="0.3">
      <c r="A196" s="3" t="s">
        <v>449</v>
      </c>
      <c r="B196" s="4">
        <v>45632</v>
      </c>
      <c r="C196" s="4">
        <v>45640</v>
      </c>
      <c r="D196" s="4">
        <v>29222</v>
      </c>
      <c r="E196" s="3">
        <v>46</v>
      </c>
      <c r="F196" s="3" t="s">
        <v>18</v>
      </c>
      <c r="G196" s="3" t="s">
        <v>57</v>
      </c>
      <c r="H196" s="3" t="s">
        <v>1080</v>
      </c>
      <c r="I196" s="3" t="s">
        <v>13</v>
      </c>
      <c r="J196" s="3" t="s">
        <v>64</v>
      </c>
      <c r="K196" s="3" t="s">
        <v>50</v>
      </c>
      <c r="L196" s="6">
        <v>4488.29</v>
      </c>
      <c r="M196" s="6">
        <v>558.84</v>
      </c>
      <c r="N196" s="6">
        <v>96.37</v>
      </c>
      <c r="O196" s="6">
        <v>2285.3200000000002</v>
      </c>
      <c r="P196" s="3" t="s">
        <v>31</v>
      </c>
      <c r="Q196" s="3" t="s">
        <v>1082</v>
      </c>
      <c r="R196" s="3" t="s">
        <v>58</v>
      </c>
      <c r="S196" s="3" t="s">
        <v>450</v>
      </c>
      <c r="T196" s="3">
        <v>10</v>
      </c>
      <c r="U196" s="3">
        <f>CAPSTONE_PROJECT[[#This Row],[Discharge Date]]-CAPSTONE_PROJECT[[#This Row],[Admission Date]]</f>
        <v>8</v>
      </c>
      <c r="V196" s="6">
        <f>SUM(CAPSTONE_PROJECT[[#This Row],[Room Cost]:[Treatment Cost]])</f>
        <v>7428.82</v>
      </c>
      <c r="W196" s="6">
        <f t="shared" si="3"/>
        <v>928.60249999999996</v>
      </c>
      <c r="X196" s="3" t="str">
        <f>TEXT(CAPSTONE_PROJECT[[#This Row],[Admission Date]],"mmmm")</f>
        <v>December</v>
      </c>
      <c r="Y196" s="3" t="str">
        <f>TEXT(CAPSTONE_PROJECT[[#This Row],[Admission Date]],"yyyy")</f>
        <v>2024</v>
      </c>
      <c r="Z196" s="3" t="str">
        <f>TEXT(CAPSTONE_PROJECT[[#This Row],[Admission Date]],"mmm yyyy")</f>
        <v>Dec 2024</v>
      </c>
      <c r="AA196" s="3" t="str">
        <f>TEXT(CAPSTONE_PROJECT[[#This Row],[Admission Date]],"dddd")</f>
        <v>Friday</v>
      </c>
      <c r="AB196" s="3" t="str">
        <f>IF(CAPSTONE_PROJECT[[#This Row],[Age]]&lt;=34,"Young Adults",IF(CAPSTONE_PROJECT[[#This Row],[Age]]&lt;=59,"Adults","Elders"))</f>
        <v>Adults</v>
      </c>
      <c r="AC196" s="3" t="str">
        <f>_xlfn.XLOOKUP(CAPSTONE_PROJECT[[#This Row],[Patient ID]],'Lookup table'!A:A,'Lookup table'!B:B,,0)</f>
        <v>Henry Hall</v>
      </c>
      <c r="AD196" s="3" t="str">
        <f>_xlfn.XLOOKUP(CAPSTONE_PROJECT[[#This Row],[Patient ID]],'Lookup table'!A:A,'Lookup table'!C:C,,0)</f>
        <v>Male</v>
      </c>
      <c r="AE196" s="3" t="str">
        <f>IF(CAPSTONE_PROJECT[[#This Row],[Length of Stay]]&lt;=3,"Short Stay",IF(CAPSTONE_PROJECT[[#This Row],[Length of Stay]]&lt;=7,"Moderate Stay",IF(CAPSTONE_PROJECT[[#This Row],[Length of Stay]]&lt;=14,"Long Stay","Extended Stay")))</f>
        <v>Long Stay</v>
      </c>
    </row>
    <row r="197" spans="1:31" x14ac:dyDescent="0.3">
      <c r="A197" s="3" t="s">
        <v>451</v>
      </c>
      <c r="B197" s="4">
        <v>45661</v>
      </c>
      <c r="C197" s="4">
        <v>45675</v>
      </c>
      <c r="D197" s="4">
        <v>27904</v>
      </c>
      <c r="E197" s="3">
        <v>50</v>
      </c>
      <c r="F197" s="3" t="s">
        <v>18</v>
      </c>
      <c r="G197" s="3" t="s">
        <v>57</v>
      </c>
      <c r="H197" s="3" t="s">
        <v>12</v>
      </c>
      <c r="I197" s="3" t="s">
        <v>44</v>
      </c>
      <c r="J197" s="3" t="s">
        <v>73</v>
      </c>
      <c r="K197" s="3" t="s">
        <v>24</v>
      </c>
      <c r="L197" s="6">
        <v>3686.6</v>
      </c>
      <c r="M197" s="6">
        <v>1899.36</v>
      </c>
      <c r="N197" s="6">
        <v>2198.3000000000002</v>
      </c>
      <c r="O197" s="6">
        <v>3884.96</v>
      </c>
      <c r="P197" s="3" t="s">
        <v>25</v>
      </c>
      <c r="Q197" s="3" t="s">
        <v>1082</v>
      </c>
      <c r="R197" s="3" t="s">
        <v>68</v>
      </c>
      <c r="S197" s="3" t="s">
        <v>452</v>
      </c>
      <c r="T197" s="3">
        <v>3</v>
      </c>
      <c r="U197" s="3">
        <f>CAPSTONE_PROJECT[[#This Row],[Discharge Date]]-CAPSTONE_PROJECT[[#This Row],[Admission Date]]</f>
        <v>14</v>
      </c>
      <c r="V197" s="6">
        <f>SUM(CAPSTONE_PROJECT[[#This Row],[Room Cost]:[Treatment Cost]])</f>
        <v>11669.220000000001</v>
      </c>
      <c r="W197" s="6">
        <f t="shared" si="3"/>
        <v>833.51571428571435</v>
      </c>
      <c r="X197" s="3" t="str">
        <f>TEXT(CAPSTONE_PROJECT[[#This Row],[Admission Date]],"mmmm")</f>
        <v>January</v>
      </c>
      <c r="Y197" s="3" t="str">
        <f>TEXT(CAPSTONE_PROJECT[[#This Row],[Admission Date]],"yyyy")</f>
        <v>2025</v>
      </c>
      <c r="Z197" s="3" t="str">
        <f>TEXT(CAPSTONE_PROJECT[[#This Row],[Admission Date]],"mmm yyyy")</f>
        <v>Jan 2025</v>
      </c>
      <c r="AA197" s="3" t="str">
        <f>TEXT(CAPSTONE_PROJECT[[#This Row],[Admission Date]],"dddd")</f>
        <v>Saturday</v>
      </c>
      <c r="AB197" s="3" t="str">
        <f>IF(CAPSTONE_PROJECT[[#This Row],[Age]]&lt;=34,"Young Adults",IF(CAPSTONE_PROJECT[[#This Row],[Age]]&lt;=59,"Adults","Elders"))</f>
        <v>Adults</v>
      </c>
      <c r="AC197" s="3" t="str">
        <f>_xlfn.XLOOKUP(CAPSTONE_PROJECT[[#This Row],[Patient ID]],'Lookup table'!A:A,'Lookup table'!B:B,,0)</f>
        <v>Charlotte H Thomas</v>
      </c>
      <c r="AD197" s="3" t="str">
        <f>_xlfn.XLOOKUP(CAPSTONE_PROJECT[[#This Row],[Patient ID]],'Lookup table'!A:A,'Lookup table'!C:C,,0)</f>
        <v>Female</v>
      </c>
      <c r="AE197" s="3" t="str">
        <f>IF(CAPSTONE_PROJECT[[#This Row],[Length of Stay]]&lt;=3,"Short Stay",IF(CAPSTONE_PROJECT[[#This Row],[Length of Stay]]&lt;=7,"Moderate Stay",IF(CAPSTONE_PROJECT[[#This Row],[Length of Stay]]&lt;=14,"Long Stay","Extended Stay")))</f>
        <v>Long Stay</v>
      </c>
    </row>
    <row r="198" spans="1:31" x14ac:dyDescent="0.3">
      <c r="A198" s="3" t="s">
        <v>453</v>
      </c>
      <c r="B198" s="4">
        <v>45788</v>
      </c>
      <c r="C198" s="4">
        <v>45803</v>
      </c>
      <c r="D198" s="4">
        <v>24824</v>
      </c>
      <c r="E198" s="3">
        <v>58</v>
      </c>
      <c r="F198" s="3" t="s">
        <v>8</v>
      </c>
      <c r="G198" s="3" t="s">
        <v>61</v>
      </c>
      <c r="H198" s="3" t="s">
        <v>1080</v>
      </c>
      <c r="I198" s="3" t="s">
        <v>44</v>
      </c>
      <c r="J198" s="3" t="s">
        <v>15</v>
      </c>
      <c r="K198" s="3" t="s">
        <v>50</v>
      </c>
      <c r="L198" s="6">
        <v>960.74</v>
      </c>
      <c r="M198" s="6">
        <v>87.21</v>
      </c>
      <c r="N198" s="6">
        <v>590.96</v>
      </c>
      <c r="O198" s="6">
        <v>13585.11</v>
      </c>
      <c r="P198" s="3" t="s">
        <v>51</v>
      </c>
      <c r="Q198" s="3" t="s">
        <v>1077</v>
      </c>
      <c r="R198" s="3" t="s">
        <v>54</v>
      </c>
      <c r="S198" s="3" t="s">
        <v>454</v>
      </c>
      <c r="T198" s="3">
        <v>4</v>
      </c>
      <c r="U198" s="3">
        <f>CAPSTONE_PROJECT[[#This Row],[Discharge Date]]-CAPSTONE_PROJECT[[#This Row],[Admission Date]]</f>
        <v>15</v>
      </c>
      <c r="V198" s="6">
        <f>SUM(CAPSTONE_PROJECT[[#This Row],[Room Cost]:[Treatment Cost]])</f>
        <v>15224.02</v>
      </c>
      <c r="W198" s="6">
        <f t="shared" si="3"/>
        <v>1014.9346666666667</v>
      </c>
      <c r="X198" s="3" t="str">
        <f>TEXT(CAPSTONE_PROJECT[[#This Row],[Admission Date]],"mmmm")</f>
        <v>May</v>
      </c>
      <c r="Y198" s="3" t="str">
        <f>TEXT(CAPSTONE_PROJECT[[#This Row],[Admission Date]],"yyyy")</f>
        <v>2025</v>
      </c>
      <c r="Z198" s="3" t="str">
        <f>TEXT(CAPSTONE_PROJECT[[#This Row],[Admission Date]],"mmm yyyy")</f>
        <v>May 2025</v>
      </c>
      <c r="AA198" s="3" t="str">
        <f>TEXT(CAPSTONE_PROJECT[[#This Row],[Admission Date]],"dddd")</f>
        <v>Sunday</v>
      </c>
      <c r="AB198" s="3" t="str">
        <f>IF(CAPSTONE_PROJECT[[#This Row],[Age]]&lt;=34,"Young Adults",IF(CAPSTONE_PROJECT[[#This Row],[Age]]&lt;=59,"Adults","Elders"))</f>
        <v>Adults</v>
      </c>
      <c r="AC198" s="3" t="str">
        <f>_xlfn.XLOOKUP(CAPSTONE_PROJECT[[#This Row],[Patient ID]],'Lookup table'!A:A,'Lookup table'!B:B,,0)</f>
        <v>Leo White</v>
      </c>
      <c r="AD198" s="3" t="str">
        <f>_xlfn.XLOOKUP(CAPSTONE_PROJECT[[#This Row],[Patient ID]],'Lookup table'!A:A,'Lookup table'!C:C,,0)</f>
        <v>Male</v>
      </c>
      <c r="AE198" s="3" t="str">
        <f>IF(CAPSTONE_PROJECT[[#This Row],[Length of Stay]]&lt;=3,"Short Stay",IF(CAPSTONE_PROJECT[[#This Row],[Length of Stay]]&lt;=7,"Moderate Stay",IF(CAPSTONE_PROJECT[[#This Row],[Length of Stay]]&lt;=14,"Long Stay","Extended Stay")))</f>
        <v>Extended Stay</v>
      </c>
    </row>
    <row r="199" spans="1:31" x14ac:dyDescent="0.3">
      <c r="A199" s="3" t="s">
        <v>455</v>
      </c>
      <c r="B199" s="4">
        <v>45623</v>
      </c>
      <c r="C199" s="4">
        <v>45628</v>
      </c>
      <c r="D199" s="4">
        <v>25115</v>
      </c>
      <c r="E199" s="3">
        <v>57</v>
      </c>
      <c r="F199" s="3" t="s">
        <v>33</v>
      </c>
      <c r="G199" s="3" t="s">
        <v>34</v>
      </c>
      <c r="H199" s="3" t="s">
        <v>43</v>
      </c>
      <c r="I199" s="3" t="s">
        <v>22</v>
      </c>
      <c r="J199" s="3" t="s">
        <v>64</v>
      </c>
      <c r="K199" s="3" t="s">
        <v>65</v>
      </c>
      <c r="L199" s="6">
        <v>3233.26</v>
      </c>
      <c r="M199" s="6">
        <v>550.9</v>
      </c>
      <c r="N199" s="6">
        <v>1971.84</v>
      </c>
      <c r="O199" s="6">
        <v>10415.9</v>
      </c>
      <c r="P199" s="3" t="s">
        <v>16</v>
      </c>
      <c r="Q199" s="3" t="s">
        <v>1084</v>
      </c>
      <c r="R199" s="3" t="s">
        <v>54</v>
      </c>
      <c r="S199" s="3" t="s">
        <v>456</v>
      </c>
      <c r="T199" s="3">
        <v>7</v>
      </c>
      <c r="U199" s="3">
        <f>CAPSTONE_PROJECT[[#This Row],[Discharge Date]]-CAPSTONE_PROJECT[[#This Row],[Admission Date]]</f>
        <v>5</v>
      </c>
      <c r="V199" s="6">
        <f>SUM(CAPSTONE_PROJECT[[#This Row],[Room Cost]:[Treatment Cost]])</f>
        <v>16171.9</v>
      </c>
      <c r="W199" s="6">
        <f t="shared" si="3"/>
        <v>3234.38</v>
      </c>
      <c r="X199" s="3" t="str">
        <f>TEXT(CAPSTONE_PROJECT[[#This Row],[Admission Date]],"mmmm")</f>
        <v>November</v>
      </c>
      <c r="Y199" s="3" t="str">
        <f>TEXT(CAPSTONE_PROJECT[[#This Row],[Admission Date]],"yyyy")</f>
        <v>2024</v>
      </c>
      <c r="Z199" s="3" t="str">
        <f>TEXT(CAPSTONE_PROJECT[[#This Row],[Admission Date]],"mmm yyyy")</f>
        <v>Nov 2024</v>
      </c>
      <c r="AA199" s="3" t="str">
        <f>TEXT(CAPSTONE_PROJECT[[#This Row],[Admission Date]],"dddd")</f>
        <v>Wednesday</v>
      </c>
      <c r="AB199" s="3" t="str">
        <f>IF(CAPSTONE_PROJECT[[#This Row],[Age]]&lt;=34,"Young Adults",IF(CAPSTONE_PROJECT[[#This Row],[Age]]&lt;=59,"Adults","Elders"))</f>
        <v>Adults</v>
      </c>
      <c r="AC199" s="3" t="str">
        <f>_xlfn.XLOOKUP(CAPSTONE_PROJECT[[#This Row],[Patient ID]],'Lookup table'!A:A,'Lookup table'!B:B,,0)</f>
        <v>Lily White</v>
      </c>
      <c r="AD199" s="3" t="str">
        <f>_xlfn.XLOOKUP(CAPSTONE_PROJECT[[#This Row],[Patient ID]],'Lookup table'!A:A,'Lookup table'!C:C,,0)</f>
        <v>Female</v>
      </c>
      <c r="AE199" s="3" t="str">
        <f>IF(CAPSTONE_PROJECT[[#This Row],[Length of Stay]]&lt;=3,"Short Stay",IF(CAPSTONE_PROJECT[[#This Row],[Length of Stay]]&lt;=7,"Moderate Stay",IF(CAPSTONE_PROJECT[[#This Row],[Length of Stay]]&lt;=14,"Long Stay","Extended Stay")))</f>
        <v>Moderate Stay</v>
      </c>
    </row>
    <row r="200" spans="1:31" x14ac:dyDescent="0.3">
      <c r="A200" s="3" t="s">
        <v>457</v>
      </c>
      <c r="B200" s="4">
        <v>45689</v>
      </c>
      <c r="C200" s="4">
        <v>45702</v>
      </c>
      <c r="D200" s="4">
        <v>16898</v>
      </c>
      <c r="E200" s="3">
        <v>80</v>
      </c>
      <c r="F200" s="3" t="s">
        <v>18</v>
      </c>
      <c r="G200" s="3" t="s">
        <v>34</v>
      </c>
      <c r="H200" s="3" t="s">
        <v>12</v>
      </c>
      <c r="I200" s="3" t="s">
        <v>13</v>
      </c>
      <c r="J200" s="3" t="s">
        <v>38</v>
      </c>
      <c r="K200" s="3" t="s">
        <v>15</v>
      </c>
      <c r="L200" s="6">
        <v>3177.39</v>
      </c>
      <c r="M200" s="6">
        <v>940.53</v>
      </c>
      <c r="N200" s="6">
        <v>572.85</v>
      </c>
      <c r="O200" s="6">
        <v>2734.49</v>
      </c>
      <c r="P200" s="3" t="s">
        <v>51</v>
      </c>
      <c r="Q200" s="3" t="s">
        <v>1085</v>
      </c>
      <c r="R200" s="3" t="s">
        <v>19</v>
      </c>
      <c r="S200" s="3" t="s">
        <v>458</v>
      </c>
      <c r="T200" s="3">
        <v>7</v>
      </c>
      <c r="U200" s="3">
        <f>CAPSTONE_PROJECT[[#This Row],[Discharge Date]]-CAPSTONE_PROJECT[[#This Row],[Admission Date]]</f>
        <v>13</v>
      </c>
      <c r="V200" s="6">
        <f>SUM(CAPSTONE_PROJECT[[#This Row],[Room Cost]:[Treatment Cost]])</f>
        <v>7425.26</v>
      </c>
      <c r="W200" s="6">
        <f t="shared" si="3"/>
        <v>571.17384615384617</v>
      </c>
      <c r="X200" s="3" t="str">
        <f>TEXT(CAPSTONE_PROJECT[[#This Row],[Admission Date]],"mmmm")</f>
        <v>February</v>
      </c>
      <c r="Y200" s="3" t="str">
        <f>TEXT(CAPSTONE_PROJECT[[#This Row],[Admission Date]],"yyyy")</f>
        <v>2025</v>
      </c>
      <c r="Z200" s="3" t="str">
        <f>TEXT(CAPSTONE_PROJECT[[#This Row],[Admission Date]],"mmm yyyy")</f>
        <v>Feb 2025</v>
      </c>
      <c r="AA200" s="3" t="str">
        <f>TEXT(CAPSTONE_PROJECT[[#This Row],[Admission Date]],"dddd")</f>
        <v>Saturday</v>
      </c>
      <c r="AB200" s="3" t="str">
        <f>IF(CAPSTONE_PROJECT[[#This Row],[Age]]&lt;=34,"Young Adults",IF(CAPSTONE_PROJECT[[#This Row],[Age]]&lt;=59,"Adults","Elders"))</f>
        <v>Elders</v>
      </c>
      <c r="AC200" s="3" t="str">
        <f>_xlfn.XLOOKUP(CAPSTONE_PROJECT[[#This Row],[Patient ID]],'Lookup table'!A:A,'Lookup table'!B:B,,0)</f>
        <v>Arthur Hall</v>
      </c>
      <c r="AD200" s="3" t="str">
        <f>_xlfn.XLOOKUP(CAPSTONE_PROJECT[[#This Row],[Patient ID]],'Lookup table'!A:A,'Lookup table'!C:C,,0)</f>
        <v>Male</v>
      </c>
      <c r="AE200" s="3" t="str">
        <f>IF(CAPSTONE_PROJECT[[#This Row],[Length of Stay]]&lt;=3,"Short Stay",IF(CAPSTONE_PROJECT[[#This Row],[Length of Stay]]&lt;=7,"Moderate Stay",IF(CAPSTONE_PROJECT[[#This Row],[Length of Stay]]&lt;=14,"Long Stay","Extended Stay")))</f>
        <v>Long Stay</v>
      </c>
    </row>
    <row r="201" spans="1:31" x14ac:dyDescent="0.3">
      <c r="A201" s="3" t="s">
        <v>459</v>
      </c>
      <c r="B201" s="4">
        <v>45984</v>
      </c>
      <c r="C201" s="4">
        <v>45992</v>
      </c>
      <c r="D201" s="4">
        <v>28291</v>
      </c>
      <c r="E201" s="3">
        <v>48</v>
      </c>
      <c r="F201" s="3" t="s">
        <v>18</v>
      </c>
      <c r="G201" s="3" t="s">
        <v>9</v>
      </c>
      <c r="H201" s="3" t="s">
        <v>114</v>
      </c>
      <c r="I201" s="3" t="s">
        <v>37</v>
      </c>
      <c r="J201" s="3" t="s">
        <v>14</v>
      </c>
      <c r="K201" s="3" t="s">
        <v>65</v>
      </c>
      <c r="L201" s="6">
        <v>920.47</v>
      </c>
      <c r="M201" s="6">
        <v>1523.42</v>
      </c>
      <c r="N201" s="6">
        <v>1286.82</v>
      </c>
      <c r="O201" s="6">
        <v>9290.91</v>
      </c>
      <c r="P201" s="3" t="s">
        <v>31</v>
      </c>
      <c r="Q201" s="3" t="s">
        <v>1084</v>
      </c>
      <c r="R201" s="3" t="s">
        <v>62</v>
      </c>
      <c r="S201" s="3" t="s">
        <v>460</v>
      </c>
      <c r="T201" s="3">
        <v>2</v>
      </c>
      <c r="U201" s="3">
        <f>CAPSTONE_PROJECT[[#This Row],[Discharge Date]]-CAPSTONE_PROJECT[[#This Row],[Admission Date]]</f>
        <v>8</v>
      </c>
      <c r="V201" s="6">
        <f>SUM(CAPSTONE_PROJECT[[#This Row],[Room Cost]:[Treatment Cost]])</f>
        <v>13021.619999999999</v>
      </c>
      <c r="W201" s="6">
        <f t="shared" si="3"/>
        <v>1627.7024999999999</v>
      </c>
      <c r="X201" s="3" t="str">
        <f>TEXT(CAPSTONE_PROJECT[[#This Row],[Admission Date]],"mmmm")</f>
        <v>November</v>
      </c>
      <c r="Y201" s="3" t="str">
        <f>TEXT(CAPSTONE_PROJECT[[#This Row],[Admission Date]],"yyyy")</f>
        <v>2025</v>
      </c>
      <c r="Z201" s="3" t="str">
        <f>TEXT(CAPSTONE_PROJECT[[#This Row],[Admission Date]],"mmm yyyy")</f>
        <v>Nov 2025</v>
      </c>
      <c r="AA201" s="3" t="str">
        <f>TEXT(CAPSTONE_PROJECT[[#This Row],[Admission Date]],"dddd")</f>
        <v>Sunday</v>
      </c>
      <c r="AB201" s="3" t="str">
        <f>IF(CAPSTONE_PROJECT[[#This Row],[Age]]&lt;=34,"Young Adults",IF(CAPSTONE_PROJECT[[#This Row],[Age]]&lt;=59,"Adults","Elders"))</f>
        <v>Adults</v>
      </c>
      <c r="AC201" s="3" t="str">
        <f>_xlfn.XLOOKUP(CAPSTONE_PROJECT[[#This Row],[Patient ID]],'Lookup table'!A:A,'Lookup table'!B:B,,0)</f>
        <v>Sarah White</v>
      </c>
      <c r="AD201" s="3" t="str">
        <f>_xlfn.XLOOKUP(CAPSTONE_PROJECT[[#This Row],[Patient ID]],'Lookup table'!A:A,'Lookup table'!C:C,,0)</f>
        <v>Female</v>
      </c>
      <c r="AE201" s="3" t="str">
        <f>IF(CAPSTONE_PROJECT[[#This Row],[Length of Stay]]&lt;=3,"Short Stay",IF(CAPSTONE_PROJECT[[#This Row],[Length of Stay]]&lt;=7,"Moderate Stay",IF(CAPSTONE_PROJECT[[#This Row],[Length of Stay]]&lt;=14,"Long Stay","Extended Stay")))</f>
        <v>Long Stay</v>
      </c>
    </row>
    <row r="202" spans="1:31" x14ac:dyDescent="0.3">
      <c r="A202" s="3" t="s">
        <v>461</v>
      </c>
      <c r="B202" s="4">
        <v>45807</v>
      </c>
      <c r="C202" s="4">
        <v>45808</v>
      </c>
      <c r="D202" s="4">
        <v>22557</v>
      </c>
      <c r="E202" s="3">
        <v>64</v>
      </c>
      <c r="F202" s="3" t="s">
        <v>33</v>
      </c>
      <c r="G202" s="3" t="s">
        <v>9</v>
      </c>
      <c r="H202" s="3" t="s">
        <v>100</v>
      </c>
      <c r="I202" s="3" t="s">
        <v>44</v>
      </c>
      <c r="J202" s="3" t="s">
        <v>23</v>
      </c>
      <c r="K202" s="3" t="s">
        <v>24</v>
      </c>
      <c r="L202" s="6">
        <v>3706.44</v>
      </c>
      <c r="M202" s="6">
        <v>50.75</v>
      </c>
      <c r="N202" s="6">
        <v>1663.53</v>
      </c>
      <c r="O202" s="6">
        <v>15453.41</v>
      </c>
      <c r="P202" s="3" t="s">
        <v>51</v>
      </c>
      <c r="Q202" s="3" t="s">
        <v>1077</v>
      </c>
      <c r="R202" s="3" t="s">
        <v>68</v>
      </c>
      <c r="S202" s="3" t="s">
        <v>462</v>
      </c>
      <c r="T202" s="3">
        <v>7</v>
      </c>
      <c r="U202" s="3">
        <f>CAPSTONE_PROJECT[[#This Row],[Discharge Date]]-CAPSTONE_PROJECT[[#This Row],[Admission Date]]</f>
        <v>1</v>
      </c>
      <c r="V202" s="6">
        <f>SUM(CAPSTONE_PROJECT[[#This Row],[Room Cost]:[Treatment Cost]])</f>
        <v>20874.13</v>
      </c>
      <c r="W202" s="6">
        <f t="shared" si="3"/>
        <v>20874.13</v>
      </c>
      <c r="X202" s="3" t="str">
        <f>TEXT(CAPSTONE_PROJECT[[#This Row],[Admission Date]],"mmmm")</f>
        <v>May</v>
      </c>
      <c r="Y202" s="3" t="str">
        <f>TEXT(CAPSTONE_PROJECT[[#This Row],[Admission Date]],"yyyy")</f>
        <v>2025</v>
      </c>
      <c r="Z202" s="3" t="str">
        <f>TEXT(CAPSTONE_PROJECT[[#This Row],[Admission Date]],"mmm yyyy")</f>
        <v>May 2025</v>
      </c>
      <c r="AA202" s="3" t="str">
        <f>TEXT(CAPSTONE_PROJECT[[#This Row],[Admission Date]],"dddd")</f>
        <v>Friday</v>
      </c>
      <c r="AB202" s="3" t="str">
        <f>IF(CAPSTONE_PROJECT[[#This Row],[Age]]&lt;=34,"Young Adults",IF(CAPSTONE_PROJECT[[#This Row],[Age]]&lt;=59,"Adults","Elders"))</f>
        <v>Elders</v>
      </c>
      <c r="AC202" s="3" t="str">
        <f>_xlfn.XLOOKUP(CAPSTONE_PROJECT[[#This Row],[Patient ID]],'Lookup table'!A:A,'Lookup table'!B:B,,0)</f>
        <v>Lucas Z Thompson</v>
      </c>
      <c r="AD202" s="3" t="str">
        <f>_xlfn.XLOOKUP(CAPSTONE_PROJECT[[#This Row],[Patient ID]],'Lookup table'!A:A,'Lookup table'!C:C,,0)</f>
        <v>Male</v>
      </c>
      <c r="AE202" s="3" t="str">
        <f>IF(CAPSTONE_PROJECT[[#This Row],[Length of Stay]]&lt;=3,"Short Stay",IF(CAPSTONE_PROJECT[[#This Row],[Length of Stay]]&lt;=7,"Moderate Stay",IF(CAPSTONE_PROJECT[[#This Row],[Length of Stay]]&lt;=14,"Long Stay","Extended Stay")))</f>
        <v>Short Stay</v>
      </c>
    </row>
    <row r="203" spans="1:31" x14ac:dyDescent="0.3">
      <c r="A203" s="3" t="s">
        <v>463</v>
      </c>
      <c r="B203" s="4">
        <v>46000</v>
      </c>
      <c r="C203" s="4">
        <v>46013</v>
      </c>
      <c r="D203" s="4">
        <v>31639</v>
      </c>
      <c r="E203" s="3">
        <v>39</v>
      </c>
      <c r="F203" s="3" t="s">
        <v>18</v>
      </c>
      <c r="G203" s="3" t="s">
        <v>27</v>
      </c>
      <c r="H203" s="3" t="s">
        <v>21</v>
      </c>
      <c r="I203" s="3" t="s">
        <v>44</v>
      </c>
      <c r="J203" s="3" t="s">
        <v>45</v>
      </c>
      <c r="K203" s="3" t="s">
        <v>50</v>
      </c>
      <c r="L203" s="6">
        <v>3910.82</v>
      </c>
      <c r="M203" s="6">
        <v>885.09</v>
      </c>
      <c r="N203" s="6">
        <v>2945.38</v>
      </c>
      <c r="O203" s="6">
        <v>2210.92</v>
      </c>
      <c r="P203" s="3" t="s">
        <v>25</v>
      </c>
      <c r="Q203" s="3" t="s">
        <v>1087</v>
      </c>
      <c r="R203" s="3" t="s">
        <v>58</v>
      </c>
      <c r="S203" s="3" t="s">
        <v>464</v>
      </c>
      <c r="T203" s="3">
        <v>7</v>
      </c>
      <c r="U203" s="3">
        <f>CAPSTONE_PROJECT[[#This Row],[Discharge Date]]-CAPSTONE_PROJECT[[#This Row],[Admission Date]]</f>
        <v>13</v>
      </c>
      <c r="V203" s="6">
        <f>SUM(CAPSTONE_PROJECT[[#This Row],[Room Cost]:[Treatment Cost]])</f>
        <v>9952.2099999999991</v>
      </c>
      <c r="W203" s="6">
        <f t="shared" si="3"/>
        <v>765.55461538461532</v>
      </c>
      <c r="X203" s="3" t="str">
        <f>TEXT(CAPSTONE_PROJECT[[#This Row],[Admission Date]],"mmmm")</f>
        <v>December</v>
      </c>
      <c r="Y203" s="3" t="str">
        <f>TEXT(CAPSTONE_PROJECT[[#This Row],[Admission Date]],"yyyy")</f>
        <v>2025</v>
      </c>
      <c r="Z203" s="3" t="str">
        <f>TEXT(CAPSTONE_PROJECT[[#This Row],[Admission Date]],"mmm yyyy")</f>
        <v>Dec 2025</v>
      </c>
      <c r="AA203" s="3" t="str">
        <f>TEXT(CAPSTONE_PROJECT[[#This Row],[Admission Date]],"dddd")</f>
        <v>Tuesday</v>
      </c>
      <c r="AB203" s="3" t="str">
        <f>IF(CAPSTONE_PROJECT[[#This Row],[Age]]&lt;=34,"Young Adults",IF(CAPSTONE_PROJECT[[#This Row],[Age]]&lt;=59,"Adults","Elders"))</f>
        <v>Adults</v>
      </c>
      <c r="AC203" s="3" t="str">
        <f>_xlfn.XLOOKUP(CAPSTONE_PROJECT[[#This Row],[Patient ID]],'Lookup table'!A:A,'Lookup table'!B:B,,0)</f>
        <v>Freya Hall</v>
      </c>
      <c r="AD203" s="3" t="str">
        <f>_xlfn.XLOOKUP(CAPSTONE_PROJECT[[#This Row],[Patient ID]],'Lookup table'!A:A,'Lookup table'!C:C,,0)</f>
        <v>Female</v>
      </c>
      <c r="AE203" s="3" t="str">
        <f>IF(CAPSTONE_PROJECT[[#This Row],[Length of Stay]]&lt;=3,"Short Stay",IF(CAPSTONE_PROJECT[[#This Row],[Length of Stay]]&lt;=7,"Moderate Stay",IF(CAPSTONE_PROJECT[[#This Row],[Length of Stay]]&lt;=14,"Long Stay","Extended Stay")))</f>
        <v>Long Stay</v>
      </c>
    </row>
    <row r="204" spans="1:31" x14ac:dyDescent="0.3">
      <c r="A204" s="3" t="s">
        <v>465</v>
      </c>
      <c r="B204" s="4">
        <v>45788</v>
      </c>
      <c r="C204" s="4">
        <v>45804</v>
      </c>
      <c r="D204" s="4">
        <v>33953</v>
      </c>
      <c r="E204" s="3">
        <v>33</v>
      </c>
      <c r="F204" s="3" t="s">
        <v>33</v>
      </c>
      <c r="G204" s="3" t="s">
        <v>53</v>
      </c>
      <c r="H204" s="3" t="s">
        <v>43</v>
      </c>
      <c r="I204" s="3" t="s">
        <v>13</v>
      </c>
      <c r="J204" s="3" t="s">
        <v>15</v>
      </c>
      <c r="K204" s="3" t="s">
        <v>15</v>
      </c>
      <c r="L204" s="6">
        <v>4428.8999999999996</v>
      </c>
      <c r="M204" s="6">
        <v>1215.79</v>
      </c>
      <c r="N204" s="6">
        <v>1313.94</v>
      </c>
      <c r="O204" s="6">
        <v>5013.29</v>
      </c>
      <c r="P204" s="3" t="s">
        <v>1083</v>
      </c>
      <c r="Q204" s="3" t="s">
        <v>1082</v>
      </c>
      <c r="R204" s="3" t="s">
        <v>68</v>
      </c>
      <c r="S204" s="3" t="s">
        <v>466</v>
      </c>
      <c r="T204" s="3">
        <v>4</v>
      </c>
      <c r="U204" s="3">
        <f>CAPSTONE_PROJECT[[#This Row],[Discharge Date]]-CAPSTONE_PROJECT[[#This Row],[Admission Date]]</f>
        <v>16</v>
      </c>
      <c r="V204" s="6">
        <f>SUM(CAPSTONE_PROJECT[[#This Row],[Room Cost]:[Treatment Cost]])</f>
        <v>11971.919999999998</v>
      </c>
      <c r="W204" s="6">
        <f t="shared" si="3"/>
        <v>748.24499999999989</v>
      </c>
      <c r="X204" s="3" t="str">
        <f>TEXT(CAPSTONE_PROJECT[[#This Row],[Admission Date]],"mmmm")</f>
        <v>May</v>
      </c>
      <c r="Y204" s="3" t="str">
        <f>TEXT(CAPSTONE_PROJECT[[#This Row],[Admission Date]],"yyyy")</f>
        <v>2025</v>
      </c>
      <c r="Z204" s="3" t="str">
        <f>TEXT(CAPSTONE_PROJECT[[#This Row],[Admission Date]],"mmm yyyy")</f>
        <v>May 2025</v>
      </c>
      <c r="AA204" s="3" t="str">
        <f>TEXT(CAPSTONE_PROJECT[[#This Row],[Admission Date]],"dddd")</f>
        <v>Sunday</v>
      </c>
      <c r="AB204" s="3" t="str">
        <f>IF(CAPSTONE_PROJECT[[#This Row],[Age]]&lt;=34,"Young Adults",IF(CAPSTONE_PROJECT[[#This Row],[Age]]&lt;=59,"Adults","Elders"))</f>
        <v>Young Adults</v>
      </c>
      <c r="AC204" s="3" t="str">
        <f>_xlfn.XLOOKUP(CAPSTONE_PROJECT[[#This Row],[Patient ID]],'Lookup table'!A:A,'Lookup table'!B:B,,0)</f>
        <v>Henry Jones</v>
      </c>
      <c r="AD204" s="3" t="str">
        <f>_xlfn.XLOOKUP(CAPSTONE_PROJECT[[#This Row],[Patient ID]],'Lookup table'!A:A,'Lookup table'!C:C,,0)</f>
        <v>Male</v>
      </c>
      <c r="AE204" s="3" t="str">
        <f>IF(CAPSTONE_PROJECT[[#This Row],[Length of Stay]]&lt;=3,"Short Stay",IF(CAPSTONE_PROJECT[[#This Row],[Length of Stay]]&lt;=7,"Moderate Stay",IF(CAPSTONE_PROJECT[[#This Row],[Length of Stay]]&lt;=14,"Long Stay","Extended Stay")))</f>
        <v>Extended Stay</v>
      </c>
    </row>
    <row r="205" spans="1:31" x14ac:dyDescent="0.3">
      <c r="A205" s="3" t="s">
        <v>467</v>
      </c>
      <c r="B205" s="4">
        <v>45776</v>
      </c>
      <c r="C205" s="4">
        <v>45780</v>
      </c>
      <c r="D205" s="4">
        <v>37574</v>
      </c>
      <c r="E205" s="3">
        <v>23</v>
      </c>
      <c r="F205" s="3" t="s">
        <v>18</v>
      </c>
      <c r="G205" s="3" t="s">
        <v>57</v>
      </c>
      <c r="H205" s="3" t="s">
        <v>1080</v>
      </c>
      <c r="I205" s="3" t="s">
        <v>13</v>
      </c>
      <c r="J205" s="3" t="s">
        <v>23</v>
      </c>
      <c r="K205" s="3" t="s">
        <v>15</v>
      </c>
      <c r="L205" s="6">
        <v>3130.6</v>
      </c>
      <c r="M205" s="6">
        <v>1705.55</v>
      </c>
      <c r="N205" s="6">
        <v>2950.62</v>
      </c>
      <c r="O205" s="6">
        <v>8162.08</v>
      </c>
      <c r="P205" s="3" t="s">
        <v>16</v>
      </c>
      <c r="Q205" s="3" t="s">
        <v>1085</v>
      </c>
      <c r="R205" s="3" t="s">
        <v>102</v>
      </c>
      <c r="S205" s="3" t="s">
        <v>468</v>
      </c>
      <c r="T205" s="3">
        <v>3</v>
      </c>
      <c r="U205" s="3">
        <f>CAPSTONE_PROJECT[[#This Row],[Discharge Date]]-CAPSTONE_PROJECT[[#This Row],[Admission Date]]</f>
        <v>4</v>
      </c>
      <c r="V205" s="6">
        <f>SUM(CAPSTONE_PROJECT[[#This Row],[Room Cost]:[Treatment Cost]])</f>
        <v>15948.849999999999</v>
      </c>
      <c r="W205" s="6">
        <f t="shared" si="3"/>
        <v>3987.2124999999996</v>
      </c>
      <c r="X205" s="3" t="str">
        <f>TEXT(CAPSTONE_PROJECT[[#This Row],[Admission Date]],"mmmm")</f>
        <v>April</v>
      </c>
      <c r="Y205" s="3" t="str">
        <f>TEXT(CAPSTONE_PROJECT[[#This Row],[Admission Date]],"yyyy")</f>
        <v>2025</v>
      </c>
      <c r="Z205" s="3" t="str">
        <f>TEXT(CAPSTONE_PROJECT[[#This Row],[Admission Date]],"mmm yyyy")</f>
        <v>Apr 2025</v>
      </c>
      <c r="AA205" s="3" t="str">
        <f>TEXT(CAPSTONE_PROJECT[[#This Row],[Admission Date]],"dddd")</f>
        <v>Tuesday</v>
      </c>
      <c r="AB205" s="3" t="str">
        <f>IF(CAPSTONE_PROJECT[[#This Row],[Age]]&lt;=34,"Young Adults",IF(CAPSTONE_PROJECT[[#This Row],[Age]]&lt;=59,"Adults","Elders"))</f>
        <v>Young Adults</v>
      </c>
      <c r="AC205" s="3" t="str">
        <f>_xlfn.XLOOKUP(CAPSTONE_PROJECT[[#This Row],[Patient ID]],'Lookup table'!A:A,'Lookup table'!B:B,,0)</f>
        <v>Ava White</v>
      </c>
      <c r="AD205" s="3" t="str">
        <f>_xlfn.XLOOKUP(CAPSTONE_PROJECT[[#This Row],[Patient ID]],'Lookup table'!A:A,'Lookup table'!C:C,,0)</f>
        <v>Female</v>
      </c>
      <c r="AE205" s="3" t="str">
        <f>IF(CAPSTONE_PROJECT[[#This Row],[Length of Stay]]&lt;=3,"Short Stay",IF(CAPSTONE_PROJECT[[#This Row],[Length of Stay]]&lt;=7,"Moderate Stay",IF(CAPSTONE_PROJECT[[#This Row],[Length of Stay]]&lt;=14,"Long Stay","Extended Stay")))</f>
        <v>Moderate Stay</v>
      </c>
    </row>
    <row r="206" spans="1:31" x14ac:dyDescent="0.3">
      <c r="A206" s="3" t="s">
        <v>469</v>
      </c>
      <c r="B206" s="4">
        <v>45380</v>
      </c>
      <c r="C206" s="4">
        <v>45396</v>
      </c>
      <c r="D206" s="4">
        <v>23369</v>
      </c>
      <c r="E206" s="3">
        <v>62</v>
      </c>
      <c r="F206" s="3" t="s">
        <v>47</v>
      </c>
      <c r="G206" s="3" t="s">
        <v>34</v>
      </c>
      <c r="H206" s="3" t="s">
        <v>114</v>
      </c>
      <c r="I206" s="3" t="s">
        <v>37</v>
      </c>
      <c r="J206" s="3" t="s">
        <v>14</v>
      </c>
      <c r="K206" s="3" t="s">
        <v>15</v>
      </c>
      <c r="L206" s="6">
        <v>1144.2</v>
      </c>
      <c r="M206" s="6">
        <v>1028.8900000000001</v>
      </c>
      <c r="N206" s="6">
        <v>542.35</v>
      </c>
      <c r="O206" s="6">
        <v>2984.56</v>
      </c>
      <c r="P206" s="3" t="s">
        <v>16</v>
      </c>
      <c r="Q206" s="3" t="s">
        <v>1081</v>
      </c>
      <c r="R206" s="3" t="s">
        <v>62</v>
      </c>
      <c r="S206" s="3" t="s">
        <v>470</v>
      </c>
      <c r="T206" s="3">
        <v>8</v>
      </c>
      <c r="U206" s="3">
        <f>CAPSTONE_PROJECT[[#This Row],[Discharge Date]]-CAPSTONE_PROJECT[[#This Row],[Admission Date]]</f>
        <v>16</v>
      </c>
      <c r="V206" s="6">
        <f>SUM(CAPSTONE_PROJECT[[#This Row],[Room Cost]:[Treatment Cost]])</f>
        <v>5700</v>
      </c>
      <c r="W206" s="6">
        <f t="shared" si="3"/>
        <v>356.25</v>
      </c>
      <c r="X206" s="3" t="str">
        <f>TEXT(CAPSTONE_PROJECT[[#This Row],[Admission Date]],"mmmm")</f>
        <v>March</v>
      </c>
      <c r="Y206" s="3" t="str">
        <f>TEXT(CAPSTONE_PROJECT[[#This Row],[Admission Date]],"yyyy")</f>
        <v>2024</v>
      </c>
      <c r="Z206" s="3" t="str">
        <f>TEXT(CAPSTONE_PROJECT[[#This Row],[Admission Date]],"mmm yyyy")</f>
        <v>Mar 2024</v>
      </c>
      <c r="AA206" s="3" t="str">
        <f>TEXT(CAPSTONE_PROJECT[[#This Row],[Admission Date]],"dddd")</f>
        <v>Friday</v>
      </c>
      <c r="AB206" s="3" t="str">
        <f>IF(CAPSTONE_PROJECT[[#This Row],[Age]]&lt;=34,"Young Adults",IF(CAPSTONE_PROJECT[[#This Row],[Age]]&lt;=59,"Adults","Elders"))</f>
        <v>Elders</v>
      </c>
      <c r="AC206" s="3" t="str">
        <f>_xlfn.XLOOKUP(CAPSTONE_PROJECT[[#This Row],[Patient ID]],'Lookup table'!A:A,'Lookup table'!B:B,,0)</f>
        <v>Henry M Wilson</v>
      </c>
      <c r="AD206" s="3" t="str">
        <f>_xlfn.XLOOKUP(CAPSTONE_PROJECT[[#This Row],[Patient ID]],'Lookup table'!A:A,'Lookup table'!C:C,,0)</f>
        <v>Male</v>
      </c>
      <c r="AE206" s="3" t="str">
        <f>IF(CAPSTONE_PROJECT[[#This Row],[Length of Stay]]&lt;=3,"Short Stay",IF(CAPSTONE_PROJECT[[#This Row],[Length of Stay]]&lt;=7,"Moderate Stay",IF(CAPSTONE_PROJECT[[#This Row],[Length of Stay]]&lt;=14,"Long Stay","Extended Stay")))</f>
        <v>Extended Stay</v>
      </c>
    </row>
    <row r="207" spans="1:31" x14ac:dyDescent="0.3">
      <c r="A207" s="3" t="s">
        <v>471</v>
      </c>
      <c r="B207" s="4">
        <v>45862</v>
      </c>
      <c r="C207" s="4">
        <v>45871</v>
      </c>
      <c r="D207" s="4">
        <v>34359</v>
      </c>
      <c r="E207" s="3">
        <v>32</v>
      </c>
      <c r="F207" s="3" t="s">
        <v>47</v>
      </c>
      <c r="G207" s="3" t="s">
        <v>61</v>
      </c>
      <c r="H207" s="3" t="s">
        <v>114</v>
      </c>
      <c r="I207" s="3" t="s">
        <v>44</v>
      </c>
      <c r="J207" s="3" t="s">
        <v>14</v>
      </c>
      <c r="K207" s="3" t="s">
        <v>24</v>
      </c>
      <c r="L207" s="6">
        <v>3792.2</v>
      </c>
      <c r="M207" s="6">
        <v>1076.6300000000001</v>
      </c>
      <c r="N207" s="6">
        <v>2948.04</v>
      </c>
      <c r="O207" s="6">
        <v>3800.35</v>
      </c>
      <c r="P207" s="3" t="s">
        <v>31</v>
      </c>
      <c r="Q207" s="3" t="s">
        <v>1076</v>
      </c>
      <c r="R207" s="3" t="s">
        <v>54</v>
      </c>
      <c r="S207" s="3" t="s">
        <v>472</v>
      </c>
      <c r="T207" s="3">
        <v>8</v>
      </c>
      <c r="U207" s="3">
        <f>CAPSTONE_PROJECT[[#This Row],[Discharge Date]]-CAPSTONE_PROJECT[[#This Row],[Admission Date]]</f>
        <v>9</v>
      </c>
      <c r="V207" s="6">
        <f>SUM(CAPSTONE_PROJECT[[#This Row],[Room Cost]:[Treatment Cost]])</f>
        <v>11617.22</v>
      </c>
      <c r="W207" s="6">
        <f t="shared" si="3"/>
        <v>1290.8022222222221</v>
      </c>
      <c r="X207" s="3" t="str">
        <f>TEXT(CAPSTONE_PROJECT[[#This Row],[Admission Date]],"mmmm")</f>
        <v>July</v>
      </c>
      <c r="Y207" s="3" t="str">
        <f>TEXT(CAPSTONE_PROJECT[[#This Row],[Admission Date]],"yyyy")</f>
        <v>2025</v>
      </c>
      <c r="Z207" s="3" t="str">
        <f>TEXT(CAPSTONE_PROJECT[[#This Row],[Admission Date]],"mmm yyyy")</f>
        <v>Jul 2025</v>
      </c>
      <c r="AA207" s="3" t="str">
        <f>TEXT(CAPSTONE_PROJECT[[#This Row],[Admission Date]],"dddd")</f>
        <v>Thursday</v>
      </c>
      <c r="AB207" s="3" t="str">
        <f>IF(CAPSTONE_PROJECT[[#This Row],[Age]]&lt;=34,"Young Adults",IF(CAPSTONE_PROJECT[[#This Row],[Age]]&lt;=59,"Adults","Elders"))</f>
        <v>Young Adults</v>
      </c>
      <c r="AC207" s="3" t="str">
        <f>_xlfn.XLOOKUP(CAPSTONE_PROJECT[[#This Row],[Patient ID]],'Lookup table'!A:A,'Lookup table'!B:B,,0)</f>
        <v>Chloe Smith</v>
      </c>
      <c r="AD207" s="3" t="str">
        <f>_xlfn.XLOOKUP(CAPSTONE_PROJECT[[#This Row],[Patient ID]],'Lookup table'!A:A,'Lookup table'!C:C,,0)</f>
        <v>Female</v>
      </c>
      <c r="AE207" s="3" t="str">
        <f>IF(CAPSTONE_PROJECT[[#This Row],[Length of Stay]]&lt;=3,"Short Stay",IF(CAPSTONE_PROJECT[[#This Row],[Length of Stay]]&lt;=7,"Moderate Stay",IF(CAPSTONE_PROJECT[[#This Row],[Length of Stay]]&lt;=14,"Long Stay","Extended Stay")))</f>
        <v>Long Stay</v>
      </c>
    </row>
    <row r="208" spans="1:31" x14ac:dyDescent="0.3">
      <c r="A208" s="3" t="s">
        <v>473</v>
      </c>
      <c r="B208" s="4">
        <v>45433</v>
      </c>
      <c r="C208" s="4">
        <v>45437</v>
      </c>
      <c r="D208" s="4">
        <v>31574</v>
      </c>
      <c r="E208" s="3">
        <v>40</v>
      </c>
      <c r="F208" s="3" t="s">
        <v>8</v>
      </c>
      <c r="G208" s="3" t="s">
        <v>48</v>
      </c>
      <c r="H208" s="3" t="s">
        <v>72</v>
      </c>
      <c r="I208" s="3" t="s">
        <v>13</v>
      </c>
      <c r="J208" s="3" t="s">
        <v>45</v>
      </c>
      <c r="K208" s="3" t="s">
        <v>15</v>
      </c>
      <c r="L208" s="6">
        <v>3953.18</v>
      </c>
      <c r="M208" s="6">
        <v>1116.73</v>
      </c>
      <c r="N208" s="6">
        <v>1137.48</v>
      </c>
      <c r="O208" s="6">
        <v>8191.02</v>
      </c>
      <c r="P208" s="3" t="s">
        <v>31</v>
      </c>
      <c r="Q208" s="3" t="s">
        <v>1086</v>
      </c>
      <c r="R208" s="3" t="s">
        <v>10</v>
      </c>
      <c r="S208" s="3" t="s">
        <v>474</v>
      </c>
      <c r="T208" s="3">
        <v>8</v>
      </c>
      <c r="U208" s="3">
        <f>CAPSTONE_PROJECT[[#This Row],[Discharge Date]]-CAPSTONE_PROJECT[[#This Row],[Admission Date]]</f>
        <v>4</v>
      </c>
      <c r="V208" s="6">
        <f>SUM(CAPSTONE_PROJECT[[#This Row],[Room Cost]:[Treatment Cost]])</f>
        <v>14398.41</v>
      </c>
      <c r="W208" s="6">
        <f t="shared" si="3"/>
        <v>3599.6025</v>
      </c>
      <c r="X208" s="3" t="str">
        <f>TEXT(CAPSTONE_PROJECT[[#This Row],[Admission Date]],"mmmm")</f>
        <v>May</v>
      </c>
      <c r="Y208" s="3" t="str">
        <f>TEXT(CAPSTONE_PROJECT[[#This Row],[Admission Date]],"yyyy")</f>
        <v>2024</v>
      </c>
      <c r="Z208" s="3" t="str">
        <f>TEXT(CAPSTONE_PROJECT[[#This Row],[Admission Date]],"mmm yyyy")</f>
        <v>May 2024</v>
      </c>
      <c r="AA208" s="3" t="str">
        <f>TEXT(CAPSTONE_PROJECT[[#This Row],[Admission Date]],"dddd")</f>
        <v>Tuesday</v>
      </c>
      <c r="AB208" s="3" t="str">
        <f>IF(CAPSTONE_PROJECT[[#This Row],[Age]]&lt;=34,"Young Adults",IF(CAPSTONE_PROJECT[[#This Row],[Age]]&lt;=59,"Adults","Elders"))</f>
        <v>Adults</v>
      </c>
      <c r="AC208" s="3" t="str">
        <f>_xlfn.XLOOKUP(CAPSTONE_PROJECT[[#This Row],[Patient ID]],'Lookup table'!A:A,'Lookup table'!B:B,,0)</f>
        <v>Leo Clarke</v>
      </c>
      <c r="AD208" s="3" t="str">
        <f>_xlfn.XLOOKUP(CAPSTONE_PROJECT[[#This Row],[Patient ID]],'Lookup table'!A:A,'Lookup table'!C:C,,0)</f>
        <v>Male</v>
      </c>
      <c r="AE208" s="3" t="str">
        <f>IF(CAPSTONE_PROJECT[[#This Row],[Length of Stay]]&lt;=3,"Short Stay",IF(CAPSTONE_PROJECT[[#This Row],[Length of Stay]]&lt;=7,"Moderate Stay",IF(CAPSTONE_PROJECT[[#This Row],[Length of Stay]]&lt;=14,"Long Stay","Extended Stay")))</f>
        <v>Moderate Stay</v>
      </c>
    </row>
    <row r="209" spans="1:31" x14ac:dyDescent="0.3">
      <c r="A209" s="3" t="s">
        <v>475</v>
      </c>
      <c r="B209" s="4">
        <v>45302</v>
      </c>
      <c r="C209" s="4">
        <v>45319</v>
      </c>
      <c r="D209" s="4">
        <v>26748</v>
      </c>
      <c r="E209" s="3">
        <v>53</v>
      </c>
      <c r="F209" s="3" t="s">
        <v>18</v>
      </c>
      <c r="G209" s="3" t="s">
        <v>61</v>
      </c>
      <c r="H209" s="3" t="s">
        <v>100</v>
      </c>
      <c r="I209" s="3" t="s">
        <v>37</v>
      </c>
      <c r="J209" s="3" t="s">
        <v>64</v>
      </c>
      <c r="K209" s="3" t="s">
        <v>65</v>
      </c>
      <c r="L209" s="6">
        <v>4484.04</v>
      </c>
      <c r="M209" s="6">
        <v>355.01</v>
      </c>
      <c r="N209" s="6">
        <v>0</v>
      </c>
      <c r="O209" s="6">
        <v>0</v>
      </c>
      <c r="P209" s="3" t="s">
        <v>25</v>
      </c>
      <c r="Q209" s="3" t="s">
        <v>1081</v>
      </c>
      <c r="R209" s="3" t="s">
        <v>58</v>
      </c>
      <c r="S209" s="3" t="s">
        <v>476</v>
      </c>
      <c r="T209" s="3">
        <v>3</v>
      </c>
      <c r="U209" s="3">
        <f>CAPSTONE_PROJECT[[#This Row],[Discharge Date]]-CAPSTONE_PROJECT[[#This Row],[Admission Date]]</f>
        <v>17</v>
      </c>
      <c r="V209" s="6">
        <f>SUM(CAPSTONE_PROJECT[[#This Row],[Room Cost]:[Treatment Cost]])</f>
        <v>4839.05</v>
      </c>
      <c r="W209" s="6">
        <f t="shared" si="3"/>
        <v>284.65000000000003</v>
      </c>
      <c r="X209" s="3" t="str">
        <f>TEXT(CAPSTONE_PROJECT[[#This Row],[Admission Date]],"mmmm")</f>
        <v>January</v>
      </c>
      <c r="Y209" s="3" t="str">
        <f>TEXT(CAPSTONE_PROJECT[[#This Row],[Admission Date]],"yyyy")</f>
        <v>2024</v>
      </c>
      <c r="Z209" s="3" t="str">
        <f>TEXT(CAPSTONE_PROJECT[[#This Row],[Admission Date]],"mmm yyyy")</f>
        <v>Jan 2024</v>
      </c>
      <c r="AA209" s="3" t="str">
        <f>TEXT(CAPSTONE_PROJECT[[#This Row],[Admission Date]],"dddd")</f>
        <v>Thursday</v>
      </c>
      <c r="AB209" s="3" t="str">
        <f>IF(CAPSTONE_PROJECT[[#This Row],[Age]]&lt;=34,"Young Adults",IF(CAPSTONE_PROJECT[[#This Row],[Age]]&lt;=59,"Adults","Elders"))</f>
        <v>Adults</v>
      </c>
      <c r="AC209" s="3" t="str">
        <f>_xlfn.XLOOKUP(CAPSTONE_PROJECT[[#This Row],[Patient ID]],'Lookup table'!A:A,'Lookup table'!B:B,,0)</f>
        <v>Olivia O Martin</v>
      </c>
      <c r="AD209" s="3" t="str">
        <f>_xlfn.XLOOKUP(CAPSTONE_PROJECT[[#This Row],[Patient ID]],'Lookup table'!A:A,'Lookup table'!C:C,,0)</f>
        <v>Female</v>
      </c>
      <c r="AE209" s="3" t="str">
        <f>IF(CAPSTONE_PROJECT[[#This Row],[Length of Stay]]&lt;=3,"Short Stay",IF(CAPSTONE_PROJECT[[#This Row],[Length of Stay]]&lt;=7,"Moderate Stay",IF(CAPSTONE_PROJECT[[#This Row],[Length of Stay]]&lt;=14,"Long Stay","Extended Stay")))</f>
        <v>Extended Stay</v>
      </c>
    </row>
    <row r="210" spans="1:31" x14ac:dyDescent="0.3">
      <c r="A210" s="3" t="s">
        <v>477</v>
      </c>
      <c r="B210" s="4">
        <v>45925</v>
      </c>
      <c r="C210" s="4">
        <v>45940</v>
      </c>
      <c r="D210" s="4">
        <v>37154</v>
      </c>
      <c r="E210" s="3">
        <v>24</v>
      </c>
      <c r="F210" s="3" t="s">
        <v>18</v>
      </c>
      <c r="G210" s="3" t="s">
        <v>57</v>
      </c>
      <c r="H210" s="3" t="s">
        <v>29</v>
      </c>
      <c r="I210" s="3" t="s">
        <v>22</v>
      </c>
      <c r="J210" s="3" t="s">
        <v>64</v>
      </c>
      <c r="K210" s="3" t="s">
        <v>65</v>
      </c>
      <c r="L210" s="6">
        <v>4582.25</v>
      </c>
      <c r="M210" s="6">
        <v>555.61</v>
      </c>
      <c r="N210" s="6">
        <v>946.1</v>
      </c>
      <c r="O210" s="6">
        <v>1846.32</v>
      </c>
      <c r="P210" s="3" t="s">
        <v>1083</v>
      </c>
      <c r="Q210" s="3" t="s">
        <v>1086</v>
      </c>
      <c r="R210" s="3" t="s">
        <v>35</v>
      </c>
      <c r="S210" s="3" t="s">
        <v>478</v>
      </c>
      <c r="T210" s="3">
        <v>2</v>
      </c>
      <c r="U210" s="3">
        <f>CAPSTONE_PROJECT[[#This Row],[Discharge Date]]-CAPSTONE_PROJECT[[#This Row],[Admission Date]]</f>
        <v>15</v>
      </c>
      <c r="V210" s="6">
        <f>SUM(CAPSTONE_PROJECT[[#This Row],[Room Cost]:[Treatment Cost]])</f>
        <v>7930.28</v>
      </c>
      <c r="W210" s="6">
        <f t="shared" si="3"/>
        <v>528.68533333333335</v>
      </c>
      <c r="X210" s="3" t="str">
        <f>TEXT(CAPSTONE_PROJECT[[#This Row],[Admission Date]],"mmmm")</f>
        <v>September</v>
      </c>
      <c r="Y210" s="3" t="str">
        <f>TEXT(CAPSTONE_PROJECT[[#This Row],[Admission Date]],"yyyy")</f>
        <v>2025</v>
      </c>
      <c r="Z210" s="3" t="str">
        <f>TEXT(CAPSTONE_PROJECT[[#This Row],[Admission Date]],"mmm yyyy")</f>
        <v>Sep 2025</v>
      </c>
      <c r="AA210" s="3" t="str">
        <f>TEXT(CAPSTONE_PROJECT[[#This Row],[Admission Date]],"dddd")</f>
        <v>Thursday</v>
      </c>
      <c r="AB210" s="3" t="str">
        <f>IF(CAPSTONE_PROJECT[[#This Row],[Age]]&lt;=34,"Young Adults",IF(CAPSTONE_PROJECT[[#This Row],[Age]]&lt;=59,"Adults","Elders"))</f>
        <v>Young Adults</v>
      </c>
      <c r="AC210" s="3" t="str">
        <f>_xlfn.XLOOKUP(CAPSTONE_PROJECT[[#This Row],[Patient ID]],'Lookup table'!A:A,'Lookup table'!B:B,,0)</f>
        <v>Noah Robinson</v>
      </c>
      <c r="AD210" s="3" t="str">
        <f>_xlfn.XLOOKUP(CAPSTONE_PROJECT[[#This Row],[Patient ID]],'Lookup table'!A:A,'Lookup table'!C:C,,0)</f>
        <v>Male</v>
      </c>
      <c r="AE210" s="3" t="str">
        <f>IF(CAPSTONE_PROJECT[[#This Row],[Length of Stay]]&lt;=3,"Short Stay",IF(CAPSTONE_PROJECT[[#This Row],[Length of Stay]]&lt;=7,"Moderate Stay",IF(CAPSTONE_PROJECT[[#This Row],[Length of Stay]]&lt;=14,"Long Stay","Extended Stay")))</f>
        <v>Extended Stay</v>
      </c>
    </row>
    <row r="211" spans="1:31" x14ac:dyDescent="0.3">
      <c r="A211" s="3" t="s">
        <v>479</v>
      </c>
      <c r="B211" s="4">
        <v>45353</v>
      </c>
      <c r="C211" s="4">
        <v>45365</v>
      </c>
      <c r="D211" s="4">
        <v>28180</v>
      </c>
      <c r="E211" s="3">
        <v>49</v>
      </c>
      <c r="F211" s="3" t="s">
        <v>18</v>
      </c>
      <c r="G211" s="3" t="s">
        <v>48</v>
      </c>
      <c r="H211" s="3" t="s">
        <v>12</v>
      </c>
      <c r="I211" s="3" t="s">
        <v>22</v>
      </c>
      <c r="J211" s="3" t="s">
        <v>30</v>
      </c>
      <c r="K211" s="3" t="s">
        <v>50</v>
      </c>
      <c r="L211" s="6">
        <v>2138.52</v>
      </c>
      <c r="M211" s="6">
        <v>1106.1199999999999</v>
      </c>
      <c r="N211" s="6">
        <v>2810.13</v>
      </c>
      <c r="O211" s="6">
        <v>12580.67</v>
      </c>
      <c r="P211" s="3" t="s">
        <v>31</v>
      </c>
      <c r="Q211" s="3" t="s">
        <v>1085</v>
      </c>
      <c r="R211" s="3" t="s">
        <v>54</v>
      </c>
      <c r="S211" s="3" t="s">
        <v>480</v>
      </c>
      <c r="T211" s="3">
        <v>8</v>
      </c>
      <c r="U211" s="3">
        <f>CAPSTONE_PROJECT[[#This Row],[Discharge Date]]-CAPSTONE_PROJECT[[#This Row],[Admission Date]]</f>
        <v>12</v>
      </c>
      <c r="V211" s="6">
        <f>SUM(CAPSTONE_PROJECT[[#This Row],[Room Cost]:[Treatment Cost]])</f>
        <v>18635.440000000002</v>
      </c>
      <c r="W211" s="6">
        <f t="shared" si="3"/>
        <v>1552.9533333333336</v>
      </c>
      <c r="X211" s="3" t="str">
        <f>TEXT(CAPSTONE_PROJECT[[#This Row],[Admission Date]],"mmmm")</f>
        <v>March</v>
      </c>
      <c r="Y211" s="3" t="str">
        <f>TEXT(CAPSTONE_PROJECT[[#This Row],[Admission Date]],"yyyy")</f>
        <v>2024</v>
      </c>
      <c r="Z211" s="3" t="str">
        <f>TEXT(CAPSTONE_PROJECT[[#This Row],[Admission Date]],"mmm yyyy")</f>
        <v>Mar 2024</v>
      </c>
      <c r="AA211" s="3" t="str">
        <f>TEXT(CAPSTONE_PROJECT[[#This Row],[Admission Date]],"dddd")</f>
        <v>Saturday</v>
      </c>
      <c r="AB211" s="3" t="str">
        <f>IF(CAPSTONE_PROJECT[[#This Row],[Age]]&lt;=34,"Young Adults",IF(CAPSTONE_PROJECT[[#This Row],[Age]]&lt;=59,"Adults","Elders"))</f>
        <v>Adults</v>
      </c>
      <c r="AC211" s="3" t="str">
        <f>_xlfn.XLOOKUP(CAPSTONE_PROJECT[[#This Row],[Patient ID]],'Lookup table'!A:A,'Lookup table'!B:B,,0)</f>
        <v>Chloe Jones</v>
      </c>
      <c r="AD211" s="3" t="str">
        <f>_xlfn.XLOOKUP(CAPSTONE_PROJECT[[#This Row],[Patient ID]],'Lookup table'!A:A,'Lookup table'!C:C,,0)</f>
        <v>Female</v>
      </c>
      <c r="AE211" s="3" t="str">
        <f>IF(CAPSTONE_PROJECT[[#This Row],[Length of Stay]]&lt;=3,"Short Stay",IF(CAPSTONE_PROJECT[[#This Row],[Length of Stay]]&lt;=7,"Moderate Stay",IF(CAPSTONE_PROJECT[[#This Row],[Length of Stay]]&lt;=14,"Long Stay","Extended Stay")))</f>
        <v>Long Stay</v>
      </c>
    </row>
    <row r="212" spans="1:31" x14ac:dyDescent="0.3">
      <c r="A212" s="3" t="s">
        <v>481</v>
      </c>
      <c r="B212" s="4">
        <v>45727</v>
      </c>
      <c r="C212" s="4">
        <v>45741</v>
      </c>
      <c r="D212" s="4">
        <v>18710</v>
      </c>
      <c r="E212" s="3">
        <v>75</v>
      </c>
      <c r="F212" s="3" t="s">
        <v>33</v>
      </c>
      <c r="G212" s="3" t="s">
        <v>67</v>
      </c>
      <c r="H212" s="3" t="s">
        <v>100</v>
      </c>
      <c r="I212" s="3" t="s">
        <v>13</v>
      </c>
      <c r="J212" s="3" t="s">
        <v>15</v>
      </c>
      <c r="K212" s="3" t="s">
        <v>50</v>
      </c>
      <c r="L212" s="6">
        <v>3861.94</v>
      </c>
      <c r="M212" s="6">
        <v>1487.66</v>
      </c>
      <c r="N212" s="6">
        <v>629.63</v>
      </c>
      <c r="O212" s="6">
        <v>8913.1200000000008</v>
      </c>
      <c r="P212" s="3" t="s">
        <v>16</v>
      </c>
      <c r="Q212" s="3" t="s">
        <v>1086</v>
      </c>
      <c r="R212" s="3" t="s">
        <v>54</v>
      </c>
      <c r="S212" s="3" t="s">
        <v>482</v>
      </c>
      <c r="T212" s="3">
        <v>8</v>
      </c>
      <c r="U212" s="3">
        <f>CAPSTONE_PROJECT[[#This Row],[Discharge Date]]-CAPSTONE_PROJECT[[#This Row],[Admission Date]]</f>
        <v>14</v>
      </c>
      <c r="V212" s="6">
        <f>SUM(CAPSTONE_PROJECT[[#This Row],[Room Cost]:[Treatment Cost]])</f>
        <v>14892.350000000002</v>
      </c>
      <c r="W212" s="6">
        <f t="shared" si="3"/>
        <v>1063.7392857142859</v>
      </c>
      <c r="X212" s="3" t="str">
        <f>TEXT(CAPSTONE_PROJECT[[#This Row],[Admission Date]],"mmmm")</f>
        <v>March</v>
      </c>
      <c r="Y212" s="3" t="str">
        <f>TEXT(CAPSTONE_PROJECT[[#This Row],[Admission Date]],"yyyy")</f>
        <v>2025</v>
      </c>
      <c r="Z212" s="3" t="str">
        <f>TEXT(CAPSTONE_PROJECT[[#This Row],[Admission Date]],"mmm yyyy")</f>
        <v>Mar 2025</v>
      </c>
      <c r="AA212" s="3" t="str">
        <f>TEXT(CAPSTONE_PROJECT[[#This Row],[Admission Date]],"dddd")</f>
        <v>Tuesday</v>
      </c>
      <c r="AB212" s="3" t="str">
        <f>IF(CAPSTONE_PROJECT[[#This Row],[Age]]&lt;=34,"Young Adults",IF(CAPSTONE_PROJECT[[#This Row],[Age]]&lt;=59,"Adults","Elders"))</f>
        <v>Elders</v>
      </c>
      <c r="AC212" s="3" t="str">
        <f>_xlfn.XLOOKUP(CAPSTONE_PROJECT[[#This Row],[Patient ID]],'Lookup table'!A:A,'Lookup table'!B:B,,0)</f>
        <v>James V Brown</v>
      </c>
      <c r="AD212" s="3" t="str">
        <f>_xlfn.XLOOKUP(CAPSTONE_PROJECT[[#This Row],[Patient ID]],'Lookup table'!A:A,'Lookup table'!C:C,,0)</f>
        <v>Male</v>
      </c>
      <c r="AE212" s="3" t="str">
        <f>IF(CAPSTONE_PROJECT[[#This Row],[Length of Stay]]&lt;=3,"Short Stay",IF(CAPSTONE_PROJECT[[#This Row],[Length of Stay]]&lt;=7,"Moderate Stay",IF(CAPSTONE_PROJECT[[#This Row],[Length of Stay]]&lt;=14,"Long Stay","Extended Stay")))</f>
        <v>Long Stay</v>
      </c>
    </row>
    <row r="213" spans="1:31" x14ac:dyDescent="0.3">
      <c r="A213" s="3" t="s">
        <v>483</v>
      </c>
      <c r="B213" s="4">
        <v>45452</v>
      </c>
      <c r="C213" s="4">
        <v>45470</v>
      </c>
      <c r="D213" s="4">
        <v>27243</v>
      </c>
      <c r="E213" s="3">
        <v>51</v>
      </c>
      <c r="F213" s="3" t="s">
        <v>8</v>
      </c>
      <c r="G213" s="3" t="s">
        <v>34</v>
      </c>
      <c r="H213" s="3" t="s">
        <v>29</v>
      </c>
      <c r="I213" s="3" t="s">
        <v>44</v>
      </c>
      <c r="J213" s="3" t="s">
        <v>15</v>
      </c>
      <c r="K213" s="3" t="s">
        <v>24</v>
      </c>
      <c r="L213" s="6">
        <v>4104.21</v>
      </c>
      <c r="M213" s="6">
        <v>1158.43</v>
      </c>
      <c r="N213" s="6">
        <v>513.09</v>
      </c>
      <c r="O213" s="6">
        <v>5359.58</v>
      </c>
      <c r="P213" s="3" t="s">
        <v>16</v>
      </c>
      <c r="Q213" s="3" t="s">
        <v>1084</v>
      </c>
      <c r="R213" s="3" t="s">
        <v>62</v>
      </c>
      <c r="S213" s="3" t="s">
        <v>484</v>
      </c>
      <c r="T213" s="3">
        <v>10</v>
      </c>
      <c r="U213" s="3">
        <f>CAPSTONE_PROJECT[[#This Row],[Discharge Date]]-CAPSTONE_PROJECT[[#This Row],[Admission Date]]</f>
        <v>18</v>
      </c>
      <c r="V213" s="6">
        <f>SUM(CAPSTONE_PROJECT[[#This Row],[Room Cost]:[Treatment Cost]])</f>
        <v>11135.310000000001</v>
      </c>
      <c r="W213" s="6">
        <f t="shared" si="3"/>
        <v>618.62833333333344</v>
      </c>
      <c r="X213" s="3" t="str">
        <f>TEXT(CAPSTONE_PROJECT[[#This Row],[Admission Date]],"mmmm")</f>
        <v>June</v>
      </c>
      <c r="Y213" s="3" t="str">
        <f>TEXT(CAPSTONE_PROJECT[[#This Row],[Admission Date]],"yyyy")</f>
        <v>2024</v>
      </c>
      <c r="Z213" s="3" t="str">
        <f>TEXT(CAPSTONE_PROJECT[[#This Row],[Admission Date]],"mmm yyyy")</f>
        <v>Jun 2024</v>
      </c>
      <c r="AA213" s="3" t="str">
        <f>TEXT(CAPSTONE_PROJECT[[#This Row],[Admission Date]],"dddd")</f>
        <v>Sunday</v>
      </c>
      <c r="AB213" s="3" t="str">
        <f>IF(CAPSTONE_PROJECT[[#This Row],[Age]]&lt;=34,"Young Adults",IF(CAPSTONE_PROJECT[[#This Row],[Age]]&lt;=59,"Adults","Elders"))</f>
        <v>Adults</v>
      </c>
      <c r="AC213" s="3" t="str">
        <f>_xlfn.XLOOKUP(CAPSTONE_PROJECT[[#This Row],[Patient ID]],'Lookup table'!A:A,'Lookup table'!B:B,,0)</f>
        <v>Olivia Green</v>
      </c>
      <c r="AD213" s="3" t="str">
        <f>_xlfn.XLOOKUP(CAPSTONE_PROJECT[[#This Row],[Patient ID]],'Lookup table'!A:A,'Lookup table'!C:C,,0)</f>
        <v>Female</v>
      </c>
      <c r="AE213" s="3" t="str">
        <f>IF(CAPSTONE_PROJECT[[#This Row],[Length of Stay]]&lt;=3,"Short Stay",IF(CAPSTONE_PROJECT[[#This Row],[Length of Stay]]&lt;=7,"Moderate Stay",IF(CAPSTONE_PROJECT[[#This Row],[Length of Stay]]&lt;=14,"Long Stay","Extended Stay")))</f>
        <v>Extended Stay</v>
      </c>
    </row>
    <row r="214" spans="1:31" x14ac:dyDescent="0.3">
      <c r="A214" s="3" t="s">
        <v>485</v>
      </c>
      <c r="B214" s="4">
        <v>45871</v>
      </c>
      <c r="C214" s="4">
        <v>45886</v>
      </c>
      <c r="D214" s="4">
        <v>27677</v>
      </c>
      <c r="E214" s="3">
        <v>50</v>
      </c>
      <c r="F214" s="3" t="s">
        <v>8</v>
      </c>
      <c r="G214" s="3" t="s">
        <v>27</v>
      </c>
      <c r="H214" s="3" t="s">
        <v>29</v>
      </c>
      <c r="I214" s="3" t="s">
        <v>22</v>
      </c>
      <c r="J214" s="3" t="s">
        <v>73</v>
      </c>
      <c r="K214" s="3" t="s">
        <v>24</v>
      </c>
      <c r="L214" s="6">
        <v>1526.72</v>
      </c>
      <c r="M214" s="6">
        <v>1222.51</v>
      </c>
      <c r="N214" s="6">
        <v>667.48</v>
      </c>
      <c r="O214" s="6">
        <v>11170.53</v>
      </c>
      <c r="P214" s="3" t="s">
        <v>51</v>
      </c>
      <c r="Q214" s="3" t="s">
        <v>1082</v>
      </c>
      <c r="R214" s="3" t="s">
        <v>54</v>
      </c>
      <c r="S214" s="3" t="s">
        <v>486</v>
      </c>
      <c r="T214" s="3">
        <v>8</v>
      </c>
      <c r="U214" s="3">
        <f>CAPSTONE_PROJECT[[#This Row],[Discharge Date]]-CAPSTONE_PROJECT[[#This Row],[Admission Date]]</f>
        <v>15</v>
      </c>
      <c r="V214" s="6">
        <f>SUM(CAPSTONE_PROJECT[[#This Row],[Room Cost]:[Treatment Cost]])</f>
        <v>14587.240000000002</v>
      </c>
      <c r="W214" s="6">
        <f t="shared" si="3"/>
        <v>972.48266666666677</v>
      </c>
      <c r="X214" s="3" t="str">
        <f>TEXT(CAPSTONE_PROJECT[[#This Row],[Admission Date]],"mmmm")</f>
        <v>August</v>
      </c>
      <c r="Y214" s="3" t="str">
        <f>TEXT(CAPSTONE_PROJECT[[#This Row],[Admission Date]],"yyyy")</f>
        <v>2025</v>
      </c>
      <c r="Z214" s="3" t="str">
        <f>TEXT(CAPSTONE_PROJECT[[#This Row],[Admission Date]],"mmm yyyy")</f>
        <v>Aug 2025</v>
      </c>
      <c r="AA214" s="3" t="str">
        <f>TEXT(CAPSTONE_PROJECT[[#This Row],[Admission Date]],"dddd")</f>
        <v>Saturday</v>
      </c>
      <c r="AB214" s="3" t="str">
        <f>IF(CAPSTONE_PROJECT[[#This Row],[Age]]&lt;=34,"Young Adults",IF(CAPSTONE_PROJECT[[#This Row],[Age]]&lt;=59,"Adults","Elders"))</f>
        <v>Adults</v>
      </c>
      <c r="AC214" s="3" t="str">
        <f>_xlfn.XLOOKUP(CAPSTONE_PROJECT[[#This Row],[Patient ID]],'Lookup table'!A:A,'Lookup table'!B:B,,0)</f>
        <v>Noah C Walker</v>
      </c>
      <c r="AD214" s="3" t="str">
        <f>_xlfn.XLOOKUP(CAPSTONE_PROJECT[[#This Row],[Patient ID]],'Lookup table'!A:A,'Lookup table'!C:C,,0)</f>
        <v>Male</v>
      </c>
      <c r="AE214" s="3" t="str">
        <f>IF(CAPSTONE_PROJECT[[#This Row],[Length of Stay]]&lt;=3,"Short Stay",IF(CAPSTONE_PROJECT[[#This Row],[Length of Stay]]&lt;=7,"Moderate Stay",IF(CAPSTONE_PROJECT[[#This Row],[Length of Stay]]&lt;=14,"Long Stay","Extended Stay")))</f>
        <v>Extended Stay</v>
      </c>
    </row>
    <row r="215" spans="1:31" x14ac:dyDescent="0.3">
      <c r="A215" s="3" t="s">
        <v>487</v>
      </c>
      <c r="B215" s="4">
        <v>45489</v>
      </c>
      <c r="C215" s="4">
        <v>45509</v>
      </c>
      <c r="D215" s="4">
        <v>31658</v>
      </c>
      <c r="E215" s="3">
        <v>39</v>
      </c>
      <c r="F215" s="3" t="s">
        <v>47</v>
      </c>
      <c r="G215" s="3" t="s">
        <v>67</v>
      </c>
      <c r="H215" s="3" t="s">
        <v>104</v>
      </c>
      <c r="I215" s="3" t="s">
        <v>22</v>
      </c>
      <c r="J215" s="3" t="s">
        <v>15</v>
      </c>
      <c r="K215" s="3" t="s">
        <v>65</v>
      </c>
      <c r="L215" s="6">
        <v>324</v>
      </c>
      <c r="M215" s="6">
        <v>409.75</v>
      </c>
      <c r="N215" s="6">
        <v>2049.2600000000002</v>
      </c>
      <c r="O215" s="6">
        <v>9413.9699999999993</v>
      </c>
      <c r="P215" s="3" t="s">
        <v>51</v>
      </c>
      <c r="Q215" s="3" t="s">
        <v>1078</v>
      </c>
      <c r="R215" s="3" t="s">
        <v>102</v>
      </c>
      <c r="S215" s="3" t="s">
        <v>488</v>
      </c>
      <c r="T215" s="3">
        <v>1</v>
      </c>
      <c r="U215" s="3">
        <f>CAPSTONE_PROJECT[[#This Row],[Discharge Date]]-CAPSTONE_PROJECT[[#This Row],[Admission Date]]</f>
        <v>20</v>
      </c>
      <c r="V215" s="6">
        <f>SUM(CAPSTONE_PROJECT[[#This Row],[Room Cost]:[Treatment Cost]])</f>
        <v>12196.98</v>
      </c>
      <c r="W215" s="6">
        <f t="shared" si="3"/>
        <v>609.84899999999993</v>
      </c>
      <c r="X215" s="3" t="str">
        <f>TEXT(CAPSTONE_PROJECT[[#This Row],[Admission Date]],"mmmm")</f>
        <v>July</v>
      </c>
      <c r="Y215" s="3" t="str">
        <f>TEXT(CAPSTONE_PROJECT[[#This Row],[Admission Date]],"yyyy")</f>
        <v>2024</v>
      </c>
      <c r="Z215" s="3" t="str">
        <f>TEXT(CAPSTONE_PROJECT[[#This Row],[Admission Date]],"mmm yyyy")</f>
        <v>Jul 2024</v>
      </c>
      <c r="AA215" s="3" t="str">
        <f>TEXT(CAPSTONE_PROJECT[[#This Row],[Admission Date]],"dddd")</f>
        <v>Tuesday</v>
      </c>
      <c r="AB215" s="3" t="str">
        <f>IF(CAPSTONE_PROJECT[[#This Row],[Age]]&lt;=34,"Young Adults",IF(CAPSTONE_PROJECT[[#This Row],[Age]]&lt;=59,"Adults","Elders"))</f>
        <v>Adults</v>
      </c>
      <c r="AC215" s="3" t="str">
        <f>_xlfn.XLOOKUP(CAPSTONE_PROJECT[[#This Row],[Patient ID]],'Lookup table'!A:A,'Lookup table'!B:B,,0)</f>
        <v>Lily Walker</v>
      </c>
      <c r="AD215" s="3" t="str">
        <f>_xlfn.XLOOKUP(CAPSTONE_PROJECT[[#This Row],[Patient ID]],'Lookup table'!A:A,'Lookup table'!C:C,,0)</f>
        <v>Female</v>
      </c>
      <c r="AE215" s="3" t="str">
        <f>IF(CAPSTONE_PROJECT[[#This Row],[Length of Stay]]&lt;=3,"Short Stay",IF(CAPSTONE_PROJECT[[#This Row],[Length of Stay]]&lt;=7,"Moderate Stay",IF(CAPSTONE_PROJECT[[#This Row],[Length of Stay]]&lt;=14,"Long Stay","Extended Stay")))</f>
        <v>Extended Stay</v>
      </c>
    </row>
    <row r="216" spans="1:31" x14ac:dyDescent="0.3">
      <c r="A216" s="3" t="s">
        <v>489</v>
      </c>
      <c r="B216" s="4">
        <v>45393</v>
      </c>
      <c r="C216" s="4">
        <v>45411</v>
      </c>
      <c r="D216" s="4">
        <v>22316</v>
      </c>
      <c r="E216" s="3">
        <v>65</v>
      </c>
      <c r="F216" s="3" t="s">
        <v>18</v>
      </c>
      <c r="G216" s="3" t="s">
        <v>126</v>
      </c>
      <c r="H216" s="3" t="s">
        <v>114</v>
      </c>
      <c r="I216" s="3" t="s">
        <v>13</v>
      </c>
      <c r="J216" s="3" t="s">
        <v>64</v>
      </c>
      <c r="K216" s="3" t="s">
        <v>15</v>
      </c>
      <c r="L216" s="6">
        <v>544.26</v>
      </c>
      <c r="M216" s="6">
        <v>1589.85</v>
      </c>
      <c r="N216" s="6">
        <v>711.68</v>
      </c>
      <c r="O216" s="6">
        <v>14960.5</v>
      </c>
      <c r="P216" s="3" t="s">
        <v>31</v>
      </c>
      <c r="Q216" s="3" t="s">
        <v>1085</v>
      </c>
      <c r="R216" s="3" t="s">
        <v>58</v>
      </c>
      <c r="S216" s="3" t="s">
        <v>490</v>
      </c>
      <c r="T216" s="3">
        <v>7</v>
      </c>
      <c r="U216" s="3">
        <f>CAPSTONE_PROJECT[[#This Row],[Discharge Date]]-CAPSTONE_PROJECT[[#This Row],[Admission Date]]</f>
        <v>18</v>
      </c>
      <c r="V216" s="6">
        <f>SUM(CAPSTONE_PROJECT[[#This Row],[Room Cost]:[Treatment Cost]])</f>
        <v>17806.29</v>
      </c>
      <c r="W216" s="6">
        <f t="shared" si="3"/>
        <v>989.23833333333334</v>
      </c>
      <c r="X216" s="3" t="str">
        <f>TEXT(CAPSTONE_PROJECT[[#This Row],[Admission Date]],"mmmm")</f>
        <v>April</v>
      </c>
      <c r="Y216" s="3" t="str">
        <f>TEXT(CAPSTONE_PROJECT[[#This Row],[Admission Date]],"yyyy")</f>
        <v>2024</v>
      </c>
      <c r="Z216" s="3" t="str">
        <f>TEXT(CAPSTONE_PROJECT[[#This Row],[Admission Date]],"mmm yyyy")</f>
        <v>Apr 2024</v>
      </c>
      <c r="AA216" s="3" t="str">
        <f>TEXT(CAPSTONE_PROJECT[[#This Row],[Admission Date]],"dddd")</f>
        <v>Thursday</v>
      </c>
      <c r="AB216" s="3" t="str">
        <f>IF(CAPSTONE_PROJECT[[#This Row],[Age]]&lt;=34,"Young Adults",IF(CAPSTONE_PROJECT[[#This Row],[Age]]&lt;=59,"Adults","Elders"))</f>
        <v>Elders</v>
      </c>
      <c r="AC216" s="3" t="str">
        <f>_xlfn.XLOOKUP(CAPSTONE_PROJECT[[#This Row],[Patient ID]],'Lookup table'!A:A,'Lookup table'!B:B,,0)</f>
        <v>Noah Green</v>
      </c>
      <c r="AD216" s="3" t="str">
        <f>_xlfn.XLOOKUP(CAPSTONE_PROJECT[[#This Row],[Patient ID]],'Lookup table'!A:A,'Lookup table'!C:C,,0)</f>
        <v>Male</v>
      </c>
      <c r="AE216" s="3" t="str">
        <f>IF(CAPSTONE_PROJECT[[#This Row],[Length of Stay]]&lt;=3,"Short Stay",IF(CAPSTONE_PROJECT[[#This Row],[Length of Stay]]&lt;=7,"Moderate Stay",IF(CAPSTONE_PROJECT[[#This Row],[Length of Stay]]&lt;=14,"Long Stay","Extended Stay")))</f>
        <v>Extended Stay</v>
      </c>
    </row>
    <row r="217" spans="1:31" x14ac:dyDescent="0.3">
      <c r="A217" s="3" t="s">
        <v>491</v>
      </c>
      <c r="B217" s="4">
        <v>45409</v>
      </c>
      <c r="C217" s="4">
        <v>45418</v>
      </c>
      <c r="D217" s="4">
        <v>28381</v>
      </c>
      <c r="E217" s="3">
        <v>48</v>
      </c>
      <c r="F217" s="3" t="s">
        <v>47</v>
      </c>
      <c r="G217" s="3" t="s">
        <v>40</v>
      </c>
      <c r="H217" s="3" t="s">
        <v>43</v>
      </c>
      <c r="I217" s="3" t="s">
        <v>44</v>
      </c>
      <c r="J217" s="3" t="s">
        <v>23</v>
      </c>
      <c r="K217" s="3" t="s">
        <v>50</v>
      </c>
      <c r="L217" s="6">
        <v>3667.14</v>
      </c>
      <c r="M217" s="6">
        <v>1178.5899999999999</v>
      </c>
      <c r="N217" s="6">
        <v>2035.89</v>
      </c>
      <c r="O217" s="6">
        <v>13557.16</v>
      </c>
      <c r="P217" s="3" t="s">
        <v>31</v>
      </c>
      <c r="Q217" s="3" t="s">
        <v>1081</v>
      </c>
      <c r="R217" s="3" t="s">
        <v>35</v>
      </c>
      <c r="S217" s="3" t="s">
        <v>492</v>
      </c>
      <c r="T217" s="3">
        <v>5</v>
      </c>
      <c r="U217" s="3">
        <f>CAPSTONE_PROJECT[[#This Row],[Discharge Date]]-CAPSTONE_PROJECT[[#This Row],[Admission Date]]</f>
        <v>9</v>
      </c>
      <c r="V217" s="6">
        <f>SUM(CAPSTONE_PROJECT[[#This Row],[Room Cost]:[Treatment Cost]])</f>
        <v>20438.78</v>
      </c>
      <c r="W217" s="6">
        <f t="shared" si="3"/>
        <v>2270.9755555555553</v>
      </c>
      <c r="X217" s="3" t="str">
        <f>TEXT(CAPSTONE_PROJECT[[#This Row],[Admission Date]],"mmmm")</f>
        <v>April</v>
      </c>
      <c r="Y217" s="3" t="str">
        <f>TEXT(CAPSTONE_PROJECT[[#This Row],[Admission Date]],"yyyy")</f>
        <v>2024</v>
      </c>
      <c r="Z217" s="3" t="str">
        <f>TEXT(CAPSTONE_PROJECT[[#This Row],[Admission Date]],"mmm yyyy")</f>
        <v>Apr 2024</v>
      </c>
      <c r="AA217" s="3" t="str">
        <f>TEXT(CAPSTONE_PROJECT[[#This Row],[Admission Date]],"dddd")</f>
        <v>Saturday</v>
      </c>
      <c r="AB217" s="3" t="str">
        <f>IF(CAPSTONE_PROJECT[[#This Row],[Age]]&lt;=34,"Young Adults",IF(CAPSTONE_PROJECT[[#This Row],[Age]]&lt;=59,"Adults","Elders"))</f>
        <v>Adults</v>
      </c>
      <c r="AC217" s="3" t="str">
        <f>_xlfn.XLOOKUP(CAPSTONE_PROJECT[[#This Row],[Patient ID]],'Lookup table'!A:A,'Lookup table'!B:B,,0)</f>
        <v>Amelia A Thompson</v>
      </c>
      <c r="AD217" s="3" t="str">
        <f>_xlfn.XLOOKUP(CAPSTONE_PROJECT[[#This Row],[Patient ID]],'Lookup table'!A:A,'Lookup table'!C:C,,0)</f>
        <v>Female</v>
      </c>
      <c r="AE217" s="3" t="str">
        <f>IF(CAPSTONE_PROJECT[[#This Row],[Length of Stay]]&lt;=3,"Short Stay",IF(CAPSTONE_PROJECT[[#This Row],[Length of Stay]]&lt;=7,"Moderate Stay",IF(CAPSTONE_PROJECT[[#This Row],[Length of Stay]]&lt;=14,"Long Stay","Extended Stay")))</f>
        <v>Long Stay</v>
      </c>
    </row>
    <row r="218" spans="1:31" x14ac:dyDescent="0.3">
      <c r="A218" s="3" t="s">
        <v>493</v>
      </c>
      <c r="B218" s="4">
        <v>45960</v>
      </c>
      <c r="C218" s="4">
        <v>45966</v>
      </c>
      <c r="D218" s="4">
        <v>39000</v>
      </c>
      <c r="E218" s="3">
        <v>19</v>
      </c>
      <c r="F218" s="3" t="s">
        <v>8</v>
      </c>
      <c r="G218" s="3" t="s">
        <v>126</v>
      </c>
      <c r="H218" s="3" t="s">
        <v>43</v>
      </c>
      <c r="I218" s="3" t="s">
        <v>13</v>
      </c>
      <c r="J218" s="3" t="s">
        <v>14</v>
      </c>
      <c r="K218" s="3" t="s">
        <v>24</v>
      </c>
      <c r="L218" s="6">
        <v>4330.74</v>
      </c>
      <c r="M218" s="6">
        <v>715.2</v>
      </c>
      <c r="N218" s="6">
        <v>1228.79</v>
      </c>
      <c r="O218" s="6">
        <v>15320.96</v>
      </c>
      <c r="P218" s="3" t="s">
        <v>16</v>
      </c>
      <c r="Q218" s="3" t="s">
        <v>1086</v>
      </c>
      <c r="R218" s="3" t="s">
        <v>41</v>
      </c>
      <c r="S218" s="3" t="s">
        <v>494</v>
      </c>
      <c r="T218" s="3">
        <v>7</v>
      </c>
      <c r="U218" s="3">
        <f>CAPSTONE_PROJECT[[#This Row],[Discharge Date]]-CAPSTONE_PROJECT[[#This Row],[Admission Date]]</f>
        <v>6</v>
      </c>
      <c r="V218" s="6">
        <f>SUM(CAPSTONE_PROJECT[[#This Row],[Room Cost]:[Treatment Cost]])</f>
        <v>21595.69</v>
      </c>
      <c r="W218" s="6">
        <f t="shared" si="3"/>
        <v>3599.2816666666663</v>
      </c>
      <c r="X218" s="3" t="str">
        <f>TEXT(CAPSTONE_PROJECT[[#This Row],[Admission Date]],"mmmm")</f>
        <v>October</v>
      </c>
      <c r="Y218" s="3" t="str">
        <f>TEXT(CAPSTONE_PROJECT[[#This Row],[Admission Date]],"yyyy")</f>
        <v>2025</v>
      </c>
      <c r="Z218" s="3" t="str">
        <f>TEXT(CAPSTONE_PROJECT[[#This Row],[Admission Date]],"mmm yyyy")</f>
        <v>Oct 2025</v>
      </c>
      <c r="AA218" s="3" t="str">
        <f>TEXT(CAPSTONE_PROJECT[[#This Row],[Admission Date]],"dddd")</f>
        <v>Thursday</v>
      </c>
      <c r="AB218" s="3" t="str">
        <f>IF(CAPSTONE_PROJECT[[#This Row],[Age]]&lt;=34,"Young Adults",IF(CAPSTONE_PROJECT[[#This Row],[Age]]&lt;=59,"Adults","Elders"))</f>
        <v>Young Adults</v>
      </c>
      <c r="AC218" s="3" t="str">
        <f>_xlfn.XLOOKUP(CAPSTONE_PROJECT[[#This Row],[Patient ID]],'Lookup table'!A:A,'Lookup table'!B:B,,0)</f>
        <v>Michael Walker</v>
      </c>
      <c r="AD218" s="3" t="str">
        <f>_xlfn.XLOOKUP(CAPSTONE_PROJECT[[#This Row],[Patient ID]],'Lookup table'!A:A,'Lookup table'!C:C,,0)</f>
        <v>Male</v>
      </c>
      <c r="AE218" s="3" t="str">
        <f>IF(CAPSTONE_PROJECT[[#This Row],[Length of Stay]]&lt;=3,"Short Stay",IF(CAPSTONE_PROJECT[[#This Row],[Length of Stay]]&lt;=7,"Moderate Stay",IF(CAPSTONE_PROJECT[[#This Row],[Length of Stay]]&lt;=14,"Long Stay","Extended Stay")))</f>
        <v>Moderate Stay</v>
      </c>
    </row>
    <row r="219" spans="1:31" x14ac:dyDescent="0.3">
      <c r="A219" s="3" t="s">
        <v>495</v>
      </c>
      <c r="B219" s="4">
        <v>45571</v>
      </c>
      <c r="C219" s="4">
        <v>45579</v>
      </c>
      <c r="D219" s="4">
        <v>34318</v>
      </c>
      <c r="E219" s="3">
        <v>32</v>
      </c>
      <c r="F219" s="3" t="s">
        <v>47</v>
      </c>
      <c r="G219" s="3" t="s">
        <v>9</v>
      </c>
      <c r="H219" s="3" t="s">
        <v>29</v>
      </c>
      <c r="I219" s="3" t="s">
        <v>37</v>
      </c>
      <c r="J219" s="3" t="s">
        <v>14</v>
      </c>
      <c r="K219" s="3" t="s">
        <v>65</v>
      </c>
      <c r="L219" s="6">
        <v>3813.22</v>
      </c>
      <c r="M219" s="6">
        <v>790.6</v>
      </c>
      <c r="N219" s="6">
        <v>206.4</v>
      </c>
      <c r="O219" s="6">
        <v>14948.06</v>
      </c>
      <c r="P219" s="3" t="s">
        <v>25</v>
      </c>
      <c r="Q219" s="3" t="s">
        <v>1079</v>
      </c>
      <c r="R219" s="3" t="s">
        <v>41</v>
      </c>
      <c r="S219" s="3" t="s">
        <v>496</v>
      </c>
      <c r="T219" s="3">
        <v>0</v>
      </c>
      <c r="U219" s="3">
        <f>CAPSTONE_PROJECT[[#This Row],[Discharge Date]]-CAPSTONE_PROJECT[[#This Row],[Admission Date]]</f>
        <v>8</v>
      </c>
      <c r="V219" s="6">
        <f>SUM(CAPSTONE_PROJECT[[#This Row],[Room Cost]:[Treatment Cost]])</f>
        <v>19758.28</v>
      </c>
      <c r="W219" s="6">
        <f t="shared" si="3"/>
        <v>2469.7849999999999</v>
      </c>
      <c r="X219" s="3" t="str">
        <f>TEXT(CAPSTONE_PROJECT[[#This Row],[Admission Date]],"mmmm")</f>
        <v>October</v>
      </c>
      <c r="Y219" s="3" t="str">
        <f>TEXT(CAPSTONE_PROJECT[[#This Row],[Admission Date]],"yyyy")</f>
        <v>2024</v>
      </c>
      <c r="Z219" s="3" t="str">
        <f>TEXT(CAPSTONE_PROJECT[[#This Row],[Admission Date]],"mmm yyyy")</f>
        <v>Oct 2024</v>
      </c>
      <c r="AA219" s="3" t="str">
        <f>TEXT(CAPSTONE_PROJECT[[#This Row],[Admission Date]],"dddd")</f>
        <v>Sunday</v>
      </c>
      <c r="AB219" s="3" t="str">
        <f>IF(CAPSTONE_PROJECT[[#This Row],[Age]]&lt;=34,"Young Adults",IF(CAPSTONE_PROJECT[[#This Row],[Age]]&lt;=59,"Adults","Elders"))</f>
        <v>Young Adults</v>
      </c>
      <c r="AC219" s="3" t="str">
        <f>_xlfn.XLOOKUP(CAPSTONE_PROJECT[[#This Row],[Patient ID]],'Lookup table'!A:A,'Lookup table'!B:B,,0)</f>
        <v>Sophia B Walker</v>
      </c>
      <c r="AD219" s="3" t="str">
        <f>_xlfn.XLOOKUP(CAPSTONE_PROJECT[[#This Row],[Patient ID]],'Lookup table'!A:A,'Lookup table'!C:C,,0)</f>
        <v>Female</v>
      </c>
      <c r="AE219" s="3" t="str">
        <f>IF(CAPSTONE_PROJECT[[#This Row],[Length of Stay]]&lt;=3,"Short Stay",IF(CAPSTONE_PROJECT[[#This Row],[Length of Stay]]&lt;=7,"Moderate Stay",IF(CAPSTONE_PROJECT[[#This Row],[Length of Stay]]&lt;=14,"Long Stay","Extended Stay")))</f>
        <v>Long Stay</v>
      </c>
    </row>
    <row r="220" spans="1:31" x14ac:dyDescent="0.3">
      <c r="A220" s="3" t="s">
        <v>497</v>
      </c>
      <c r="B220" s="4">
        <v>46005</v>
      </c>
      <c r="C220" s="4">
        <v>46006</v>
      </c>
      <c r="D220" s="4">
        <v>25289</v>
      </c>
      <c r="E220" s="3">
        <v>57</v>
      </c>
      <c r="F220" s="3" t="s">
        <v>18</v>
      </c>
      <c r="G220" s="3" t="s">
        <v>27</v>
      </c>
      <c r="H220" s="3" t="s">
        <v>100</v>
      </c>
      <c r="I220" s="3" t="s">
        <v>22</v>
      </c>
      <c r="J220" s="3" t="s">
        <v>73</v>
      </c>
      <c r="K220" s="3" t="s">
        <v>15</v>
      </c>
      <c r="L220" s="6">
        <v>1812.71</v>
      </c>
      <c r="M220" s="6">
        <v>1732.92</v>
      </c>
      <c r="N220" s="6">
        <v>110.15</v>
      </c>
      <c r="O220" s="6">
        <v>12741.97</v>
      </c>
      <c r="P220" s="3" t="s">
        <v>16</v>
      </c>
      <c r="Q220" s="3" t="s">
        <v>1085</v>
      </c>
      <c r="R220" s="3" t="s">
        <v>54</v>
      </c>
      <c r="S220" s="3" t="s">
        <v>498</v>
      </c>
      <c r="T220" s="3">
        <v>1</v>
      </c>
      <c r="U220" s="3">
        <f>CAPSTONE_PROJECT[[#This Row],[Discharge Date]]-CAPSTONE_PROJECT[[#This Row],[Admission Date]]</f>
        <v>1</v>
      </c>
      <c r="V220" s="6">
        <f>SUM(CAPSTONE_PROJECT[[#This Row],[Room Cost]:[Treatment Cost]])</f>
        <v>16397.75</v>
      </c>
      <c r="W220" s="6">
        <f t="shared" si="3"/>
        <v>16397.75</v>
      </c>
      <c r="X220" s="3" t="str">
        <f>TEXT(CAPSTONE_PROJECT[[#This Row],[Admission Date]],"mmmm")</f>
        <v>December</v>
      </c>
      <c r="Y220" s="3" t="str">
        <f>TEXT(CAPSTONE_PROJECT[[#This Row],[Admission Date]],"yyyy")</f>
        <v>2025</v>
      </c>
      <c r="Z220" s="3" t="str">
        <f>TEXT(CAPSTONE_PROJECT[[#This Row],[Admission Date]],"mmm yyyy")</f>
        <v>Dec 2025</v>
      </c>
      <c r="AA220" s="3" t="str">
        <f>TEXT(CAPSTONE_PROJECT[[#This Row],[Admission Date]],"dddd")</f>
        <v>Sunday</v>
      </c>
      <c r="AB220" s="3" t="str">
        <f>IF(CAPSTONE_PROJECT[[#This Row],[Age]]&lt;=34,"Young Adults",IF(CAPSTONE_PROJECT[[#This Row],[Age]]&lt;=59,"Adults","Elders"))</f>
        <v>Adults</v>
      </c>
      <c r="AC220" s="3" t="str">
        <f>_xlfn.XLOOKUP(CAPSTONE_PROJECT[[#This Row],[Patient ID]],'Lookup table'!A:A,'Lookup table'!B:B,,0)</f>
        <v>Michael L Hall</v>
      </c>
      <c r="AD220" s="3" t="str">
        <f>_xlfn.XLOOKUP(CAPSTONE_PROJECT[[#This Row],[Patient ID]],'Lookup table'!A:A,'Lookup table'!C:C,,0)</f>
        <v>Male</v>
      </c>
      <c r="AE220" s="3" t="str">
        <f>IF(CAPSTONE_PROJECT[[#This Row],[Length of Stay]]&lt;=3,"Short Stay",IF(CAPSTONE_PROJECT[[#This Row],[Length of Stay]]&lt;=7,"Moderate Stay",IF(CAPSTONE_PROJECT[[#This Row],[Length of Stay]]&lt;=14,"Long Stay","Extended Stay")))</f>
        <v>Short Stay</v>
      </c>
    </row>
    <row r="221" spans="1:31" x14ac:dyDescent="0.3">
      <c r="A221" s="3" t="s">
        <v>499</v>
      </c>
      <c r="B221" s="4">
        <v>45466</v>
      </c>
      <c r="C221" s="4">
        <v>45484</v>
      </c>
      <c r="D221" s="4">
        <v>29845</v>
      </c>
      <c r="E221" s="3">
        <v>44</v>
      </c>
      <c r="F221" s="3" t="s">
        <v>8</v>
      </c>
      <c r="G221" s="3" t="s">
        <v>40</v>
      </c>
      <c r="H221" s="3" t="s">
        <v>72</v>
      </c>
      <c r="I221" s="3" t="s">
        <v>13</v>
      </c>
      <c r="J221" s="3" t="s">
        <v>73</v>
      </c>
      <c r="K221" s="3" t="s">
        <v>65</v>
      </c>
      <c r="L221" s="6">
        <v>3727.43</v>
      </c>
      <c r="M221" s="6">
        <v>866.7</v>
      </c>
      <c r="N221" s="6">
        <v>375.82</v>
      </c>
      <c r="O221" s="6">
        <v>15427.76</v>
      </c>
      <c r="P221" s="3" t="s">
        <v>51</v>
      </c>
      <c r="Q221" s="3" t="s">
        <v>1087</v>
      </c>
      <c r="R221" s="3" t="s">
        <v>58</v>
      </c>
      <c r="S221" s="3" t="s">
        <v>500</v>
      </c>
      <c r="T221" s="3">
        <v>2</v>
      </c>
      <c r="U221" s="3">
        <f>CAPSTONE_PROJECT[[#This Row],[Discharge Date]]-CAPSTONE_PROJECT[[#This Row],[Admission Date]]</f>
        <v>18</v>
      </c>
      <c r="V221" s="6">
        <f>SUM(CAPSTONE_PROJECT[[#This Row],[Room Cost]:[Treatment Cost]])</f>
        <v>20397.71</v>
      </c>
      <c r="W221" s="6">
        <f t="shared" si="3"/>
        <v>1133.2061111111111</v>
      </c>
      <c r="X221" s="3" t="str">
        <f>TEXT(CAPSTONE_PROJECT[[#This Row],[Admission Date]],"mmmm")</f>
        <v>June</v>
      </c>
      <c r="Y221" s="3" t="str">
        <f>TEXT(CAPSTONE_PROJECT[[#This Row],[Admission Date]],"yyyy")</f>
        <v>2024</v>
      </c>
      <c r="Z221" s="3" t="str">
        <f>TEXT(CAPSTONE_PROJECT[[#This Row],[Admission Date]],"mmm yyyy")</f>
        <v>Jun 2024</v>
      </c>
      <c r="AA221" s="3" t="str">
        <f>TEXT(CAPSTONE_PROJECT[[#This Row],[Admission Date]],"dddd")</f>
        <v>Sunday</v>
      </c>
      <c r="AB221" s="3" t="str">
        <f>IF(CAPSTONE_PROJECT[[#This Row],[Age]]&lt;=34,"Young Adults",IF(CAPSTONE_PROJECT[[#This Row],[Age]]&lt;=59,"Adults","Elders"))</f>
        <v>Adults</v>
      </c>
      <c r="AC221" s="3" t="str">
        <f>_xlfn.XLOOKUP(CAPSTONE_PROJECT[[#This Row],[Patient ID]],'Lookup table'!A:A,'Lookup table'!B:B,,0)</f>
        <v>Ella N Thompson</v>
      </c>
      <c r="AD221" s="3" t="str">
        <f>_xlfn.XLOOKUP(CAPSTONE_PROJECT[[#This Row],[Patient ID]],'Lookup table'!A:A,'Lookup table'!C:C,,0)</f>
        <v>Female</v>
      </c>
      <c r="AE221" s="3" t="str">
        <f>IF(CAPSTONE_PROJECT[[#This Row],[Length of Stay]]&lt;=3,"Short Stay",IF(CAPSTONE_PROJECT[[#This Row],[Length of Stay]]&lt;=7,"Moderate Stay",IF(CAPSTONE_PROJECT[[#This Row],[Length of Stay]]&lt;=14,"Long Stay","Extended Stay")))</f>
        <v>Extended Stay</v>
      </c>
    </row>
    <row r="222" spans="1:31" x14ac:dyDescent="0.3">
      <c r="A222" s="3" t="s">
        <v>501</v>
      </c>
      <c r="B222" s="4">
        <v>45336</v>
      </c>
      <c r="C222" s="4">
        <v>45344</v>
      </c>
      <c r="D222" s="4">
        <v>25106</v>
      </c>
      <c r="E222" s="3">
        <v>57</v>
      </c>
      <c r="F222" s="3" t="s">
        <v>18</v>
      </c>
      <c r="G222" s="3" t="s">
        <v>48</v>
      </c>
      <c r="H222" s="3" t="s">
        <v>43</v>
      </c>
      <c r="I222" s="3" t="s">
        <v>22</v>
      </c>
      <c r="J222" s="3" t="s">
        <v>14</v>
      </c>
      <c r="K222" s="3" t="s">
        <v>65</v>
      </c>
      <c r="L222" s="6">
        <v>355.25</v>
      </c>
      <c r="M222" s="6">
        <v>1348.75</v>
      </c>
      <c r="N222" s="6">
        <v>1345.52</v>
      </c>
      <c r="O222" s="6">
        <v>8794.9500000000007</v>
      </c>
      <c r="P222" s="3" t="s">
        <v>16</v>
      </c>
      <c r="Q222" s="3" t="s">
        <v>1077</v>
      </c>
      <c r="R222" s="3" t="s">
        <v>10</v>
      </c>
      <c r="S222" s="3" t="s">
        <v>502</v>
      </c>
      <c r="T222" s="3">
        <v>4</v>
      </c>
      <c r="U222" s="3">
        <f>CAPSTONE_PROJECT[[#This Row],[Discharge Date]]-CAPSTONE_PROJECT[[#This Row],[Admission Date]]</f>
        <v>8</v>
      </c>
      <c r="V222" s="6">
        <f>SUM(CAPSTONE_PROJECT[[#This Row],[Room Cost]:[Treatment Cost]])</f>
        <v>11844.470000000001</v>
      </c>
      <c r="W222" s="6">
        <f t="shared" si="3"/>
        <v>1480.5587500000001</v>
      </c>
      <c r="X222" s="3" t="str">
        <f>TEXT(CAPSTONE_PROJECT[[#This Row],[Admission Date]],"mmmm")</f>
        <v>February</v>
      </c>
      <c r="Y222" s="3" t="str">
        <f>TEXT(CAPSTONE_PROJECT[[#This Row],[Admission Date]],"yyyy")</f>
        <v>2024</v>
      </c>
      <c r="Z222" s="3" t="str">
        <f>TEXT(CAPSTONE_PROJECT[[#This Row],[Admission Date]],"mmm yyyy")</f>
        <v>Feb 2024</v>
      </c>
      <c r="AA222" s="3" t="str">
        <f>TEXT(CAPSTONE_PROJECT[[#This Row],[Admission Date]],"dddd")</f>
        <v>Wednesday</v>
      </c>
      <c r="AB222" s="3" t="str">
        <f>IF(CAPSTONE_PROJECT[[#This Row],[Age]]&lt;=34,"Young Adults",IF(CAPSTONE_PROJECT[[#This Row],[Age]]&lt;=59,"Adults","Elders"))</f>
        <v>Adults</v>
      </c>
      <c r="AC222" s="3" t="str">
        <f>_xlfn.XLOOKUP(CAPSTONE_PROJECT[[#This Row],[Patient ID]],'Lookup table'!A:A,'Lookup table'!B:B,,0)</f>
        <v>Benjamin M Wilson</v>
      </c>
      <c r="AD222" s="3" t="str">
        <f>_xlfn.XLOOKUP(CAPSTONE_PROJECT[[#This Row],[Patient ID]],'Lookup table'!A:A,'Lookup table'!C:C,,0)</f>
        <v>Male</v>
      </c>
      <c r="AE222" s="3" t="str">
        <f>IF(CAPSTONE_PROJECT[[#This Row],[Length of Stay]]&lt;=3,"Short Stay",IF(CAPSTONE_PROJECT[[#This Row],[Length of Stay]]&lt;=7,"Moderate Stay",IF(CAPSTONE_PROJECT[[#This Row],[Length of Stay]]&lt;=14,"Long Stay","Extended Stay")))</f>
        <v>Long Stay</v>
      </c>
    </row>
    <row r="223" spans="1:31" x14ac:dyDescent="0.3">
      <c r="A223" s="3" t="s">
        <v>503</v>
      </c>
      <c r="B223" s="4">
        <v>45640</v>
      </c>
      <c r="C223" s="4">
        <v>45642</v>
      </c>
      <c r="D223" s="4">
        <v>18848</v>
      </c>
      <c r="E223" s="3">
        <v>74</v>
      </c>
      <c r="F223" s="3" t="s">
        <v>47</v>
      </c>
      <c r="G223" s="3" t="s">
        <v>126</v>
      </c>
      <c r="H223" s="3" t="s">
        <v>29</v>
      </c>
      <c r="I223" s="3" t="s">
        <v>37</v>
      </c>
      <c r="J223" s="3" t="s">
        <v>38</v>
      </c>
      <c r="K223" s="3" t="s">
        <v>24</v>
      </c>
      <c r="L223" s="6">
        <v>648.17999999999995</v>
      </c>
      <c r="M223" s="6">
        <v>161.96</v>
      </c>
      <c r="N223" s="6">
        <v>2568.96</v>
      </c>
      <c r="O223" s="6">
        <v>11132.19</v>
      </c>
      <c r="P223" s="3" t="s">
        <v>31</v>
      </c>
      <c r="Q223" s="3" t="s">
        <v>1084</v>
      </c>
      <c r="R223" s="3" t="s">
        <v>10</v>
      </c>
      <c r="S223" s="3" t="s">
        <v>504</v>
      </c>
      <c r="T223" s="3">
        <v>2</v>
      </c>
      <c r="U223" s="3">
        <f>CAPSTONE_PROJECT[[#This Row],[Discharge Date]]-CAPSTONE_PROJECT[[#This Row],[Admission Date]]</f>
        <v>2</v>
      </c>
      <c r="V223" s="6">
        <f>SUM(CAPSTONE_PROJECT[[#This Row],[Room Cost]:[Treatment Cost]])</f>
        <v>14511.29</v>
      </c>
      <c r="W223" s="6">
        <f t="shared" si="3"/>
        <v>7255.6450000000004</v>
      </c>
      <c r="X223" s="3" t="str">
        <f>TEXT(CAPSTONE_PROJECT[[#This Row],[Admission Date]],"mmmm")</f>
        <v>December</v>
      </c>
      <c r="Y223" s="3" t="str">
        <f>TEXT(CAPSTONE_PROJECT[[#This Row],[Admission Date]],"yyyy")</f>
        <v>2024</v>
      </c>
      <c r="Z223" s="3" t="str">
        <f>TEXT(CAPSTONE_PROJECT[[#This Row],[Admission Date]],"mmm yyyy")</f>
        <v>Dec 2024</v>
      </c>
      <c r="AA223" s="3" t="str">
        <f>TEXT(CAPSTONE_PROJECT[[#This Row],[Admission Date]],"dddd")</f>
        <v>Saturday</v>
      </c>
      <c r="AB223" s="3" t="str">
        <f>IF(CAPSTONE_PROJECT[[#This Row],[Age]]&lt;=34,"Young Adults",IF(CAPSTONE_PROJECT[[#This Row],[Age]]&lt;=59,"Adults","Elders"))</f>
        <v>Elders</v>
      </c>
      <c r="AC223" s="3" t="str">
        <f>_xlfn.XLOOKUP(CAPSTONE_PROJECT[[#This Row],[Patient ID]],'Lookup table'!A:A,'Lookup table'!B:B,,0)</f>
        <v>Freya Martin</v>
      </c>
      <c r="AD223" s="3" t="str">
        <f>_xlfn.XLOOKUP(CAPSTONE_PROJECT[[#This Row],[Patient ID]],'Lookup table'!A:A,'Lookup table'!C:C,,0)</f>
        <v>Female</v>
      </c>
      <c r="AE223" s="3" t="str">
        <f>IF(CAPSTONE_PROJECT[[#This Row],[Length of Stay]]&lt;=3,"Short Stay",IF(CAPSTONE_PROJECT[[#This Row],[Length of Stay]]&lt;=7,"Moderate Stay",IF(CAPSTONE_PROJECT[[#This Row],[Length of Stay]]&lt;=14,"Long Stay","Extended Stay")))</f>
        <v>Short Stay</v>
      </c>
    </row>
    <row r="224" spans="1:31" x14ac:dyDescent="0.3">
      <c r="A224" s="3" t="s">
        <v>505</v>
      </c>
      <c r="B224" s="4">
        <v>45712</v>
      </c>
      <c r="C224" s="4">
        <v>45720</v>
      </c>
      <c r="D224" s="4">
        <v>25619</v>
      </c>
      <c r="E224" s="3">
        <v>56</v>
      </c>
      <c r="F224" s="3" t="s">
        <v>47</v>
      </c>
      <c r="G224" s="3" t="s">
        <v>139</v>
      </c>
      <c r="H224" s="3" t="s">
        <v>21</v>
      </c>
      <c r="I224" s="3" t="s">
        <v>37</v>
      </c>
      <c r="J224" s="3" t="s">
        <v>14</v>
      </c>
      <c r="K224" s="3" t="s">
        <v>50</v>
      </c>
      <c r="L224" s="6">
        <v>4293.63</v>
      </c>
      <c r="M224" s="6">
        <v>906.07</v>
      </c>
      <c r="N224" s="6">
        <v>1668.42</v>
      </c>
      <c r="O224" s="6">
        <v>10016.98</v>
      </c>
      <c r="P224" s="3" t="s">
        <v>16</v>
      </c>
      <c r="Q224" s="3" t="s">
        <v>1078</v>
      </c>
      <c r="R224" s="3" t="s">
        <v>35</v>
      </c>
      <c r="S224" s="3" t="s">
        <v>506</v>
      </c>
      <c r="T224" s="3">
        <v>7</v>
      </c>
      <c r="U224" s="3">
        <f>CAPSTONE_PROJECT[[#This Row],[Discharge Date]]-CAPSTONE_PROJECT[[#This Row],[Admission Date]]</f>
        <v>8</v>
      </c>
      <c r="V224" s="6">
        <f>SUM(CAPSTONE_PROJECT[[#This Row],[Room Cost]:[Treatment Cost]])</f>
        <v>16885.099999999999</v>
      </c>
      <c r="W224" s="6">
        <f t="shared" si="3"/>
        <v>2110.6374999999998</v>
      </c>
      <c r="X224" s="3" t="str">
        <f>TEXT(CAPSTONE_PROJECT[[#This Row],[Admission Date]],"mmmm")</f>
        <v>February</v>
      </c>
      <c r="Y224" s="3" t="str">
        <f>TEXT(CAPSTONE_PROJECT[[#This Row],[Admission Date]],"yyyy")</f>
        <v>2025</v>
      </c>
      <c r="Z224" s="3" t="str">
        <f>TEXT(CAPSTONE_PROJECT[[#This Row],[Admission Date]],"mmm yyyy")</f>
        <v>Feb 2025</v>
      </c>
      <c r="AA224" s="3" t="str">
        <f>TEXT(CAPSTONE_PROJECT[[#This Row],[Admission Date]],"dddd")</f>
        <v>Monday</v>
      </c>
      <c r="AB224" s="3" t="str">
        <f>IF(CAPSTONE_PROJECT[[#This Row],[Age]]&lt;=34,"Young Adults",IF(CAPSTONE_PROJECT[[#This Row],[Age]]&lt;=59,"Adults","Elders"))</f>
        <v>Adults</v>
      </c>
      <c r="AC224" s="3" t="str">
        <f>_xlfn.XLOOKUP(CAPSTONE_PROJECT[[#This Row],[Patient ID]],'Lookup table'!A:A,'Lookup table'!B:B,,0)</f>
        <v>Daniel Smith</v>
      </c>
      <c r="AD224" s="3" t="str">
        <f>_xlfn.XLOOKUP(CAPSTONE_PROJECT[[#This Row],[Patient ID]],'Lookup table'!A:A,'Lookup table'!C:C,,0)</f>
        <v>Male</v>
      </c>
      <c r="AE224" s="3" t="str">
        <f>IF(CAPSTONE_PROJECT[[#This Row],[Length of Stay]]&lt;=3,"Short Stay",IF(CAPSTONE_PROJECT[[#This Row],[Length of Stay]]&lt;=7,"Moderate Stay",IF(CAPSTONE_PROJECT[[#This Row],[Length of Stay]]&lt;=14,"Long Stay","Extended Stay")))</f>
        <v>Long Stay</v>
      </c>
    </row>
    <row r="225" spans="1:31" x14ac:dyDescent="0.3">
      <c r="A225" s="3" t="s">
        <v>507</v>
      </c>
      <c r="B225" s="4">
        <v>45337</v>
      </c>
      <c r="C225" s="4">
        <v>45339</v>
      </c>
      <c r="D225" s="4">
        <v>22001</v>
      </c>
      <c r="E225" s="3">
        <v>66</v>
      </c>
      <c r="F225" s="3" t="s">
        <v>8</v>
      </c>
      <c r="G225" s="3" t="s">
        <v>67</v>
      </c>
      <c r="H225" s="3" t="s">
        <v>114</v>
      </c>
      <c r="I225" s="3" t="s">
        <v>37</v>
      </c>
      <c r="J225" s="3" t="s">
        <v>15</v>
      </c>
      <c r="K225" s="3" t="s">
        <v>50</v>
      </c>
      <c r="L225" s="6">
        <v>1826.53</v>
      </c>
      <c r="M225" s="6">
        <v>728.47</v>
      </c>
      <c r="N225" s="6">
        <v>1382.37</v>
      </c>
      <c r="O225" s="6">
        <v>4422.55</v>
      </c>
      <c r="P225" s="3" t="s">
        <v>25</v>
      </c>
      <c r="Q225" s="3" t="s">
        <v>1081</v>
      </c>
      <c r="R225" s="3" t="s">
        <v>75</v>
      </c>
      <c r="S225" s="3" t="s">
        <v>508</v>
      </c>
      <c r="T225" s="3">
        <v>9</v>
      </c>
      <c r="U225" s="3">
        <f>CAPSTONE_PROJECT[[#This Row],[Discharge Date]]-CAPSTONE_PROJECT[[#This Row],[Admission Date]]</f>
        <v>2</v>
      </c>
      <c r="V225" s="6">
        <f>SUM(CAPSTONE_PROJECT[[#This Row],[Room Cost]:[Treatment Cost]])</f>
        <v>8359.92</v>
      </c>
      <c r="W225" s="6">
        <f t="shared" si="3"/>
        <v>4179.96</v>
      </c>
      <c r="X225" s="3" t="str">
        <f>TEXT(CAPSTONE_PROJECT[[#This Row],[Admission Date]],"mmmm")</f>
        <v>February</v>
      </c>
      <c r="Y225" s="3" t="str">
        <f>TEXT(CAPSTONE_PROJECT[[#This Row],[Admission Date]],"yyyy")</f>
        <v>2024</v>
      </c>
      <c r="Z225" s="3" t="str">
        <f>TEXT(CAPSTONE_PROJECT[[#This Row],[Admission Date]],"mmm yyyy")</f>
        <v>Feb 2024</v>
      </c>
      <c r="AA225" s="3" t="str">
        <f>TEXT(CAPSTONE_PROJECT[[#This Row],[Admission Date]],"dddd")</f>
        <v>Thursday</v>
      </c>
      <c r="AB225" s="3" t="str">
        <f>IF(CAPSTONE_PROJECT[[#This Row],[Age]]&lt;=34,"Young Adults",IF(CAPSTONE_PROJECT[[#This Row],[Age]]&lt;=59,"Adults","Elders"))</f>
        <v>Elders</v>
      </c>
      <c r="AC225" s="3" t="str">
        <f>_xlfn.XLOOKUP(CAPSTONE_PROJECT[[#This Row],[Patient ID]],'Lookup table'!A:A,'Lookup table'!B:B,,0)</f>
        <v>Ella A Hall</v>
      </c>
      <c r="AD225" s="3" t="str">
        <f>_xlfn.XLOOKUP(CAPSTONE_PROJECT[[#This Row],[Patient ID]],'Lookup table'!A:A,'Lookup table'!C:C,,0)</f>
        <v>Female</v>
      </c>
      <c r="AE225" s="3" t="str">
        <f>IF(CAPSTONE_PROJECT[[#This Row],[Length of Stay]]&lt;=3,"Short Stay",IF(CAPSTONE_PROJECT[[#This Row],[Length of Stay]]&lt;=7,"Moderate Stay",IF(CAPSTONE_PROJECT[[#This Row],[Length of Stay]]&lt;=14,"Long Stay","Extended Stay")))</f>
        <v>Short Stay</v>
      </c>
    </row>
    <row r="226" spans="1:31" x14ac:dyDescent="0.3">
      <c r="A226" s="3" t="s">
        <v>509</v>
      </c>
      <c r="B226" s="4">
        <v>45884</v>
      </c>
      <c r="C226" s="4">
        <v>45903</v>
      </c>
      <c r="D226" s="4">
        <v>30661</v>
      </c>
      <c r="E226" s="3">
        <v>42</v>
      </c>
      <c r="F226" s="3" t="s">
        <v>18</v>
      </c>
      <c r="G226" s="3" t="s">
        <v>139</v>
      </c>
      <c r="H226" s="3" t="s">
        <v>29</v>
      </c>
      <c r="I226" s="3" t="s">
        <v>22</v>
      </c>
      <c r="J226" s="3" t="s">
        <v>15</v>
      </c>
      <c r="K226" s="3" t="s">
        <v>15</v>
      </c>
      <c r="L226" s="6">
        <v>191.28</v>
      </c>
      <c r="M226" s="6">
        <v>188.89</v>
      </c>
      <c r="N226" s="6">
        <v>524.42999999999995</v>
      </c>
      <c r="O226" s="6">
        <v>4344.08</v>
      </c>
      <c r="P226" s="3" t="s">
        <v>51</v>
      </c>
      <c r="Q226" s="3" t="s">
        <v>1076</v>
      </c>
      <c r="R226" s="3" t="s">
        <v>54</v>
      </c>
      <c r="S226" s="3" t="s">
        <v>510</v>
      </c>
      <c r="T226" s="3">
        <v>1</v>
      </c>
      <c r="U226" s="3">
        <f>CAPSTONE_PROJECT[[#This Row],[Discharge Date]]-CAPSTONE_PROJECT[[#This Row],[Admission Date]]</f>
        <v>19</v>
      </c>
      <c r="V226" s="6">
        <f>SUM(CAPSTONE_PROJECT[[#This Row],[Room Cost]:[Treatment Cost]])</f>
        <v>5248.68</v>
      </c>
      <c r="W226" s="6">
        <f t="shared" si="3"/>
        <v>276.24631578947373</v>
      </c>
      <c r="X226" s="3" t="str">
        <f>TEXT(CAPSTONE_PROJECT[[#This Row],[Admission Date]],"mmmm")</f>
        <v>August</v>
      </c>
      <c r="Y226" s="3" t="str">
        <f>TEXT(CAPSTONE_PROJECT[[#This Row],[Admission Date]],"yyyy")</f>
        <v>2025</v>
      </c>
      <c r="Z226" s="3" t="str">
        <f>TEXT(CAPSTONE_PROJECT[[#This Row],[Admission Date]],"mmm yyyy")</f>
        <v>Aug 2025</v>
      </c>
      <c r="AA226" s="3" t="str">
        <f>TEXT(CAPSTONE_PROJECT[[#This Row],[Admission Date]],"dddd")</f>
        <v>Friday</v>
      </c>
      <c r="AB226" s="3" t="str">
        <f>IF(CAPSTONE_PROJECT[[#This Row],[Age]]&lt;=34,"Young Adults",IF(CAPSTONE_PROJECT[[#This Row],[Age]]&lt;=59,"Adults","Elders"))</f>
        <v>Adults</v>
      </c>
      <c r="AC226" s="3" t="str">
        <f>_xlfn.XLOOKUP(CAPSTONE_PROJECT[[#This Row],[Patient ID]],'Lookup table'!A:A,'Lookup table'!B:B,,0)</f>
        <v>Samuel Martin</v>
      </c>
      <c r="AD226" s="3" t="str">
        <f>_xlfn.XLOOKUP(CAPSTONE_PROJECT[[#This Row],[Patient ID]],'Lookup table'!A:A,'Lookup table'!C:C,,0)</f>
        <v>Male</v>
      </c>
      <c r="AE226" s="3" t="str">
        <f>IF(CAPSTONE_PROJECT[[#This Row],[Length of Stay]]&lt;=3,"Short Stay",IF(CAPSTONE_PROJECT[[#This Row],[Length of Stay]]&lt;=7,"Moderate Stay",IF(CAPSTONE_PROJECT[[#This Row],[Length of Stay]]&lt;=14,"Long Stay","Extended Stay")))</f>
        <v>Extended Stay</v>
      </c>
    </row>
    <row r="227" spans="1:31" x14ac:dyDescent="0.3">
      <c r="A227" s="3" t="s">
        <v>511</v>
      </c>
      <c r="B227" s="4">
        <v>45938</v>
      </c>
      <c r="C227" s="4">
        <v>45957</v>
      </c>
      <c r="D227" s="4">
        <v>23230</v>
      </c>
      <c r="E227" s="3">
        <v>62</v>
      </c>
      <c r="F227" s="3" t="s">
        <v>18</v>
      </c>
      <c r="G227" s="3" t="s">
        <v>78</v>
      </c>
      <c r="H227" s="3" t="s">
        <v>29</v>
      </c>
      <c r="I227" s="3" t="s">
        <v>44</v>
      </c>
      <c r="J227" s="3" t="s">
        <v>15</v>
      </c>
      <c r="K227" s="3" t="s">
        <v>24</v>
      </c>
      <c r="L227" s="6">
        <v>2103.96</v>
      </c>
      <c r="M227" s="6">
        <v>815.05</v>
      </c>
      <c r="N227" s="6">
        <v>884.78</v>
      </c>
      <c r="O227" s="6">
        <v>4249.07</v>
      </c>
      <c r="P227" s="3" t="s">
        <v>31</v>
      </c>
      <c r="Q227" s="3" t="s">
        <v>1077</v>
      </c>
      <c r="R227" s="3" t="s">
        <v>102</v>
      </c>
      <c r="S227" s="3" t="s">
        <v>512</v>
      </c>
      <c r="T227" s="3">
        <v>3</v>
      </c>
      <c r="U227" s="3">
        <f>CAPSTONE_PROJECT[[#This Row],[Discharge Date]]-CAPSTONE_PROJECT[[#This Row],[Admission Date]]</f>
        <v>19</v>
      </c>
      <c r="V227" s="6">
        <f>SUM(CAPSTONE_PROJECT[[#This Row],[Room Cost]:[Treatment Cost]])</f>
        <v>8052.86</v>
      </c>
      <c r="W227" s="6">
        <f t="shared" si="3"/>
        <v>423.83473684210526</v>
      </c>
      <c r="X227" s="3" t="str">
        <f>TEXT(CAPSTONE_PROJECT[[#This Row],[Admission Date]],"mmmm")</f>
        <v>October</v>
      </c>
      <c r="Y227" s="3" t="str">
        <f>TEXT(CAPSTONE_PROJECT[[#This Row],[Admission Date]],"yyyy")</f>
        <v>2025</v>
      </c>
      <c r="Z227" s="3" t="str">
        <f>TEXT(CAPSTONE_PROJECT[[#This Row],[Admission Date]],"mmm yyyy")</f>
        <v>Oct 2025</v>
      </c>
      <c r="AA227" s="3" t="str">
        <f>TEXT(CAPSTONE_PROJECT[[#This Row],[Admission Date]],"dddd")</f>
        <v>Wednesday</v>
      </c>
      <c r="AB227" s="3" t="str">
        <f>IF(CAPSTONE_PROJECT[[#This Row],[Age]]&lt;=34,"Young Adults",IF(CAPSTONE_PROJECT[[#This Row],[Age]]&lt;=59,"Adults","Elders"))</f>
        <v>Elders</v>
      </c>
      <c r="AC227" s="3" t="str">
        <f>_xlfn.XLOOKUP(CAPSTONE_PROJECT[[#This Row],[Patient ID]],'Lookup table'!A:A,'Lookup table'!B:B,,0)</f>
        <v>Grace C Hall</v>
      </c>
      <c r="AD227" s="3" t="str">
        <f>_xlfn.XLOOKUP(CAPSTONE_PROJECT[[#This Row],[Patient ID]],'Lookup table'!A:A,'Lookup table'!C:C,,0)</f>
        <v>Female</v>
      </c>
      <c r="AE227" s="3" t="str">
        <f>IF(CAPSTONE_PROJECT[[#This Row],[Length of Stay]]&lt;=3,"Short Stay",IF(CAPSTONE_PROJECT[[#This Row],[Length of Stay]]&lt;=7,"Moderate Stay",IF(CAPSTONE_PROJECT[[#This Row],[Length of Stay]]&lt;=14,"Long Stay","Extended Stay")))</f>
        <v>Extended Stay</v>
      </c>
    </row>
    <row r="228" spans="1:31" x14ac:dyDescent="0.3">
      <c r="A228" s="3" t="s">
        <v>513</v>
      </c>
      <c r="B228" s="4">
        <v>45486</v>
      </c>
      <c r="C228" s="4">
        <v>45493</v>
      </c>
      <c r="D228" s="4">
        <v>19058</v>
      </c>
      <c r="E228" s="3">
        <v>74</v>
      </c>
      <c r="F228" s="3" t="s">
        <v>8</v>
      </c>
      <c r="G228" s="3" t="s">
        <v>78</v>
      </c>
      <c r="H228" s="3" t="s">
        <v>104</v>
      </c>
      <c r="I228" s="3" t="s">
        <v>13</v>
      </c>
      <c r="J228" s="3" t="s">
        <v>45</v>
      </c>
      <c r="K228" s="3" t="s">
        <v>15</v>
      </c>
      <c r="L228" s="6">
        <v>647.74</v>
      </c>
      <c r="M228" s="6">
        <v>851.57</v>
      </c>
      <c r="N228" s="6">
        <v>2679.45</v>
      </c>
      <c r="O228" s="6">
        <v>14122.5</v>
      </c>
      <c r="P228" s="3" t="s">
        <v>16</v>
      </c>
      <c r="Q228" s="3" t="s">
        <v>1077</v>
      </c>
      <c r="R228" s="3" t="s">
        <v>75</v>
      </c>
      <c r="S228" s="3" t="s">
        <v>514</v>
      </c>
      <c r="T228" s="3">
        <v>1</v>
      </c>
      <c r="U228" s="3">
        <f>CAPSTONE_PROJECT[[#This Row],[Discharge Date]]-CAPSTONE_PROJECT[[#This Row],[Admission Date]]</f>
        <v>7</v>
      </c>
      <c r="V228" s="6">
        <f>SUM(CAPSTONE_PROJECT[[#This Row],[Room Cost]:[Treatment Cost]])</f>
        <v>18301.260000000002</v>
      </c>
      <c r="W228" s="6">
        <f t="shared" si="3"/>
        <v>2614.4657142857145</v>
      </c>
      <c r="X228" s="3" t="str">
        <f>TEXT(CAPSTONE_PROJECT[[#This Row],[Admission Date]],"mmmm")</f>
        <v>July</v>
      </c>
      <c r="Y228" s="3" t="str">
        <f>TEXT(CAPSTONE_PROJECT[[#This Row],[Admission Date]],"yyyy")</f>
        <v>2024</v>
      </c>
      <c r="Z228" s="3" t="str">
        <f>TEXT(CAPSTONE_PROJECT[[#This Row],[Admission Date]],"mmm yyyy")</f>
        <v>Jul 2024</v>
      </c>
      <c r="AA228" s="3" t="str">
        <f>TEXT(CAPSTONE_PROJECT[[#This Row],[Admission Date]],"dddd")</f>
        <v>Saturday</v>
      </c>
      <c r="AB228" s="3" t="str">
        <f>IF(CAPSTONE_PROJECT[[#This Row],[Age]]&lt;=34,"Young Adults",IF(CAPSTONE_PROJECT[[#This Row],[Age]]&lt;=59,"Adults","Elders"))</f>
        <v>Elders</v>
      </c>
      <c r="AC228" s="3" t="str">
        <f>_xlfn.XLOOKUP(CAPSTONE_PROJECT[[#This Row],[Patient ID]],'Lookup table'!A:A,'Lookup table'!B:B,,0)</f>
        <v>Ethan Thompson</v>
      </c>
      <c r="AD228" s="3" t="str">
        <f>_xlfn.XLOOKUP(CAPSTONE_PROJECT[[#This Row],[Patient ID]],'Lookup table'!A:A,'Lookup table'!C:C,,0)</f>
        <v>Male</v>
      </c>
      <c r="AE228" s="3" t="str">
        <f>IF(CAPSTONE_PROJECT[[#This Row],[Length of Stay]]&lt;=3,"Short Stay",IF(CAPSTONE_PROJECT[[#This Row],[Length of Stay]]&lt;=7,"Moderate Stay",IF(CAPSTONE_PROJECT[[#This Row],[Length of Stay]]&lt;=14,"Long Stay","Extended Stay")))</f>
        <v>Moderate Stay</v>
      </c>
    </row>
    <row r="229" spans="1:31" x14ac:dyDescent="0.3">
      <c r="A229" s="3" t="s">
        <v>515</v>
      </c>
      <c r="B229" s="4">
        <v>45621</v>
      </c>
      <c r="C229" s="4">
        <v>45633</v>
      </c>
      <c r="D229" s="4">
        <v>28708</v>
      </c>
      <c r="E229" s="3">
        <v>47</v>
      </c>
      <c r="F229" s="3" t="s">
        <v>18</v>
      </c>
      <c r="G229" s="3" t="s">
        <v>40</v>
      </c>
      <c r="H229" s="3" t="s">
        <v>104</v>
      </c>
      <c r="I229" s="3" t="s">
        <v>13</v>
      </c>
      <c r="J229" s="3" t="s">
        <v>15</v>
      </c>
      <c r="K229" s="3" t="s">
        <v>50</v>
      </c>
      <c r="L229" s="6">
        <v>4618.4799999999996</v>
      </c>
      <c r="M229" s="6">
        <v>1563.2</v>
      </c>
      <c r="N229" s="6">
        <v>2016.83</v>
      </c>
      <c r="O229" s="6">
        <v>14676.11</v>
      </c>
      <c r="P229" s="3" t="s">
        <v>16</v>
      </c>
      <c r="Q229" s="3" t="s">
        <v>1078</v>
      </c>
      <c r="R229" s="3" t="s">
        <v>102</v>
      </c>
      <c r="S229" s="3" t="s">
        <v>516</v>
      </c>
      <c r="T229" s="3">
        <v>7</v>
      </c>
      <c r="U229" s="3">
        <f>CAPSTONE_PROJECT[[#This Row],[Discharge Date]]-CAPSTONE_PROJECT[[#This Row],[Admission Date]]</f>
        <v>12</v>
      </c>
      <c r="V229" s="6">
        <f>SUM(CAPSTONE_PROJECT[[#This Row],[Room Cost]:[Treatment Cost]])</f>
        <v>22874.62</v>
      </c>
      <c r="W229" s="6">
        <f t="shared" si="3"/>
        <v>1906.2183333333332</v>
      </c>
      <c r="X229" s="3" t="str">
        <f>TEXT(CAPSTONE_PROJECT[[#This Row],[Admission Date]],"mmmm")</f>
        <v>November</v>
      </c>
      <c r="Y229" s="3" t="str">
        <f>TEXT(CAPSTONE_PROJECT[[#This Row],[Admission Date]],"yyyy")</f>
        <v>2024</v>
      </c>
      <c r="Z229" s="3" t="str">
        <f>TEXT(CAPSTONE_PROJECT[[#This Row],[Admission Date]],"mmm yyyy")</f>
        <v>Nov 2024</v>
      </c>
      <c r="AA229" s="3" t="str">
        <f>TEXT(CAPSTONE_PROJECT[[#This Row],[Admission Date]],"dddd")</f>
        <v>Monday</v>
      </c>
      <c r="AB229" s="3" t="str">
        <f>IF(CAPSTONE_PROJECT[[#This Row],[Age]]&lt;=34,"Young Adults",IF(CAPSTONE_PROJECT[[#This Row],[Age]]&lt;=59,"Adults","Elders"))</f>
        <v>Adults</v>
      </c>
      <c r="AC229" s="3" t="str">
        <f>_xlfn.XLOOKUP(CAPSTONE_PROJECT[[#This Row],[Patient ID]],'Lookup table'!A:A,'Lookup table'!B:B,,0)</f>
        <v>Charlotte Thompson</v>
      </c>
      <c r="AD229" s="3" t="str">
        <f>_xlfn.XLOOKUP(CAPSTONE_PROJECT[[#This Row],[Patient ID]],'Lookup table'!A:A,'Lookup table'!C:C,,0)</f>
        <v>Female</v>
      </c>
      <c r="AE229" s="3" t="str">
        <f>IF(CAPSTONE_PROJECT[[#This Row],[Length of Stay]]&lt;=3,"Short Stay",IF(CAPSTONE_PROJECT[[#This Row],[Length of Stay]]&lt;=7,"Moderate Stay",IF(CAPSTONE_PROJECT[[#This Row],[Length of Stay]]&lt;=14,"Long Stay","Extended Stay")))</f>
        <v>Long Stay</v>
      </c>
    </row>
    <row r="230" spans="1:31" x14ac:dyDescent="0.3">
      <c r="A230" s="3" t="s">
        <v>517</v>
      </c>
      <c r="B230" s="4">
        <v>45768</v>
      </c>
      <c r="C230" s="4">
        <v>45785</v>
      </c>
      <c r="D230" s="4">
        <v>21825</v>
      </c>
      <c r="E230" s="3">
        <v>66</v>
      </c>
      <c r="F230" s="3" t="s">
        <v>18</v>
      </c>
      <c r="G230" s="3" t="s">
        <v>67</v>
      </c>
      <c r="H230" s="3" t="s">
        <v>21</v>
      </c>
      <c r="I230" s="3" t="s">
        <v>37</v>
      </c>
      <c r="J230" s="3" t="s">
        <v>30</v>
      </c>
      <c r="K230" s="3" t="s">
        <v>65</v>
      </c>
      <c r="L230" s="6">
        <v>467.6</v>
      </c>
      <c r="M230" s="6">
        <v>712.83</v>
      </c>
      <c r="N230" s="6">
        <v>1761.75</v>
      </c>
      <c r="O230" s="6">
        <v>2513.35</v>
      </c>
      <c r="P230" s="3" t="s">
        <v>16</v>
      </c>
      <c r="Q230" s="3" t="s">
        <v>1076</v>
      </c>
      <c r="R230" s="3" t="s">
        <v>19</v>
      </c>
      <c r="S230" s="3" t="s">
        <v>518</v>
      </c>
      <c r="T230" s="3">
        <v>8</v>
      </c>
      <c r="U230" s="3">
        <f>CAPSTONE_PROJECT[[#This Row],[Discharge Date]]-CAPSTONE_PROJECT[[#This Row],[Admission Date]]</f>
        <v>17</v>
      </c>
      <c r="V230" s="6">
        <f>SUM(CAPSTONE_PROJECT[[#This Row],[Room Cost]:[Treatment Cost]])</f>
        <v>5455.5300000000007</v>
      </c>
      <c r="W230" s="6">
        <f t="shared" si="3"/>
        <v>320.91352941176473</v>
      </c>
      <c r="X230" s="3" t="str">
        <f>TEXT(CAPSTONE_PROJECT[[#This Row],[Admission Date]],"mmmm")</f>
        <v>April</v>
      </c>
      <c r="Y230" s="3" t="str">
        <f>TEXT(CAPSTONE_PROJECT[[#This Row],[Admission Date]],"yyyy")</f>
        <v>2025</v>
      </c>
      <c r="Z230" s="3" t="str">
        <f>TEXT(CAPSTONE_PROJECT[[#This Row],[Admission Date]],"mmm yyyy")</f>
        <v>Apr 2025</v>
      </c>
      <c r="AA230" s="3" t="str">
        <f>TEXT(CAPSTONE_PROJECT[[#This Row],[Admission Date]],"dddd")</f>
        <v>Monday</v>
      </c>
      <c r="AB230" s="3" t="str">
        <f>IF(CAPSTONE_PROJECT[[#This Row],[Age]]&lt;=34,"Young Adults",IF(CAPSTONE_PROJECT[[#This Row],[Age]]&lt;=59,"Adults","Elders"))</f>
        <v>Elders</v>
      </c>
      <c r="AC230" s="3" t="str">
        <f>_xlfn.XLOOKUP(CAPSTONE_PROJECT[[#This Row],[Patient ID]],'Lookup table'!A:A,'Lookup table'!B:B,,0)</f>
        <v>Ethan X Wilson</v>
      </c>
      <c r="AD230" s="3" t="str">
        <f>_xlfn.XLOOKUP(CAPSTONE_PROJECT[[#This Row],[Patient ID]],'Lookup table'!A:A,'Lookup table'!C:C,,0)</f>
        <v>Male</v>
      </c>
      <c r="AE230" s="3" t="str">
        <f>IF(CAPSTONE_PROJECT[[#This Row],[Length of Stay]]&lt;=3,"Short Stay",IF(CAPSTONE_PROJECT[[#This Row],[Length of Stay]]&lt;=7,"Moderate Stay",IF(CAPSTONE_PROJECT[[#This Row],[Length of Stay]]&lt;=14,"Long Stay","Extended Stay")))</f>
        <v>Extended Stay</v>
      </c>
    </row>
    <row r="231" spans="1:31" x14ac:dyDescent="0.3">
      <c r="A231" s="3" t="s">
        <v>519</v>
      </c>
      <c r="B231" s="4">
        <v>45991</v>
      </c>
      <c r="C231" s="4">
        <v>46000</v>
      </c>
      <c r="D231" s="4">
        <v>23738</v>
      </c>
      <c r="E231" s="3">
        <v>61</v>
      </c>
      <c r="F231" s="3" t="s">
        <v>33</v>
      </c>
      <c r="G231" s="3" t="s">
        <v>61</v>
      </c>
      <c r="H231" s="3" t="s">
        <v>72</v>
      </c>
      <c r="I231" s="3" t="s">
        <v>13</v>
      </c>
      <c r="J231" s="3" t="s">
        <v>45</v>
      </c>
      <c r="K231" s="3" t="s">
        <v>50</v>
      </c>
      <c r="L231" s="6">
        <v>4986.6000000000004</v>
      </c>
      <c r="M231" s="6">
        <v>1594.44</v>
      </c>
      <c r="N231" s="6">
        <v>161.01</v>
      </c>
      <c r="O231" s="6">
        <v>8506.7199999999993</v>
      </c>
      <c r="P231" s="3" t="s">
        <v>25</v>
      </c>
      <c r="Q231" s="3" t="s">
        <v>1076</v>
      </c>
      <c r="R231" s="3" t="s">
        <v>58</v>
      </c>
      <c r="S231" s="3" t="s">
        <v>520</v>
      </c>
      <c r="T231" s="3">
        <v>5</v>
      </c>
      <c r="U231" s="3">
        <f>CAPSTONE_PROJECT[[#This Row],[Discharge Date]]-CAPSTONE_PROJECT[[#This Row],[Admission Date]]</f>
        <v>9</v>
      </c>
      <c r="V231" s="6">
        <f>SUM(CAPSTONE_PROJECT[[#This Row],[Room Cost]:[Treatment Cost]])</f>
        <v>15248.77</v>
      </c>
      <c r="W231" s="6">
        <f t="shared" si="3"/>
        <v>1694.3077777777778</v>
      </c>
      <c r="X231" s="3" t="str">
        <f>TEXT(CAPSTONE_PROJECT[[#This Row],[Admission Date]],"mmmm")</f>
        <v>November</v>
      </c>
      <c r="Y231" s="3" t="str">
        <f>TEXT(CAPSTONE_PROJECT[[#This Row],[Admission Date]],"yyyy")</f>
        <v>2025</v>
      </c>
      <c r="Z231" s="3" t="str">
        <f>TEXT(CAPSTONE_PROJECT[[#This Row],[Admission Date]],"mmm yyyy")</f>
        <v>Nov 2025</v>
      </c>
      <c r="AA231" s="3" t="str">
        <f>TEXT(CAPSTONE_PROJECT[[#This Row],[Admission Date]],"dddd")</f>
        <v>Sunday</v>
      </c>
      <c r="AB231" s="3" t="str">
        <f>IF(CAPSTONE_PROJECT[[#This Row],[Age]]&lt;=34,"Young Adults",IF(CAPSTONE_PROJECT[[#This Row],[Age]]&lt;=59,"Adults","Elders"))</f>
        <v>Elders</v>
      </c>
      <c r="AC231" s="3" t="str">
        <f>_xlfn.XLOOKUP(CAPSTONE_PROJECT[[#This Row],[Patient ID]],'Lookup table'!A:A,'Lookup table'!B:B,,0)</f>
        <v>Freya Q Robinson</v>
      </c>
      <c r="AD231" s="3" t="str">
        <f>_xlfn.XLOOKUP(CAPSTONE_PROJECT[[#This Row],[Patient ID]],'Lookup table'!A:A,'Lookup table'!C:C,,0)</f>
        <v>Female</v>
      </c>
      <c r="AE231" s="3" t="str">
        <f>IF(CAPSTONE_PROJECT[[#This Row],[Length of Stay]]&lt;=3,"Short Stay",IF(CAPSTONE_PROJECT[[#This Row],[Length of Stay]]&lt;=7,"Moderate Stay",IF(CAPSTONE_PROJECT[[#This Row],[Length of Stay]]&lt;=14,"Long Stay","Extended Stay")))</f>
        <v>Long Stay</v>
      </c>
    </row>
    <row r="232" spans="1:31" x14ac:dyDescent="0.3">
      <c r="A232" s="3" t="s">
        <v>521</v>
      </c>
      <c r="B232" s="4">
        <v>45484</v>
      </c>
      <c r="C232" s="4">
        <v>45498</v>
      </c>
      <c r="D232" s="4">
        <v>34741</v>
      </c>
      <c r="E232" s="3">
        <v>31</v>
      </c>
      <c r="F232" s="3" t="s">
        <v>8</v>
      </c>
      <c r="G232" s="3" t="s">
        <v>34</v>
      </c>
      <c r="H232" s="3" t="s">
        <v>111</v>
      </c>
      <c r="I232" s="3" t="s">
        <v>22</v>
      </c>
      <c r="J232" s="3" t="s">
        <v>64</v>
      </c>
      <c r="K232" s="3" t="s">
        <v>65</v>
      </c>
      <c r="L232" s="6">
        <v>1254.3699999999999</v>
      </c>
      <c r="M232" s="6">
        <v>2020.71</v>
      </c>
      <c r="N232" s="6">
        <v>1597.9</v>
      </c>
      <c r="O232" s="6">
        <v>10584.36</v>
      </c>
      <c r="P232" s="3" t="s">
        <v>31</v>
      </c>
      <c r="Q232" s="3" t="s">
        <v>1078</v>
      </c>
      <c r="R232" s="3" t="s">
        <v>102</v>
      </c>
      <c r="S232" s="3" t="s">
        <v>522</v>
      </c>
      <c r="T232" s="3">
        <v>3</v>
      </c>
      <c r="U232" s="3">
        <f>CAPSTONE_PROJECT[[#This Row],[Discharge Date]]-CAPSTONE_PROJECT[[#This Row],[Admission Date]]</f>
        <v>14</v>
      </c>
      <c r="V232" s="6">
        <f>SUM(CAPSTONE_PROJECT[[#This Row],[Room Cost]:[Treatment Cost]])</f>
        <v>15457.34</v>
      </c>
      <c r="W232" s="6">
        <f t="shared" si="3"/>
        <v>1104.0957142857144</v>
      </c>
      <c r="X232" s="3" t="str">
        <f>TEXT(CAPSTONE_PROJECT[[#This Row],[Admission Date]],"mmmm")</f>
        <v>July</v>
      </c>
      <c r="Y232" s="3" t="str">
        <f>TEXT(CAPSTONE_PROJECT[[#This Row],[Admission Date]],"yyyy")</f>
        <v>2024</v>
      </c>
      <c r="Z232" s="3" t="str">
        <f>TEXT(CAPSTONE_PROJECT[[#This Row],[Admission Date]],"mmm yyyy")</f>
        <v>Jul 2024</v>
      </c>
      <c r="AA232" s="3" t="str">
        <f>TEXT(CAPSTONE_PROJECT[[#This Row],[Admission Date]],"dddd")</f>
        <v>Thursday</v>
      </c>
      <c r="AB232" s="3" t="str">
        <f>IF(CAPSTONE_PROJECT[[#This Row],[Age]]&lt;=34,"Young Adults",IF(CAPSTONE_PROJECT[[#This Row],[Age]]&lt;=59,"Adults","Elders"))</f>
        <v>Young Adults</v>
      </c>
      <c r="AC232" s="3" t="str">
        <f>_xlfn.XLOOKUP(CAPSTONE_PROJECT[[#This Row],[Patient ID]],'Lookup table'!A:A,'Lookup table'!B:B,,0)</f>
        <v>Daniel K Hall</v>
      </c>
      <c r="AD232" s="3" t="str">
        <f>_xlfn.XLOOKUP(CAPSTONE_PROJECT[[#This Row],[Patient ID]],'Lookup table'!A:A,'Lookup table'!C:C,,0)</f>
        <v>Male</v>
      </c>
      <c r="AE232" s="3" t="str">
        <f>IF(CAPSTONE_PROJECT[[#This Row],[Length of Stay]]&lt;=3,"Short Stay",IF(CAPSTONE_PROJECT[[#This Row],[Length of Stay]]&lt;=7,"Moderate Stay",IF(CAPSTONE_PROJECT[[#This Row],[Length of Stay]]&lt;=14,"Long Stay","Extended Stay")))</f>
        <v>Long Stay</v>
      </c>
    </row>
    <row r="233" spans="1:31" x14ac:dyDescent="0.3">
      <c r="A233" s="3" t="s">
        <v>523</v>
      </c>
      <c r="B233" s="4">
        <v>45839</v>
      </c>
      <c r="C233" s="4">
        <v>45852</v>
      </c>
      <c r="D233" s="4">
        <v>21369</v>
      </c>
      <c r="E233" s="3">
        <v>67</v>
      </c>
      <c r="F233" s="3" t="s">
        <v>33</v>
      </c>
      <c r="G233" s="3" t="s">
        <v>126</v>
      </c>
      <c r="H233" s="3" t="s">
        <v>72</v>
      </c>
      <c r="I233" s="3" t="s">
        <v>44</v>
      </c>
      <c r="J233" s="3" t="s">
        <v>30</v>
      </c>
      <c r="K233" s="3" t="s">
        <v>65</v>
      </c>
      <c r="L233" s="6">
        <v>4348.1000000000004</v>
      </c>
      <c r="M233" s="6">
        <v>731.99</v>
      </c>
      <c r="N233" s="6">
        <v>2756.47</v>
      </c>
      <c r="O233" s="6">
        <v>8006.45</v>
      </c>
      <c r="P233" s="3" t="s">
        <v>16</v>
      </c>
      <c r="Q233" s="3" t="s">
        <v>1079</v>
      </c>
      <c r="R233" s="3" t="s">
        <v>41</v>
      </c>
      <c r="S233" s="3" t="s">
        <v>524</v>
      </c>
      <c r="T233" s="3">
        <v>2</v>
      </c>
      <c r="U233" s="3">
        <f>CAPSTONE_PROJECT[[#This Row],[Discharge Date]]-CAPSTONE_PROJECT[[#This Row],[Admission Date]]</f>
        <v>13</v>
      </c>
      <c r="V233" s="6">
        <f>SUM(CAPSTONE_PROJECT[[#This Row],[Room Cost]:[Treatment Cost]])</f>
        <v>15843.009999999998</v>
      </c>
      <c r="W233" s="6">
        <f t="shared" si="3"/>
        <v>1218.6930769230769</v>
      </c>
      <c r="X233" s="3" t="str">
        <f>TEXT(CAPSTONE_PROJECT[[#This Row],[Admission Date]],"mmmm")</f>
        <v>July</v>
      </c>
      <c r="Y233" s="3" t="str">
        <f>TEXT(CAPSTONE_PROJECT[[#This Row],[Admission Date]],"yyyy")</f>
        <v>2025</v>
      </c>
      <c r="Z233" s="3" t="str">
        <f>TEXT(CAPSTONE_PROJECT[[#This Row],[Admission Date]],"mmm yyyy")</f>
        <v>Jul 2025</v>
      </c>
      <c r="AA233" s="3" t="str">
        <f>TEXT(CAPSTONE_PROJECT[[#This Row],[Admission Date]],"dddd")</f>
        <v>Tuesday</v>
      </c>
      <c r="AB233" s="3" t="str">
        <f>IF(CAPSTONE_PROJECT[[#This Row],[Age]]&lt;=34,"Young Adults",IF(CAPSTONE_PROJECT[[#This Row],[Age]]&lt;=59,"Adults","Elders"))</f>
        <v>Elders</v>
      </c>
      <c r="AC233" s="3" t="str">
        <f>_xlfn.XLOOKUP(CAPSTONE_PROJECT[[#This Row],[Patient ID]],'Lookup table'!A:A,'Lookup table'!B:B,,0)</f>
        <v>Isabella Robinson</v>
      </c>
      <c r="AD233" s="3" t="str">
        <f>_xlfn.XLOOKUP(CAPSTONE_PROJECT[[#This Row],[Patient ID]],'Lookup table'!A:A,'Lookup table'!C:C,,0)</f>
        <v>Female</v>
      </c>
      <c r="AE233" s="3" t="str">
        <f>IF(CAPSTONE_PROJECT[[#This Row],[Length of Stay]]&lt;=3,"Short Stay",IF(CAPSTONE_PROJECT[[#This Row],[Length of Stay]]&lt;=7,"Moderate Stay",IF(CAPSTONE_PROJECT[[#This Row],[Length of Stay]]&lt;=14,"Long Stay","Extended Stay")))</f>
        <v>Long Stay</v>
      </c>
    </row>
    <row r="234" spans="1:31" x14ac:dyDescent="0.3">
      <c r="A234" s="3" t="s">
        <v>525</v>
      </c>
      <c r="B234" s="4">
        <v>45841</v>
      </c>
      <c r="C234" s="4">
        <v>45855</v>
      </c>
      <c r="D234" s="4">
        <v>20125</v>
      </c>
      <c r="E234" s="3">
        <v>71</v>
      </c>
      <c r="F234" s="3" t="s">
        <v>8</v>
      </c>
      <c r="G234" s="3" t="s">
        <v>61</v>
      </c>
      <c r="H234" s="3" t="s">
        <v>1080</v>
      </c>
      <c r="I234" s="3" t="s">
        <v>37</v>
      </c>
      <c r="J234" s="3" t="s">
        <v>23</v>
      </c>
      <c r="K234" s="3" t="s">
        <v>65</v>
      </c>
      <c r="L234" s="6">
        <v>2174.59</v>
      </c>
      <c r="M234" s="6">
        <v>1912.46</v>
      </c>
      <c r="N234" s="6">
        <v>669.04</v>
      </c>
      <c r="O234" s="6">
        <v>14408.24</v>
      </c>
      <c r="P234" s="3" t="s">
        <v>51</v>
      </c>
      <c r="Q234" s="3" t="s">
        <v>1082</v>
      </c>
      <c r="R234" s="3" t="s">
        <v>102</v>
      </c>
      <c r="S234" s="3" t="s">
        <v>526</v>
      </c>
      <c r="T234" s="3">
        <v>5</v>
      </c>
      <c r="U234" s="3">
        <f>CAPSTONE_PROJECT[[#This Row],[Discharge Date]]-CAPSTONE_PROJECT[[#This Row],[Admission Date]]</f>
        <v>14</v>
      </c>
      <c r="V234" s="6">
        <f>SUM(CAPSTONE_PROJECT[[#This Row],[Room Cost]:[Treatment Cost]])</f>
        <v>19164.330000000002</v>
      </c>
      <c r="W234" s="6">
        <f t="shared" si="3"/>
        <v>1368.8807142857145</v>
      </c>
      <c r="X234" s="3" t="str">
        <f>TEXT(CAPSTONE_PROJECT[[#This Row],[Admission Date]],"mmmm")</f>
        <v>July</v>
      </c>
      <c r="Y234" s="3" t="str">
        <f>TEXT(CAPSTONE_PROJECT[[#This Row],[Admission Date]],"yyyy")</f>
        <v>2025</v>
      </c>
      <c r="Z234" s="3" t="str">
        <f>TEXT(CAPSTONE_PROJECT[[#This Row],[Admission Date]],"mmm yyyy")</f>
        <v>Jul 2025</v>
      </c>
      <c r="AA234" s="3" t="str">
        <f>TEXT(CAPSTONE_PROJECT[[#This Row],[Admission Date]],"dddd")</f>
        <v>Thursday</v>
      </c>
      <c r="AB234" s="3" t="str">
        <f>IF(CAPSTONE_PROJECT[[#This Row],[Age]]&lt;=34,"Young Adults",IF(CAPSTONE_PROJECT[[#This Row],[Age]]&lt;=59,"Adults","Elders"))</f>
        <v>Elders</v>
      </c>
      <c r="AC234" s="3" t="str">
        <f>_xlfn.XLOOKUP(CAPSTONE_PROJECT[[#This Row],[Patient ID]],'Lookup table'!A:A,'Lookup table'!B:B,,0)</f>
        <v>Samuel Thomas</v>
      </c>
      <c r="AD234" s="3" t="str">
        <f>_xlfn.XLOOKUP(CAPSTONE_PROJECT[[#This Row],[Patient ID]],'Lookup table'!A:A,'Lookup table'!C:C,,0)</f>
        <v>Male</v>
      </c>
      <c r="AE234" s="3" t="str">
        <f>IF(CAPSTONE_PROJECT[[#This Row],[Length of Stay]]&lt;=3,"Short Stay",IF(CAPSTONE_PROJECT[[#This Row],[Length of Stay]]&lt;=7,"Moderate Stay",IF(CAPSTONE_PROJECT[[#This Row],[Length of Stay]]&lt;=14,"Long Stay","Extended Stay")))</f>
        <v>Long Stay</v>
      </c>
    </row>
    <row r="235" spans="1:31" x14ac:dyDescent="0.3">
      <c r="A235" s="3" t="s">
        <v>527</v>
      </c>
      <c r="B235" s="4">
        <v>45385</v>
      </c>
      <c r="C235" s="4">
        <v>45395</v>
      </c>
      <c r="D235" s="4">
        <v>27304</v>
      </c>
      <c r="E235" s="3">
        <v>51</v>
      </c>
      <c r="F235" s="3" t="s">
        <v>33</v>
      </c>
      <c r="G235" s="3" t="s">
        <v>139</v>
      </c>
      <c r="H235" s="3" t="s">
        <v>1080</v>
      </c>
      <c r="I235" s="3" t="s">
        <v>37</v>
      </c>
      <c r="J235" s="3" t="s">
        <v>45</v>
      </c>
      <c r="K235" s="3" t="s">
        <v>24</v>
      </c>
      <c r="L235" s="6">
        <v>2557.67</v>
      </c>
      <c r="M235" s="6">
        <v>190.9</v>
      </c>
      <c r="N235" s="6">
        <v>1712.3</v>
      </c>
      <c r="O235" s="6">
        <v>15587.08</v>
      </c>
      <c r="P235" s="3" t="s">
        <v>25</v>
      </c>
      <c r="Q235" s="3" t="s">
        <v>1086</v>
      </c>
      <c r="R235" s="3" t="s">
        <v>10</v>
      </c>
      <c r="S235" s="3" t="s">
        <v>528</v>
      </c>
      <c r="T235" s="3">
        <v>3</v>
      </c>
      <c r="U235" s="3">
        <f>CAPSTONE_PROJECT[[#This Row],[Discharge Date]]-CAPSTONE_PROJECT[[#This Row],[Admission Date]]</f>
        <v>10</v>
      </c>
      <c r="V235" s="6">
        <f>SUM(CAPSTONE_PROJECT[[#This Row],[Room Cost]:[Treatment Cost]])</f>
        <v>20047.95</v>
      </c>
      <c r="W235" s="6">
        <f t="shared" si="3"/>
        <v>2004.7950000000001</v>
      </c>
      <c r="X235" s="3" t="str">
        <f>TEXT(CAPSTONE_PROJECT[[#This Row],[Admission Date]],"mmmm")</f>
        <v>April</v>
      </c>
      <c r="Y235" s="3" t="str">
        <f>TEXT(CAPSTONE_PROJECT[[#This Row],[Admission Date]],"yyyy")</f>
        <v>2024</v>
      </c>
      <c r="Z235" s="3" t="str">
        <f>TEXT(CAPSTONE_PROJECT[[#This Row],[Admission Date]],"mmm yyyy")</f>
        <v>Apr 2024</v>
      </c>
      <c r="AA235" s="3" t="str">
        <f>TEXT(CAPSTONE_PROJECT[[#This Row],[Admission Date]],"dddd")</f>
        <v>Wednesday</v>
      </c>
      <c r="AB235" s="3" t="str">
        <f>IF(CAPSTONE_PROJECT[[#This Row],[Age]]&lt;=34,"Young Adults",IF(CAPSTONE_PROJECT[[#This Row],[Age]]&lt;=59,"Adults","Elders"))</f>
        <v>Adults</v>
      </c>
      <c r="AC235" s="3" t="str">
        <f>_xlfn.XLOOKUP(CAPSTONE_PROJECT[[#This Row],[Patient ID]],'Lookup table'!A:A,'Lookup table'!B:B,,0)</f>
        <v>Olivia Hall</v>
      </c>
      <c r="AD235" s="3" t="str">
        <f>_xlfn.XLOOKUP(CAPSTONE_PROJECT[[#This Row],[Patient ID]],'Lookup table'!A:A,'Lookup table'!C:C,,0)</f>
        <v>Female</v>
      </c>
      <c r="AE235" s="3" t="str">
        <f>IF(CAPSTONE_PROJECT[[#This Row],[Length of Stay]]&lt;=3,"Short Stay",IF(CAPSTONE_PROJECT[[#This Row],[Length of Stay]]&lt;=7,"Moderate Stay",IF(CAPSTONE_PROJECT[[#This Row],[Length of Stay]]&lt;=14,"Long Stay","Extended Stay")))</f>
        <v>Long Stay</v>
      </c>
    </row>
    <row r="236" spans="1:31" x14ac:dyDescent="0.3">
      <c r="A236" s="3" t="s">
        <v>529</v>
      </c>
      <c r="B236" s="4">
        <v>45669</v>
      </c>
      <c r="C236" s="4">
        <v>45672</v>
      </c>
      <c r="D236" s="4">
        <v>26180</v>
      </c>
      <c r="E236" s="3">
        <v>54</v>
      </c>
      <c r="F236" s="3" t="s">
        <v>33</v>
      </c>
      <c r="G236" s="3" t="s">
        <v>53</v>
      </c>
      <c r="H236" s="3" t="s">
        <v>100</v>
      </c>
      <c r="I236" s="3" t="s">
        <v>22</v>
      </c>
      <c r="J236" s="3" t="s">
        <v>14</v>
      </c>
      <c r="K236" s="3" t="s">
        <v>24</v>
      </c>
      <c r="L236" s="6">
        <v>4117.1400000000003</v>
      </c>
      <c r="M236" s="6">
        <v>216.42</v>
      </c>
      <c r="N236" s="6">
        <v>1913.48</v>
      </c>
      <c r="O236" s="6">
        <v>12230.68</v>
      </c>
      <c r="P236" s="3" t="s">
        <v>16</v>
      </c>
      <c r="Q236" s="3" t="s">
        <v>1086</v>
      </c>
      <c r="R236" s="3" t="s">
        <v>75</v>
      </c>
      <c r="S236" s="3" t="s">
        <v>530</v>
      </c>
      <c r="T236" s="3">
        <v>4</v>
      </c>
      <c r="U236" s="3">
        <f>CAPSTONE_PROJECT[[#This Row],[Discharge Date]]-CAPSTONE_PROJECT[[#This Row],[Admission Date]]</f>
        <v>3</v>
      </c>
      <c r="V236" s="6">
        <f>SUM(CAPSTONE_PROJECT[[#This Row],[Room Cost]:[Treatment Cost]])</f>
        <v>18477.72</v>
      </c>
      <c r="W236" s="6">
        <f t="shared" si="3"/>
        <v>6159.2400000000007</v>
      </c>
      <c r="X236" s="3" t="str">
        <f>TEXT(CAPSTONE_PROJECT[[#This Row],[Admission Date]],"mmmm")</f>
        <v>January</v>
      </c>
      <c r="Y236" s="3" t="str">
        <f>TEXT(CAPSTONE_PROJECT[[#This Row],[Admission Date]],"yyyy")</f>
        <v>2025</v>
      </c>
      <c r="Z236" s="3" t="str">
        <f>TEXT(CAPSTONE_PROJECT[[#This Row],[Admission Date]],"mmm yyyy")</f>
        <v>Jan 2025</v>
      </c>
      <c r="AA236" s="3" t="str">
        <f>TEXT(CAPSTONE_PROJECT[[#This Row],[Admission Date]],"dddd")</f>
        <v>Sunday</v>
      </c>
      <c r="AB236" s="3" t="str">
        <f>IF(CAPSTONE_PROJECT[[#This Row],[Age]]&lt;=34,"Young Adults",IF(CAPSTONE_PROJECT[[#This Row],[Age]]&lt;=59,"Adults","Elders"))</f>
        <v>Adults</v>
      </c>
      <c r="AC236" s="3" t="str">
        <f>_xlfn.XLOOKUP(CAPSTONE_PROJECT[[#This Row],[Patient ID]],'Lookup table'!A:A,'Lookup table'!B:B,,0)</f>
        <v>Ethan Green</v>
      </c>
      <c r="AD236" s="3" t="str">
        <f>_xlfn.XLOOKUP(CAPSTONE_PROJECT[[#This Row],[Patient ID]],'Lookup table'!A:A,'Lookup table'!C:C,,0)</f>
        <v>Male</v>
      </c>
      <c r="AE236" s="3" t="str">
        <f>IF(CAPSTONE_PROJECT[[#This Row],[Length of Stay]]&lt;=3,"Short Stay",IF(CAPSTONE_PROJECT[[#This Row],[Length of Stay]]&lt;=7,"Moderate Stay",IF(CAPSTONE_PROJECT[[#This Row],[Length of Stay]]&lt;=14,"Long Stay","Extended Stay")))</f>
        <v>Short Stay</v>
      </c>
    </row>
    <row r="237" spans="1:31" x14ac:dyDescent="0.3">
      <c r="A237" s="3" t="s">
        <v>531</v>
      </c>
      <c r="B237" s="4">
        <v>45577</v>
      </c>
      <c r="C237" s="4">
        <v>45583</v>
      </c>
      <c r="D237" s="4">
        <v>19598</v>
      </c>
      <c r="E237" s="3">
        <v>72</v>
      </c>
      <c r="F237" s="3" t="s">
        <v>8</v>
      </c>
      <c r="G237" s="3" t="s">
        <v>78</v>
      </c>
      <c r="H237" s="3" t="s">
        <v>114</v>
      </c>
      <c r="I237" s="3" t="s">
        <v>37</v>
      </c>
      <c r="J237" s="3" t="s">
        <v>38</v>
      </c>
      <c r="K237" s="3" t="s">
        <v>65</v>
      </c>
      <c r="L237" s="6">
        <v>3742.24</v>
      </c>
      <c r="M237" s="6">
        <v>31.43</v>
      </c>
      <c r="N237" s="6">
        <v>0</v>
      </c>
      <c r="O237" s="6">
        <v>0</v>
      </c>
      <c r="P237" s="3" t="s">
        <v>51</v>
      </c>
      <c r="Q237" s="3" t="s">
        <v>1084</v>
      </c>
      <c r="R237" s="3" t="s">
        <v>68</v>
      </c>
      <c r="S237" s="3" t="s">
        <v>532</v>
      </c>
      <c r="T237" s="3">
        <v>7</v>
      </c>
      <c r="U237" s="3">
        <f>CAPSTONE_PROJECT[[#This Row],[Discharge Date]]-CAPSTONE_PROJECT[[#This Row],[Admission Date]]</f>
        <v>6</v>
      </c>
      <c r="V237" s="6">
        <f>SUM(CAPSTONE_PROJECT[[#This Row],[Room Cost]:[Treatment Cost]])</f>
        <v>3773.6699999999996</v>
      </c>
      <c r="W237" s="6">
        <f t="shared" si="3"/>
        <v>628.94499999999994</v>
      </c>
      <c r="X237" s="3" t="str">
        <f>TEXT(CAPSTONE_PROJECT[[#This Row],[Admission Date]],"mmmm")</f>
        <v>October</v>
      </c>
      <c r="Y237" s="3" t="str">
        <f>TEXT(CAPSTONE_PROJECT[[#This Row],[Admission Date]],"yyyy")</f>
        <v>2024</v>
      </c>
      <c r="Z237" s="3" t="str">
        <f>TEXT(CAPSTONE_PROJECT[[#This Row],[Admission Date]],"mmm yyyy")</f>
        <v>Oct 2024</v>
      </c>
      <c r="AA237" s="3" t="str">
        <f>TEXT(CAPSTONE_PROJECT[[#This Row],[Admission Date]],"dddd")</f>
        <v>Saturday</v>
      </c>
      <c r="AB237" s="3" t="str">
        <f>IF(CAPSTONE_PROJECT[[#This Row],[Age]]&lt;=34,"Young Adults",IF(CAPSTONE_PROJECT[[#This Row],[Age]]&lt;=59,"Adults","Elders"))</f>
        <v>Elders</v>
      </c>
      <c r="AC237" s="3" t="str">
        <f>_xlfn.XLOOKUP(CAPSTONE_PROJECT[[#This Row],[Patient ID]],'Lookup table'!A:A,'Lookup table'!B:B,,0)</f>
        <v>Amelia White</v>
      </c>
      <c r="AD237" s="3" t="str">
        <f>_xlfn.XLOOKUP(CAPSTONE_PROJECT[[#This Row],[Patient ID]],'Lookup table'!A:A,'Lookup table'!C:C,,0)</f>
        <v>Female</v>
      </c>
      <c r="AE237" s="3" t="str">
        <f>IF(CAPSTONE_PROJECT[[#This Row],[Length of Stay]]&lt;=3,"Short Stay",IF(CAPSTONE_PROJECT[[#This Row],[Length of Stay]]&lt;=7,"Moderate Stay",IF(CAPSTONE_PROJECT[[#This Row],[Length of Stay]]&lt;=14,"Long Stay","Extended Stay")))</f>
        <v>Moderate Stay</v>
      </c>
    </row>
    <row r="238" spans="1:31" x14ac:dyDescent="0.3">
      <c r="A238" s="3" t="s">
        <v>533</v>
      </c>
      <c r="B238" s="4">
        <v>45536</v>
      </c>
      <c r="C238" s="4">
        <v>45543</v>
      </c>
      <c r="D238" s="4">
        <v>38089</v>
      </c>
      <c r="E238" s="3">
        <v>22</v>
      </c>
      <c r="F238" s="3" t="s">
        <v>47</v>
      </c>
      <c r="G238" s="3" t="s">
        <v>9</v>
      </c>
      <c r="H238" s="3" t="s">
        <v>100</v>
      </c>
      <c r="I238" s="3" t="s">
        <v>22</v>
      </c>
      <c r="J238" s="3" t="s">
        <v>64</v>
      </c>
      <c r="K238" s="3" t="s">
        <v>50</v>
      </c>
      <c r="L238" s="6">
        <v>4576.51</v>
      </c>
      <c r="M238" s="6">
        <v>902.04</v>
      </c>
      <c r="N238" s="6">
        <v>142.71</v>
      </c>
      <c r="O238" s="6">
        <v>10941.12</v>
      </c>
      <c r="P238" s="3" t="s">
        <v>31</v>
      </c>
      <c r="Q238" s="3" t="s">
        <v>1079</v>
      </c>
      <c r="R238" s="3" t="s">
        <v>41</v>
      </c>
      <c r="S238" s="3" t="s">
        <v>534</v>
      </c>
      <c r="T238" s="3">
        <v>4</v>
      </c>
      <c r="U238" s="3">
        <f>CAPSTONE_PROJECT[[#This Row],[Discharge Date]]-CAPSTONE_PROJECT[[#This Row],[Admission Date]]</f>
        <v>7</v>
      </c>
      <c r="V238" s="6">
        <f>SUM(CAPSTONE_PROJECT[[#This Row],[Room Cost]:[Treatment Cost]])</f>
        <v>16562.38</v>
      </c>
      <c r="W238" s="6">
        <f t="shared" si="3"/>
        <v>2366.0542857142859</v>
      </c>
      <c r="X238" s="3" t="str">
        <f>TEXT(CAPSTONE_PROJECT[[#This Row],[Admission Date]],"mmmm")</f>
        <v>September</v>
      </c>
      <c r="Y238" s="3" t="str">
        <f>TEXT(CAPSTONE_PROJECT[[#This Row],[Admission Date]],"yyyy")</f>
        <v>2024</v>
      </c>
      <c r="Z238" s="3" t="str">
        <f>TEXT(CAPSTONE_PROJECT[[#This Row],[Admission Date]],"mmm yyyy")</f>
        <v>Sep 2024</v>
      </c>
      <c r="AA238" s="3" t="str">
        <f>TEXT(CAPSTONE_PROJECT[[#This Row],[Admission Date]],"dddd")</f>
        <v>Sunday</v>
      </c>
      <c r="AB238" s="3" t="str">
        <f>IF(CAPSTONE_PROJECT[[#This Row],[Age]]&lt;=34,"Young Adults",IF(CAPSTONE_PROJECT[[#This Row],[Age]]&lt;=59,"Adults","Elders"))</f>
        <v>Young Adults</v>
      </c>
      <c r="AC238" s="3" t="str">
        <f>_xlfn.XLOOKUP(CAPSTONE_PROJECT[[#This Row],[Patient ID]],'Lookup table'!A:A,'Lookup table'!B:B,,0)</f>
        <v>Benjamin Robinson</v>
      </c>
      <c r="AD238" s="3" t="str">
        <f>_xlfn.XLOOKUP(CAPSTONE_PROJECT[[#This Row],[Patient ID]],'Lookup table'!A:A,'Lookup table'!C:C,,0)</f>
        <v>Male</v>
      </c>
      <c r="AE238" s="3" t="str">
        <f>IF(CAPSTONE_PROJECT[[#This Row],[Length of Stay]]&lt;=3,"Short Stay",IF(CAPSTONE_PROJECT[[#This Row],[Length of Stay]]&lt;=7,"Moderate Stay",IF(CAPSTONE_PROJECT[[#This Row],[Length of Stay]]&lt;=14,"Long Stay","Extended Stay")))</f>
        <v>Moderate Stay</v>
      </c>
    </row>
    <row r="239" spans="1:31" x14ac:dyDescent="0.3">
      <c r="A239" s="3" t="s">
        <v>535</v>
      </c>
      <c r="B239" s="4">
        <v>45307</v>
      </c>
      <c r="C239" s="4">
        <v>45320</v>
      </c>
      <c r="D239" s="4">
        <v>24629</v>
      </c>
      <c r="E239" s="3">
        <v>59</v>
      </c>
      <c r="F239" s="3" t="s">
        <v>18</v>
      </c>
      <c r="G239" s="3" t="s">
        <v>53</v>
      </c>
      <c r="H239" s="3" t="s">
        <v>29</v>
      </c>
      <c r="I239" s="3" t="s">
        <v>44</v>
      </c>
      <c r="J239" s="3" t="s">
        <v>30</v>
      </c>
      <c r="K239" s="3" t="s">
        <v>24</v>
      </c>
      <c r="L239" s="6">
        <v>1221.2</v>
      </c>
      <c r="M239" s="6">
        <v>1359.09</v>
      </c>
      <c r="N239" s="6">
        <v>1951.01</v>
      </c>
      <c r="O239" s="6">
        <v>11532.32</v>
      </c>
      <c r="P239" s="3" t="s">
        <v>51</v>
      </c>
      <c r="Q239" s="3" t="s">
        <v>1077</v>
      </c>
      <c r="R239" s="3" t="s">
        <v>62</v>
      </c>
      <c r="S239" s="3" t="s">
        <v>536</v>
      </c>
      <c r="T239" s="3">
        <v>5</v>
      </c>
      <c r="U239" s="3">
        <f>CAPSTONE_PROJECT[[#This Row],[Discharge Date]]-CAPSTONE_PROJECT[[#This Row],[Admission Date]]</f>
        <v>13</v>
      </c>
      <c r="V239" s="6">
        <f>SUM(CAPSTONE_PROJECT[[#This Row],[Room Cost]:[Treatment Cost]])</f>
        <v>16063.619999999999</v>
      </c>
      <c r="W239" s="6">
        <f t="shared" si="3"/>
        <v>1235.6630769230769</v>
      </c>
      <c r="X239" s="3" t="str">
        <f>TEXT(CAPSTONE_PROJECT[[#This Row],[Admission Date]],"mmmm")</f>
        <v>January</v>
      </c>
      <c r="Y239" s="3" t="str">
        <f>TEXT(CAPSTONE_PROJECT[[#This Row],[Admission Date]],"yyyy")</f>
        <v>2024</v>
      </c>
      <c r="Z239" s="3" t="str">
        <f>TEXT(CAPSTONE_PROJECT[[#This Row],[Admission Date]],"mmm yyyy")</f>
        <v>Jan 2024</v>
      </c>
      <c r="AA239" s="3" t="str">
        <f>TEXT(CAPSTONE_PROJECT[[#This Row],[Admission Date]],"dddd")</f>
        <v>Tuesday</v>
      </c>
      <c r="AB239" s="3" t="str">
        <f>IF(CAPSTONE_PROJECT[[#This Row],[Age]]&lt;=34,"Young Adults",IF(CAPSTONE_PROJECT[[#This Row],[Age]]&lt;=59,"Adults","Elders"))</f>
        <v>Adults</v>
      </c>
      <c r="AC239" s="3" t="str">
        <f>_xlfn.XLOOKUP(CAPSTONE_PROJECT[[#This Row],[Patient ID]],'Lookup table'!A:A,'Lookup table'!B:B,,0)</f>
        <v>Isabella Brown</v>
      </c>
      <c r="AD239" s="3" t="str">
        <f>_xlfn.XLOOKUP(CAPSTONE_PROJECT[[#This Row],[Patient ID]],'Lookup table'!A:A,'Lookup table'!C:C,,0)</f>
        <v>Female</v>
      </c>
      <c r="AE239" s="3" t="str">
        <f>IF(CAPSTONE_PROJECT[[#This Row],[Length of Stay]]&lt;=3,"Short Stay",IF(CAPSTONE_PROJECT[[#This Row],[Length of Stay]]&lt;=7,"Moderate Stay",IF(CAPSTONE_PROJECT[[#This Row],[Length of Stay]]&lt;=14,"Long Stay","Extended Stay")))</f>
        <v>Long Stay</v>
      </c>
    </row>
    <row r="240" spans="1:31" x14ac:dyDescent="0.3">
      <c r="A240" s="3" t="s">
        <v>537</v>
      </c>
      <c r="B240" s="4">
        <v>45915</v>
      </c>
      <c r="C240" s="4">
        <v>45934</v>
      </c>
      <c r="D240" s="4">
        <v>18050</v>
      </c>
      <c r="E240" s="3">
        <v>77</v>
      </c>
      <c r="F240" s="3" t="s">
        <v>8</v>
      </c>
      <c r="G240" s="3" t="s">
        <v>40</v>
      </c>
      <c r="H240" s="3" t="s">
        <v>1080</v>
      </c>
      <c r="I240" s="3" t="s">
        <v>22</v>
      </c>
      <c r="J240" s="3" t="s">
        <v>38</v>
      </c>
      <c r="K240" s="3" t="s">
        <v>50</v>
      </c>
      <c r="L240" s="6">
        <v>433.81</v>
      </c>
      <c r="M240" s="6">
        <v>1534.9</v>
      </c>
      <c r="N240" s="6">
        <v>2170.75</v>
      </c>
      <c r="O240" s="6">
        <v>3359.75</v>
      </c>
      <c r="P240" s="3" t="s">
        <v>51</v>
      </c>
      <c r="Q240" s="3" t="s">
        <v>1085</v>
      </c>
      <c r="R240" s="3" t="s">
        <v>10</v>
      </c>
      <c r="S240" s="3" t="s">
        <v>538</v>
      </c>
      <c r="T240" s="3">
        <v>1</v>
      </c>
      <c r="U240" s="3">
        <f>CAPSTONE_PROJECT[[#This Row],[Discharge Date]]-CAPSTONE_PROJECT[[#This Row],[Admission Date]]</f>
        <v>19</v>
      </c>
      <c r="V240" s="6">
        <f>SUM(CAPSTONE_PROJECT[[#This Row],[Room Cost]:[Treatment Cost]])</f>
        <v>7499.21</v>
      </c>
      <c r="W240" s="6">
        <f t="shared" si="3"/>
        <v>394.69526315789471</v>
      </c>
      <c r="X240" s="3" t="str">
        <f>TEXT(CAPSTONE_PROJECT[[#This Row],[Admission Date]],"mmmm")</f>
        <v>September</v>
      </c>
      <c r="Y240" s="3" t="str">
        <f>TEXT(CAPSTONE_PROJECT[[#This Row],[Admission Date]],"yyyy")</f>
        <v>2025</v>
      </c>
      <c r="Z240" s="3" t="str">
        <f>TEXT(CAPSTONE_PROJECT[[#This Row],[Admission Date]],"mmm yyyy")</f>
        <v>Sep 2025</v>
      </c>
      <c r="AA240" s="3" t="str">
        <f>TEXT(CAPSTONE_PROJECT[[#This Row],[Admission Date]],"dddd")</f>
        <v>Monday</v>
      </c>
      <c r="AB240" s="3" t="str">
        <f>IF(CAPSTONE_PROJECT[[#This Row],[Age]]&lt;=34,"Young Adults",IF(CAPSTONE_PROJECT[[#This Row],[Age]]&lt;=59,"Adults","Elders"))</f>
        <v>Elders</v>
      </c>
      <c r="AC240" s="3" t="str">
        <f>_xlfn.XLOOKUP(CAPSTONE_PROJECT[[#This Row],[Patient ID]],'Lookup table'!A:A,'Lookup table'!B:B,,0)</f>
        <v>Daniel Robinson</v>
      </c>
      <c r="AD240" s="3" t="str">
        <f>_xlfn.XLOOKUP(CAPSTONE_PROJECT[[#This Row],[Patient ID]],'Lookup table'!A:A,'Lookup table'!C:C,,0)</f>
        <v>Male</v>
      </c>
      <c r="AE240" s="3" t="str">
        <f>IF(CAPSTONE_PROJECT[[#This Row],[Length of Stay]]&lt;=3,"Short Stay",IF(CAPSTONE_PROJECT[[#This Row],[Length of Stay]]&lt;=7,"Moderate Stay",IF(CAPSTONE_PROJECT[[#This Row],[Length of Stay]]&lt;=14,"Long Stay","Extended Stay")))</f>
        <v>Extended Stay</v>
      </c>
    </row>
    <row r="241" spans="1:31" x14ac:dyDescent="0.3">
      <c r="A241" s="3" t="s">
        <v>539</v>
      </c>
      <c r="B241" s="4">
        <v>45951</v>
      </c>
      <c r="C241" s="4">
        <v>45953</v>
      </c>
      <c r="D241" s="4">
        <v>19490</v>
      </c>
      <c r="E241" s="3">
        <v>73</v>
      </c>
      <c r="F241" s="3" t="s">
        <v>18</v>
      </c>
      <c r="G241" s="3" t="s">
        <v>9</v>
      </c>
      <c r="H241" s="3" t="s">
        <v>104</v>
      </c>
      <c r="I241" s="3" t="s">
        <v>13</v>
      </c>
      <c r="J241" s="3" t="s">
        <v>73</v>
      </c>
      <c r="K241" s="3" t="s">
        <v>15</v>
      </c>
      <c r="L241" s="6">
        <v>589.44000000000005</v>
      </c>
      <c r="M241" s="6">
        <v>355.91</v>
      </c>
      <c r="N241" s="6">
        <v>169.9</v>
      </c>
      <c r="O241" s="6">
        <v>2599.66</v>
      </c>
      <c r="P241" s="3" t="s">
        <v>25</v>
      </c>
      <c r="Q241" s="3" t="s">
        <v>1077</v>
      </c>
      <c r="R241" s="3" t="s">
        <v>102</v>
      </c>
      <c r="S241" s="3" t="s">
        <v>540</v>
      </c>
      <c r="T241" s="3">
        <v>6</v>
      </c>
      <c r="U241" s="3">
        <f>CAPSTONE_PROJECT[[#This Row],[Discharge Date]]-CAPSTONE_PROJECT[[#This Row],[Admission Date]]</f>
        <v>2</v>
      </c>
      <c r="V241" s="6">
        <f>SUM(CAPSTONE_PROJECT[[#This Row],[Room Cost]:[Treatment Cost]])</f>
        <v>3714.91</v>
      </c>
      <c r="W241" s="6">
        <f t="shared" si="3"/>
        <v>1857.4549999999999</v>
      </c>
      <c r="X241" s="3" t="str">
        <f>TEXT(CAPSTONE_PROJECT[[#This Row],[Admission Date]],"mmmm")</f>
        <v>October</v>
      </c>
      <c r="Y241" s="3" t="str">
        <f>TEXT(CAPSTONE_PROJECT[[#This Row],[Admission Date]],"yyyy")</f>
        <v>2025</v>
      </c>
      <c r="Z241" s="3" t="str">
        <f>TEXT(CAPSTONE_PROJECT[[#This Row],[Admission Date]],"mmm yyyy")</f>
        <v>Oct 2025</v>
      </c>
      <c r="AA241" s="3" t="str">
        <f>TEXT(CAPSTONE_PROJECT[[#This Row],[Admission Date]],"dddd")</f>
        <v>Tuesday</v>
      </c>
      <c r="AB241" s="3" t="str">
        <f>IF(CAPSTONE_PROJECT[[#This Row],[Age]]&lt;=34,"Young Adults",IF(CAPSTONE_PROJECT[[#This Row],[Age]]&lt;=59,"Adults","Elders"))</f>
        <v>Elders</v>
      </c>
      <c r="AC241" s="3" t="str">
        <f>_xlfn.XLOOKUP(CAPSTONE_PROJECT[[#This Row],[Patient ID]],'Lookup table'!A:A,'Lookup table'!B:B,,0)</f>
        <v>Olivia Z Hall</v>
      </c>
      <c r="AD241" s="3" t="str">
        <f>_xlfn.XLOOKUP(CAPSTONE_PROJECT[[#This Row],[Patient ID]],'Lookup table'!A:A,'Lookup table'!C:C,,0)</f>
        <v>Female</v>
      </c>
      <c r="AE241" s="3" t="str">
        <f>IF(CAPSTONE_PROJECT[[#This Row],[Length of Stay]]&lt;=3,"Short Stay",IF(CAPSTONE_PROJECT[[#This Row],[Length of Stay]]&lt;=7,"Moderate Stay",IF(CAPSTONE_PROJECT[[#This Row],[Length of Stay]]&lt;=14,"Long Stay","Extended Stay")))</f>
        <v>Short Stay</v>
      </c>
    </row>
    <row r="242" spans="1:31" x14ac:dyDescent="0.3">
      <c r="A242" s="3" t="s">
        <v>541</v>
      </c>
      <c r="B242" s="4">
        <v>45501</v>
      </c>
      <c r="C242" s="4">
        <v>45509</v>
      </c>
      <c r="D242" s="4">
        <v>20746</v>
      </c>
      <c r="E242" s="3">
        <v>69</v>
      </c>
      <c r="F242" s="3" t="s">
        <v>8</v>
      </c>
      <c r="G242" s="3" t="s">
        <v>61</v>
      </c>
      <c r="H242" s="3" t="s">
        <v>104</v>
      </c>
      <c r="I242" s="3" t="s">
        <v>13</v>
      </c>
      <c r="J242" s="3" t="s">
        <v>15</v>
      </c>
      <c r="K242" s="3" t="s">
        <v>15</v>
      </c>
      <c r="L242" s="6">
        <v>3726.03</v>
      </c>
      <c r="M242" s="6">
        <v>1745.69</v>
      </c>
      <c r="N242" s="6">
        <v>1341.42</v>
      </c>
      <c r="O242" s="6">
        <v>8153.7</v>
      </c>
      <c r="P242" s="3" t="s">
        <v>16</v>
      </c>
      <c r="Q242" s="3" t="s">
        <v>1086</v>
      </c>
      <c r="R242" s="3" t="s">
        <v>68</v>
      </c>
      <c r="S242" s="3" t="s">
        <v>542</v>
      </c>
      <c r="T242" s="3">
        <v>4</v>
      </c>
      <c r="U242" s="3">
        <f>CAPSTONE_PROJECT[[#This Row],[Discharge Date]]-CAPSTONE_PROJECT[[#This Row],[Admission Date]]</f>
        <v>8</v>
      </c>
      <c r="V242" s="6">
        <f>SUM(CAPSTONE_PROJECT[[#This Row],[Room Cost]:[Treatment Cost]])</f>
        <v>14966.84</v>
      </c>
      <c r="W242" s="6">
        <f t="shared" si="3"/>
        <v>1870.855</v>
      </c>
      <c r="X242" s="3" t="str">
        <f>TEXT(CAPSTONE_PROJECT[[#This Row],[Admission Date]],"mmmm")</f>
        <v>July</v>
      </c>
      <c r="Y242" s="3" t="str">
        <f>TEXT(CAPSTONE_PROJECT[[#This Row],[Admission Date]],"yyyy")</f>
        <v>2024</v>
      </c>
      <c r="Z242" s="3" t="str">
        <f>TEXT(CAPSTONE_PROJECT[[#This Row],[Admission Date]],"mmm yyyy")</f>
        <v>Jul 2024</v>
      </c>
      <c r="AA242" s="3" t="str">
        <f>TEXT(CAPSTONE_PROJECT[[#This Row],[Admission Date]],"dddd")</f>
        <v>Sunday</v>
      </c>
      <c r="AB242" s="3" t="str">
        <f>IF(CAPSTONE_PROJECT[[#This Row],[Age]]&lt;=34,"Young Adults",IF(CAPSTONE_PROJECT[[#This Row],[Age]]&lt;=59,"Adults","Elders"))</f>
        <v>Elders</v>
      </c>
      <c r="AC242" s="3" t="str">
        <f>_xlfn.XLOOKUP(CAPSTONE_PROJECT[[#This Row],[Patient ID]],'Lookup table'!A:A,'Lookup table'!B:B,,0)</f>
        <v>Benjamin O Thompson</v>
      </c>
      <c r="AD242" s="3" t="str">
        <f>_xlfn.XLOOKUP(CAPSTONE_PROJECT[[#This Row],[Patient ID]],'Lookup table'!A:A,'Lookup table'!C:C,,0)</f>
        <v>Male</v>
      </c>
      <c r="AE242" s="3" t="str">
        <f>IF(CAPSTONE_PROJECT[[#This Row],[Length of Stay]]&lt;=3,"Short Stay",IF(CAPSTONE_PROJECT[[#This Row],[Length of Stay]]&lt;=7,"Moderate Stay",IF(CAPSTONE_PROJECT[[#This Row],[Length of Stay]]&lt;=14,"Long Stay","Extended Stay")))</f>
        <v>Long Stay</v>
      </c>
    </row>
    <row r="243" spans="1:31" x14ac:dyDescent="0.3">
      <c r="A243" s="3" t="s">
        <v>543</v>
      </c>
      <c r="B243" s="4">
        <v>45377</v>
      </c>
      <c r="C243" s="4">
        <v>45387</v>
      </c>
      <c r="D243" s="4">
        <v>34164</v>
      </c>
      <c r="E243" s="3">
        <v>32</v>
      </c>
      <c r="F243" s="3" t="s">
        <v>47</v>
      </c>
      <c r="G243" s="3" t="s">
        <v>34</v>
      </c>
      <c r="H243" s="3" t="s">
        <v>21</v>
      </c>
      <c r="I243" s="3" t="s">
        <v>37</v>
      </c>
      <c r="J243" s="3" t="s">
        <v>64</v>
      </c>
      <c r="K243" s="3" t="s">
        <v>15</v>
      </c>
      <c r="L243" s="6">
        <v>3194.4</v>
      </c>
      <c r="M243" s="6">
        <v>682.05</v>
      </c>
      <c r="N243" s="6">
        <v>1141.05</v>
      </c>
      <c r="O243" s="6">
        <v>8252.2800000000007</v>
      </c>
      <c r="P243" s="3" t="s">
        <v>51</v>
      </c>
      <c r="Q243" s="3" t="s">
        <v>1082</v>
      </c>
      <c r="R243" s="3" t="s">
        <v>41</v>
      </c>
      <c r="S243" s="3" t="s">
        <v>544</v>
      </c>
      <c r="T243" s="3">
        <v>5</v>
      </c>
      <c r="U243" s="3">
        <f>CAPSTONE_PROJECT[[#This Row],[Discharge Date]]-CAPSTONE_PROJECT[[#This Row],[Admission Date]]</f>
        <v>10</v>
      </c>
      <c r="V243" s="6">
        <f>SUM(CAPSTONE_PROJECT[[#This Row],[Room Cost]:[Treatment Cost]])</f>
        <v>13269.78</v>
      </c>
      <c r="W243" s="6">
        <f t="shared" si="3"/>
        <v>1326.9780000000001</v>
      </c>
      <c r="X243" s="3" t="str">
        <f>TEXT(CAPSTONE_PROJECT[[#This Row],[Admission Date]],"mmmm")</f>
        <v>March</v>
      </c>
      <c r="Y243" s="3" t="str">
        <f>TEXT(CAPSTONE_PROJECT[[#This Row],[Admission Date]],"yyyy")</f>
        <v>2024</v>
      </c>
      <c r="Z243" s="3" t="str">
        <f>TEXT(CAPSTONE_PROJECT[[#This Row],[Admission Date]],"mmm yyyy")</f>
        <v>Mar 2024</v>
      </c>
      <c r="AA243" s="3" t="str">
        <f>TEXT(CAPSTONE_PROJECT[[#This Row],[Admission Date]],"dddd")</f>
        <v>Tuesday</v>
      </c>
      <c r="AB243" s="3" t="str">
        <f>IF(CAPSTONE_PROJECT[[#This Row],[Age]]&lt;=34,"Young Adults",IF(CAPSTONE_PROJECT[[#This Row],[Age]]&lt;=59,"Adults","Elders"))</f>
        <v>Young Adults</v>
      </c>
      <c r="AC243" s="3" t="str">
        <f>_xlfn.XLOOKUP(CAPSTONE_PROJECT[[#This Row],[Patient ID]],'Lookup table'!A:A,'Lookup table'!B:B,,0)</f>
        <v>Mia V Wood</v>
      </c>
      <c r="AD243" s="3" t="str">
        <f>_xlfn.XLOOKUP(CAPSTONE_PROJECT[[#This Row],[Patient ID]],'Lookup table'!A:A,'Lookup table'!C:C,,0)</f>
        <v>Female</v>
      </c>
      <c r="AE243" s="3" t="str">
        <f>IF(CAPSTONE_PROJECT[[#This Row],[Length of Stay]]&lt;=3,"Short Stay",IF(CAPSTONE_PROJECT[[#This Row],[Length of Stay]]&lt;=7,"Moderate Stay",IF(CAPSTONE_PROJECT[[#This Row],[Length of Stay]]&lt;=14,"Long Stay","Extended Stay")))</f>
        <v>Long Stay</v>
      </c>
    </row>
    <row r="244" spans="1:31" x14ac:dyDescent="0.3">
      <c r="A244" s="3" t="s">
        <v>545</v>
      </c>
      <c r="B244" s="4">
        <v>45686</v>
      </c>
      <c r="C244" s="4">
        <v>45705</v>
      </c>
      <c r="D244" s="4">
        <v>36895</v>
      </c>
      <c r="E244" s="3">
        <v>25</v>
      </c>
      <c r="F244" s="3" t="s">
        <v>33</v>
      </c>
      <c r="G244" s="3" t="s">
        <v>53</v>
      </c>
      <c r="H244" s="3" t="s">
        <v>114</v>
      </c>
      <c r="I244" s="3" t="s">
        <v>37</v>
      </c>
      <c r="J244" s="3" t="s">
        <v>23</v>
      </c>
      <c r="K244" s="3" t="s">
        <v>15</v>
      </c>
      <c r="L244" s="6">
        <v>2186.21</v>
      </c>
      <c r="M244" s="6">
        <v>2002.13</v>
      </c>
      <c r="N244" s="6">
        <v>1527.96</v>
      </c>
      <c r="O244" s="6">
        <v>11805.37</v>
      </c>
      <c r="P244" s="3" t="s">
        <v>25</v>
      </c>
      <c r="Q244" s="3" t="s">
        <v>1085</v>
      </c>
      <c r="R244" s="3" t="s">
        <v>102</v>
      </c>
      <c r="S244" s="3" t="s">
        <v>546</v>
      </c>
      <c r="T244" s="3">
        <v>8</v>
      </c>
      <c r="U244" s="3">
        <f>CAPSTONE_PROJECT[[#This Row],[Discharge Date]]-CAPSTONE_PROJECT[[#This Row],[Admission Date]]</f>
        <v>19</v>
      </c>
      <c r="V244" s="6">
        <f>SUM(CAPSTONE_PROJECT[[#This Row],[Room Cost]:[Treatment Cost]])</f>
        <v>17521.670000000002</v>
      </c>
      <c r="W244" s="6">
        <f t="shared" si="3"/>
        <v>922.19315789473694</v>
      </c>
      <c r="X244" s="3" t="str">
        <f>TEXT(CAPSTONE_PROJECT[[#This Row],[Admission Date]],"mmmm")</f>
        <v>January</v>
      </c>
      <c r="Y244" s="3" t="str">
        <f>TEXT(CAPSTONE_PROJECT[[#This Row],[Admission Date]],"yyyy")</f>
        <v>2025</v>
      </c>
      <c r="Z244" s="3" t="str">
        <f>TEXT(CAPSTONE_PROJECT[[#This Row],[Admission Date]],"mmm yyyy")</f>
        <v>Jan 2025</v>
      </c>
      <c r="AA244" s="3" t="str">
        <f>TEXT(CAPSTONE_PROJECT[[#This Row],[Admission Date]],"dddd")</f>
        <v>Wednesday</v>
      </c>
      <c r="AB244" s="3" t="str">
        <f>IF(CAPSTONE_PROJECT[[#This Row],[Age]]&lt;=34,"Young Adults",IF(CAPSTONE_PROJECT[[#This Row],[Age]]&lt;=59,"Adults","Elders"))</f>
        <v>Young Adults</v>
      </c>
      <c r="AC244" s="3" t="str">
        <f>_xlfn.XLOOKUP(CAPSTONE_PROJECT[[#This Row],[Patient ID]],'Lookup table'!A:A,'Lookup table'!B:B,,0)</f>
        <v>James Clarke</v>
      </c>
      <c r="AD244" s="3" t="str">
        <f>_xlfn.XLOOKUP(CAPSTONE_PROJECT[[#This Row],[Patient ID]],'Lookup table'!A:A,'Lookup table'!C:C,,0)</f>
        <v>Male</v>
      </c>
      <c r="AE244" s="3" t="str">
        <f>IF(CAPSTONE_PROJECT[[#This Row],[Length of Stay]]&lt;=3,"Short Stay",IF(CAPSTONE_PROJECT[[#This Row],[Length of Stay]]&lt;=7,"Moderate Stay",IF(CAPSTONE_PROJECT[[#This Row],[Length of Stay]]&lt;=14,"Long Stay","Extended Stay")))</f>
        <v>Extended Stay</v>
      </c>
    </row>
    <row r="245" spans="1:31" x14ac:dyDescent="0.3">
      <c r="A245" s="3" t="s">
        <v>547</v>
      </c>
      <c r="B245" s="4">
        <v>46020</v>
      </c>
      <c r="C245" s="4">
        <v>46033</v>
      </c>
      <c r="D245" s="4">
        <v>19045</v>
      </c>
      <c r="E245" s="3">
        <v>74</v>
      </c>
      <c r="F245" s="3" t="s">
        <v>33</v>
      </c>
      <c r="G245" s="3" t="s">
        <v>61</v>
      </c>
      <c r="H245" s="3" t="s">
        <v>111</v>
      </c>
      <c r="I245" s="3" t="s">
        <v>22</v>
      </c>
      <c r="J245" s="3" t="s">
        <v>23</v>
      </c>
      <c r="K245" s="3" t="s">
        <v>50</v>
      </c>
      <c r="L245" s="6">
        <v>2623.64</v>
      </c>
      <c r="M245" s="6">
        <v>404.82</v>
      </c>
      <c r="N245" s="6">
        <v>2263.9899999999998</v>
      </c>
      <c r="O245" s="6">
        <v>13156.97</v>
      </c>
      <c r="P245" s="3" t="s">
        <v>31</v>
      </c>
      <c r="Q245" s="3" t="s">
        <v>1085</v>
      </c>
      <c r="R245" s="3" t="s">
        <v>62</v>
      </c>
      <c r="S245" s="3" t="s">
        <v>548</v>
      </c>
      <c r="T245" s="3">
        <v>7</v>
      </c>
      <c r="U245" s="3">
        <f>CAPSTONE_PROJECT[[#This Row],[Discharge Date]]-CAPSTONE_PROJECT[[#This Row],[Admission Date]]</f>
        <v>13</v>
      </c>
      <c r="V245" s="6">
        <f>SUM(CAPSTONE_PROJECT[[#This Row],[Room Cost]:[Treatment Cost]])</f>
        <v>18449.419999999998</v>
      </c>
      <c r="W245" s="6">
        <f t="shared" si="3"/>
        <v>1419.1861538461537</v>
      </c>
      <c r="X245" s="3" t="str">
        <f>TEXT(CAPSTONE_PROJECT[[#This Row],[Admission Date]],"mmmm")</f>
        <v>December</v>
      </c>
      <c r="Y245" s="3" t="str">
        <f>TEXT(CAPSTONE_PROJECT[[#This Row],[Admission Date]],"yyyy")</f>
        <v>2025</v>
      </c>
      <c r="Z245" s="3" t="str">
        <f>TEXT(CAPSTONE_PROJECT[[#This Row],[Admission Date]],"mmm yyyy")</f>
        <v>Dec 2025</v>
      </c>
      <c r="AA245" s="3" t="str">
        <f>TEXT(CAPSTONE_PROJECT[[#This Row],[Admission Date]],"dddd")</f>
        <v>Monday</v>
      </c>
      <c r="AB245" s="3" t="str">
        <f>IF(CAPSTONE_PROJECT[[#This Row],[Age]]&lt;=34,"Young Adults",IF(CAPSTONE_PROJECT[[#This Row],[Age]]&lt;=59,"Adults","Elders"))</f>
        <v>Elders</v>
      </c>
      <c r="AC245" s="3" t="str">
        <f>_xlfn.XLOOKUP(CAPSTONE_PROJECT[[#This Row],[Patient ID]],'Lookup table'!A:A,'Lookup table'!B:B,,0)</f>
        <v>Lily V White</v>
      </c>
      <c r="AD245" s="3" t="str">
        <f>_xlfn.XLOOKUP(CAPSTONE_PROJECT[[#This Row],[Patient ID]],'Lookup table'!A:A,'Lookup table'!C:C,,0)</f>
        <v>Female</v>
      </c>
      <c r="AE245" s="3" t="str">
        <f>IF(CAPSTONE_PROJECT[[#This Row],[Length of Stay]]&lt;=3,"Short Stay",IF(CAPSTONE_PROJECT[[#This Row],[Length of Stay]]&lt;=7,"Moderate Stay",IF(CAPSTONE_PROJECT[[#This Row],[Length of Stay]]&lt;=14,"Long Stay","Extended Stay")))</f>
        <v>Long Stay</v>
      </c>
    </row>
    <row r="246" spans="1:31" x14ac:dyDescent="0.3">
      <c r="A246" s="3" t="s">
        <v>549</v>
      </c>
      <c r="B246" s="4">
        <v>45829</v>
      </c>
      <c r="C246" s="4">
        <v>45843</v>
      </c>
      <c r="D246" s="4">
        <v>18246</v>
      </c>
      <c r="E246" s="3">
        <v>76</v>
      </c>
      <c r="F246" s="3" t="s">
        <v>18</v>
      </c>
      <c r="G246" s="3" t="s">
        <v>78</v>
      </c>
      <c r="H246" s="3" t="s">
        <v>12</v>
      </c>
      <c r="I246" s="3" t="s">
        <v>44</v>
      </c>
      <c r="J246" s="3" t="s">
        <v>30</v>
      </c>
      <c r="K246" s="3" t="s">
        <v>15</v>
      </c>
      <c r="L246" s="6">
        <v>1080.8399999999999</v>
      </c>
      <c r="M246" s="6">
        <v>363.99</v>
      </c>
      <c r="N246" s="6">
        <v>883.4</v>
      </c>
      <c r="O246" s="6">
        <v>11682.97</v>
      </c>
      <c r="P246" s="3" t="s">
        <v>25</v>
      </c>
      <c r="Q246" s="3" t="s">
        <v>1087</v>
      </c>
      <c r="R246" s="3" t="s">
        <v>102</v>
      </c>
      <c r="S246" s="3" t="s">
        <v>550</v>
      </c>
      <c r="T246" s="3">
        <v>4</v>
      </c>
      <c r="U246" s="3">
        <f>CAPSTONE_PROJECT[[#This Row],[Discharge Date]]-CAPSTONE_PROJECT[[#This Row],[Admission Date]]</f>
        <v>14</v>
      </c>
      <c r="V246" s="6">
        <f>SUM(CAPSTONE_PROJECT[[#This Row],[Room Cost]:[Treatment Cost]])</f>
        <v>14011.199999999999</v>
      </c>
      <c r="W246" s="6">
        <f t="shared" si="3"/>
        <v>1000.8</v>
      </c>
      <c r="X246" s="3" t="str">
        <f>TEXT(CAPSTONE_PROJECT[[#This Row],[Admission Date]],"mmmm")</f>
        <v>June</v>
      </c>
      <c r="Y246" s="3" t="str">
        <f>TEXT(CAPSTONE_PROJECT[[#This Row],[Admission Date]],"yyyy")</f>
        <v>2025</v>
      </c>
      <c r="Z246" s="3" t="str">
        <f>TEXT(CAPSTONE_PROJECT[[#This Row],[Admission Date]],"mmm yyyy")</f>
        <v>Jun 2025</v>
      </c>
      <c r="AA246" s="3" t="str">
        <f>TEXT(CAPSTONE_PROJECT[[#This Row],[Admission Date]],"dddd")</f>
        <v>Saturday</v>
      </c>
      <c r="AB246" s="3" t="str">
        <f>IF(CAPSTONE_PROJECT[[#This Row],[Age]]&lt;=34,"Young Adults",IF(CAPSTONE_PROJECT[[#This Row],[Age]]&lt;=59,"Adults","Elders"))</f>
        <v>Elders</v>
      </c>
      <c r="AC246" s="3" t="str">
        <f>_xlfn.XLOOKUP(CAPSTONE_PROJECT[[#This Row],[Patient ID]],'Lookup table'!A:A,'Lookup table'!B:B,,0)</f>
        <v>Michael Q Robinson</v>
      </c>
      <c r="AD246" s="3" t="str">
        <f>_xlfn.XLOOKUP(CAPSTONE_PROJECT[[#This Row],[Patient ID]],'Lookup table'!A:A,'Lookup table'!C:C,,0)</f>
        <v>Male</v>
      </c>
      <c r="AE246" s="3" t="str">
        <f>IF(CAPSTONE_PROJECT[[#This Row],[Length of Stay]]&lt;=3,"Short Stay",IF(CAPSTONE_PROJECT[[#This Row],[Length of Stay]]&lt;=7,"Moderate Stay",IF(CAPSTONE_PROJECT[[#This Row],[Length of Stay]]&lt;=14,"Long Stay","Extended Stay")))</f>
        <v>Long Stay</v>
      </c>
    </row>
    <row r="247" spans="1:31" x14ac:dyDescent="0.3">
      <c r="A247" s="3" t="s">
        <v>551</v>
      </c>
      <c r="B247" s="4">
        <v>45642</v>
      </c>
      <c r="C247" s="4">
        <v>45643</v>
      </c>
      <c r="D247" s="4">
        <v>19117</v>
      </c>
      <c r="E247" s="3">
        <v>74</v>
      </c>
      <c r="F247" s="3" t="s">
        <v>18</v>
      </c>
      <c r="G247" s="3" t="s">
        <v>57</v>
      </c>
      <c r="H247" s="3" t="s">
        <v>21</v>
      </c>
      <c r="I247" s="3" t="s">
        <v>13</v>
      </c>
      <c r="J247" s="3" t="s">
        <v>38</v>
      </c>
      <c r="K247" s="3" t="s">
        <v>15</v>
      </c>
      <c r="L247" s="6">
        <v>3009.94</v>
      </c>
      <c r="M247" s="6">
        <v>1703.98</v>
      </c>
      <c r="N247" s="6">
        <v>94.11</v>
      </c>
      <c r="O247" s="6">
        <v>6384.79</v>
      </c>
      <c r="P247" s="3" t="s">
        <v>31</v>
      </c>
      <c r="Q247" s="3" t="s">
        <v>1081</v>
      </c>
      <c r="R247" s="3" t="s">
        <v>58</v>
      </c>
      <c r="S247" s="3" t="s">
        <v>552</v>
      </c>
      <c r="T247" s="3">
        <v>1</v>
      </c>
      <c r="U247" s="3">
        <f>CAPSTONE_PROJECT[[#This Row],[Discharge Date]]-CAPSTONE_PROJECT[[#This Row],[Admission Date]]</f>
        <v>1</v>
      </c>
      <c r="V247" s="6">
        <f>SUM(CAPSTONE_PROJECT[[#This Row],[Room Cost]:[Treatment Cost]])</f>
        <v>11192.82</v>
      </c>
      <c r="W247" s="6">
        <f t="shared" si="3"/>
        <v>11192.82</v>
      </c>
      <c r="X247" s="3" t="str">
        <f>TEXT(CAPSTONE_PROJECT[[#This Row],[Admission Date]],"mmmm")</f>
        <v>December</v>
      </c>
      <c r="Y247" s="3" t="str">
        <f>TEXT(CAPSTONE_PROJECT[[#This Row],[Admission Date]],"yyyy")</f>
        <v>2024</v>
      </c>
      <c r="Z247" s="3" t="str">
        <f>TEXT(CAPSTONE_PROJECT[[#This Row],[Admission Date]],"mmm yyyy")</f>
        <v>Dec 2024</v>
      </c>
      <c r="AA247" s="3" t="str">
        <f>TEXT(CAPSTONE_PROJECT[[#This Row],[Admission Date]],"dddd")</f>
        <v>Monday</v>
      </c>
      <c r="AB247" s="3" t="str">
        <f>IF(CAPSTONE_PROJECT[[#This Row],[Age]]&lt;=34,"Young Adults",IF(CAPSTONE_PROJECT[[#This Row],[Age]]&lt;=59,"Adults","Elders"))</f>
        <v>Elders</v>
      </c>
      <c r="AC247" s="3" t="str">
        <f>_xlfn.XLOOKUP(CAPSTONE_PROJECT[[#This Row],[Patient ID]],'Lookup table'!A:A,'Lookup table'!B:B,,0)</f>
        <v>Amelia C Thompson</v>
      </c>
      <c r="AD247" s="3" t="str">
        <f>_xlfn.XLOOKUP(CAPSTONE_PROJECT[[#This Row],[Patient ID]],'Lookup table'!A:A,'Lookup table'!C:C,,0)</f>
        <v>Female</v>
      </c>
      <c r="AE247" s="3" t="str">
        <f>IF(CAPSTONE_PROJECT[[#This Row],[Length of Stay]]&lt;=3,"Short Stay",IF(CAPSTONE_PROJECT[[#This Row],[Length of Stay]]&lt;=7,"Moderate Stay",IF(CAPSTONE_PROJECT[[#This Row],[Length of Stay]]&lt;=14,"Long Stay","Extended Stay")))</f>
        <v>Short Stay</v>
      </c>
    </row>
    <row r="248" spans="1:31" x14ac:dyDescent="0.3">
      <c r="A248" s="3" t="s">
        <v>553</v>
      </c>
      <c r="B248" s="4">
        <v>45656</v>
      </c>
      <c r="C248" s="4">
        <v>45667</v>
      </c>
      <c r="D248" s="4">
        <v>25478</v>
      </c>
      <c r="E248" s="3">
        <v>56</v>
      </c>
      <c r="F248" s="3" t="s">
        <v>18</v>
      </c>
      <c r="G248" s="3" t="s">
        <v>34</v>
      </c>
      <c r="H248" s="3" t="s">
        <v>100</v>
      </c>
      <c r="I248" s="3" t="s">
        <v>44</v>
      </c>
      <c r="J248" s="3" t="s">
        <v>73</v>
      </c>
      <c r="K248" s="3" t="s">
        <v>65</v>
      </c>
      <c r="L248" s="6">
        <v>570.96</v>
      </c>
      <c r="M248" s="6">
        <v>1542.28</v>
      </c>
      <c r="N248" s="6">
        <v>620.57000000000005</v>
      </c>
      <c r="O248" s="6">
        <v>11243.21</v>
      </c>
      <c r="P248" s="3" t="s">
        <v>16</v>
      </c>
      <c r="Q248" s="3" t="s">
        <v>1081</v>
      </c>
      <c r="R248" s="3" t="s">
        <v>68</v>
      </c>
      <c r="S248" s="3" t="s">
        <v>554</v>
      </c>
      <c r="T248" s="3">
        <v>2</v>
      </c>
      <c r="U248" s="3">
        <f>CAPSTONE_PROJECT[[#This Row],[Discharge Date]]-CAPSTONE_PROJECT[[#This Row],[Admission Date]]</f>
        <v>11</v>
      </c>
      <c r="V248" s="6">
        <f>SUM(CAPSTONE_PROJECT[[#This Row],[Room Cost]:[Treatment Cost]])</f>
        <v>13977.019999999999</v>
      </c>
      <c r="W248" s="6">
        <f t="shared" si="3"/>
        <v>1270.6381818181817</v>
      </c>
      <c r="X248" s="3" t="str">
        <f>TEXT(CAPSTONE_PROJECT[[#This Row],[Admission Date]],"mmmm")</f>
        <v>December</v>
      </c>
      <c r="Y248" s="3" t="str">
        <f>TEXT(CAPSTONE_PROJECT[[#This Row],[Admission Date]],"yyyy")</f>
        <v>2024</v>
      </c>
      <c r="Z248" s="3" t="str">
        <f>TEXT(CAPSTONE_PROJECT[[#This Row],[Admission Date]],"mmm yyyy")</f>
        <v>Dec 2024</v>
      </c>
      <c r="AA248" s="3" t="str">
        <f>TEXT(CAPSTONE_PROJECT[[#This Row],[Admission Date]],"dddd")</f>
        <v>Monday</v>
      </c>
      <c r="AB248" s="3" t="str">
        <f>IF(CAPSTONE_PROJECT[[#This Row],[Age]]&lt;=34,"Young Adults",IF(CAPSTONE_PROJECT[[#This Row],[Age]]&lt;=59,"Adults","Elders"))</f>
        <v>Adults</v>
      </c>
      <c r="AC248" s="3" t="str">
        <f>_xlfn.XLOOKUP(CAPSTONE_PROJECT[[#This Row],[Patient ID]],'Lookup table'!A:A,'Lookup table'!B:B,,0)</f>
        <v>Leo Jones</v>
      </c>
      <c r="AD248" s="3" t="str">
        <f>_xlfn.XLOOKUP(CAPSTONE_PROJECT[[#This Row],[Patient ID]],'Lookup table'!A:A,'Lookup table'!C:C,,0)</f>
        <v>Male</v>
      </c>
      <c r="AE248" s="3" t="str">
        <f>IF(CAPSTONE_PROJECT[[#This Row],[Length of Stay]]&lt;=3,"Short Stay",IF(CAPSTONE_PROJECT[[#This Row],[Length of Stay]]&lt;=7,"Moderate Stay",IF(CAPSTONE_PROJECT[[#This Row],[Length of Stay]]&lt;=14,"Long Stay","Extended Stay")))</f>
        <v>Long Stay</v>
      </c>
    </row>
    <row r="249" spans="1:31" x14ac:dyDescent="0.3">
      <c r="A249" s="3" t="s">
        <v>555</v>
      </c>
      <c r="B249" s="4">
        <v>45919</v>
      </c>
      <c r="C249" s="4">
        <v>45922</v>
      </c>
      <c r="D249" s="4">
        <v>30541</v>
      </c>
      <c r="E249" s="3">
        <v>42</v>
      </c>
      <c r="F249" s="3" t="s">
        <v>18</v>
      </c>
      <c r="G249" s="3" t="s">
        <v>57</v>
      </c>
      <c r="H249" s="3" t="s">
        <v>29</v>
      </c>
      <c r="I249" s="3" t="s">
        <v>37</v>
      </c>
      <c r="J249" s="3" t="s">
        <v>30</v>
      </c>
      <c r="K249" s="3" t="s">
        <v>15</v>
      </c>
      <c r="L249" s="6">
        <v>1095.22</v>
      </c>
      <c r="M249" s="6">
        <v>1139.05</v>
      </c>
      <c r="N249" s="6">
        <v>2831.71</v>
      </c>
      <c r="O249" s="6">
        <v>4149.41</v>
      </c>
      <c r="P249" s="3" t="s">
        <v>16</v>
      </c>
      <c r="Q249" s="3" t="s">
        <v>1079</v>
      </c>
      <c r="R249" s="3" t="s">
        <v>54</v>
      </c>
      <c r="S249" s="3" t="s">
        <v>556</v>
      </c>
      <c r="T249" s="3">
        <v>2</v>
      </c>
      <c r="U249" s="3">
        <f>CAPSTONE_PROJECT[[#This Row],[Discharge Date]]-CAPSTONE_PROJECT[[#This Row],[Admission Date]]</f>
        <v>3</v>
      </c>
      <c r="V249" s="6">
        <f>SUM(CAPSTONE_PROJECT[[#This Row],[Room Cost]:[Treatment Cost]])</f>
        <v>9215.39</v>
      </c>
      <c r="W249" s="6">
        <f t="shared" si="3"/>
        <v>3071.7966666666666</v>
      </c>
      <c r="X249" s="3" t="str">
        <f>TEXT(CAPSTONE_PROJECT[[#This Row],[Admission Date]],"mmmm")</f>
        <v>September</v>
      </c>
      <c r="Y249" s="3" t="str">
        <f>TEXT(CAPSTONE_PROJECT[[#This Row],[Admission Date]],"yyyy")</f>
        <v>2025</v>
      </c>
      <c r="Z249" s="3" t="str">
        <f>TEXT(CAPSTONE_PROJECT[[#This Row],[Admission Date]],"mmm yyyy")</f>
        <v>Sep 2025</v>
      </c>
      <c r="AA249" s="3" t="str">
        <f>TEXT(CAPSTONE_PROJECT[[#This Row],[Admission Date]],"dddd")</f>
        <v>Friday</v>
      </c>
      <c r="AB249" s="3" t="str">
        <f>IF(CAPSTONE_PROJECT[[#This Row],[Age]]&lt;=34,"Young Adults",IF(CAPSTONE_PROJECT[[#This Row],[Age]]&lt;=59,"Adults","Elders"))</f>
        <v>Adults</v>
      </c>
      <c r="AC249" s="3" t="str">
        <f>_xlfn.XLOOKUP(CAPSTONE_PROJECT[[#This Row],[Patient ID]],'Lookup table'!A:A,'Lookup table'!B:B,,0)</f>
        <v>Amelia H Robinson</v>
      </c>
      <c r="AD249" s="3" t="str">
        <f>_xlfn.XLOOKUP(CAPSTONE_PROJECT[[#This Row],[Patient ID]],'Lookup table'!A:A,'Lookup table'!C:C,,0)</f>
        <v>Female</v>
      </c>
      <c r="AE249" s="3" t="str">
        <f>IF(CAPSTONE_PROJECT[[#This Row],[Length of Stay]]&lt;=3,"Short Stay",IF(CAPSTONE_PROJECT[[#This Row],[Length of Stay]]&lt;=7,"Moderate Stay",IF(CAPSTONE_PROJECT[[#This Row],[Length of Stay]]&lt;=14,"Long Stay","Extended Stay")))</f>
        <v>Short Stay</v>
      </c>
    </row>
    <row r="250" spans="1:31" x14ac:dyDescent="0.3">
      <c r="A250" s="3" t="s">
        <v>557</v>
      </c>
      <c r="B250" s="4">
        <v>45383</v>
      </c>
      <c r="C250" s="4">
        <v>45387</v>
      </c>
      <c r="D250" s="4">
        <v>34296</v>
      </c>
      <c r="E250" s="3">
        <v>32</v>
      </c>
      <c r="F250" s="3" t="s">
        <v>47</v>
      </c>
      <c r="G250" s="3" t="s">
        <v>9</v>
      </c>
      <c r="H250" s="3" t="s">
        <v>111</v>
      </c>
      <c r="I250" s="3" t="s">
        <v>22</v>
      </c>
      <c r="J250" s="3" t="s">
        <v>45</v>
      </c>
      <c r="K250" s="3" t="s">
        <v>65</v>
      </c>
      <c r="L250" s="6">
        <v>3291.39</v>
      </c>
      <c r="M250" s="6">
        <v>1655.09</v>
      </c>
      <c r="N250" s="6">
        <v>1696.63</v>
      </c>
      <c r="O250" s="6">
        <v>11394.23</v>
      </c>
      <c r="P250" s="3" t="s">
        <v>25</v>
      </c>
      <c r="Q250" s="3" t="s">
        <v>1078</v>
      </c>
      <c r="R250" s="3" t="s">
        <v>41</v>
      </c>
      <c r="S250" s="3" t="s">
        <v>558</v>
      </c>
      <c r="T250" s="3">
        <v>4</v>
      </c>
      <c r="U250" s="3">
        <f>CAPSTONE_PROJECT[[#This Row],[Discharge Date]]-CAPSTONE_PROJECT[[#This Row],[Admission Date]]</f>
        <v>4</v>
      </c>
      <c r="V250" s="6">
        <f>SUM(CAPSTONE_PROJECT[[#This Row],[Room Cost]:[Treatment Cost]])</f>
        <v>18037.34</v>
      </c>
      <c r="W250" s="6">
        <f t="shared" si="3"/>
        <v>4509.335</v>
      </c>
      <c r="X250" s="3" t="str">
        <f>TEXT(CAPSTONE_PROJECT[[#This Row],[Admission Date]],"mmmm")</f>
        <v>April</v>
      </c>
      <c r="Y250" s="3" t="str">
        <f>TEXT(CAPSTONE_PROJECT[[#This Row],[Admission Date]],"yyyy")</f>
        <v>2024</v>
      </c>
      <c r="Z250" s="3" t="str">
        <f>TEXT(CAPSTONE_PROJECT[[#This Row],[Admission Date]],"mmm yyyy")</f>
        <v>Apr 2024</v>
      </c>
      <c r="AA250" s="3" t="str">
        <f>TEXT(CAPSTONE_PROJECT[[#This Row],[Admission Date]],"dddd")</f>
        <v>Monday</v>
      </c>
      <c r="AB250" s="3" t="str">
        <f>IF(CAPSTONE_PROJECT[[#This Row],[Age]]&lt;=34,"Young Adults",IF(CAPSTONE_PROJECT[[#This Row],[Age]]&lt;=59,"Adults","Elders"))</f>
        <v>Young Adults</v>
      </c>
      <c r="AC250" s="3" t="str">
        <f>_xlfn.XLOOKUP(CAPSTONE_PROJECT[[#This Row],[Patient ID]],'Lookup table'!A:A,'Lookup table'!B:B,,0)</f>
        <v>Henry Martin</v>
      </c>
      <c r="AD250" s="3" t="str">
        <f>_xlfn.XLOOKUP(CAPSTONE_PROJECT[[#This Row],[Patient ID]],'Lookup table'!A:A,'Lookup table'!C:C,,0)</f>
        <v>Male</v>
      </c>
      <c r="AE250" s="3" t="str">
        <f>IF(CAPSTONE_PROJECT[[#This Row],[Length of Stay]]&lt;=3,"Short Stay",IF(CAPSTONE_PROJECT[[#This Row],[Length of Stay]]&lt;=7,"Moderate Stay",IF(CAPSTONE_PROJECT[[#This Row],[Length of Stay]]&lt;=14,"Long Stay","Extended Stay")))</f>
        <v>Moderate Stay</v>
      </c>
    </row>
    <row r="251" spans="1:31" x14ac:dyDescent="0.3">
      <c r="A251" s="3" t="s">
        <v>559</v>
      </c>
      <c r="B251" s="4">
        <v>45589</v>
      </c>
      <c r="C251" s="4">
        <v>45592</v>
      </c>
      <c r="D251" s="4">
        <v>21674</v>
      </c>
      <c r="E251" s="3">
        <v>67</v>
      </c>
      <c r="F251" s="3" t="s">
        <v>47</v>
      </c>
      <c r="G251" s="3" t="s">
        <v>67</v>
      </c>
      <c r="H251" s="3" t="s">
        <v>100</v>
      </c>
      <c r="I251" s="3" t="s">
        <v>22</v>
      </c>
      <c r="J251" s="3" t="s">
        <v>64</v>
      </c>
      <c r="K251" s="3" t="s">
        <v>50</v>
      </c>
      <c r="L251" s="6">
        <v>4594.24</v>
      </c>
      <c r="M251" s="6">
        <v>674.24</v>
      </c>
      <c r="N251" s="6">
        <v>582.28</v>
      </c>
      <c r="O251" s="6">
        <v>2641.31</v>
      </c>
      <c r="P251" s="3" t="s">
        <v>51</v>
      </c>
      <c r="Q251" s="3" t="s">
        <v>1086</v>
      </c>
      <c r="R251" s="3" t="s">
        <v>58</v>
      </c>
      <c r="S251" s="3" t="s">
        <v>560</v>
      </c>
      <c r="T251" s="3">
        <v>3</v>
      </c>
      <c r="U251" s="3">
        <f>CAPSTONE_PROJECT[[#This Row],[Discharge Date]]-CAPSTONE_PROJECT[[#This Row],[Admission Date]]</f>
        <v>3</v>
      </c>
      <c r="V251" s="6">
        <f>SUM(CAPSTONE_PROJECT[[#This Row],[Room Cost]:[Treatment Cost]])</f>
        <v>8492.07</v>
      </c>
      <c r="W251" s="6">
        <f t="shared" si="3"/>
        <v>2830.69</v>
      </c>
      <c r="X251" s="3" t="str">
        <f>TEXT(CAPSTONE_PROJECT[[#This Row],[Admission Date]],"mmmm")</f>
        <v>October</v>
      </c>
      <c r="Y251" s="3" t="str">
        <f>TEXT(CAPSTONE_PROJECT[[#This Row],[Admission Date]],"yyyy")</f>
        <v>2024</v>
      </c>
      <c r="Z251" s="3" t="str">
        <f>TEXT(CAPSTONE_PROJECT[[#This Row],[Admission Date]],"mmm yyyy")</f>
        <v>Oct 2024</v>
      </c>
      <c r="AA251" s="3" t="str">
        <f>TEXT(CAPSTONE_PROJECT[[#This Row],[Admission Date]],"dddd")</f>
        <v>Thursday</v>
      </c>
      <c r="AB251" s="3" t="str">
        <f>IF(CAPSTONE_PROJECT[[#This Row],[Age]]&lt;=34,"Young Adults",IF(CAPSTONE_PROJECT[[#This Row],[Age]]&lt;=59,"Adults","Elders"))</f>
        <v>Elders</v>
      </c>
      <c r="AC251" s="3" t="str">
        <f>_xlfn.XLOOKUP(CAPSTONE_PROJECT[[#This Row],[Patient ID]],'Lookup table'!A:A,'Lookup table'!B:B,,0)</f>
        <v>Sophia B Brown</v>
      </c>
      <c r="AD251" s="3" t="str">
        <f>_xlfn.XLOOKUP(CAPSTONE_PROJECT[[#This Row],[Patient ID]],'Lookup table'!A:A,'Lookup table'!C:C,,0)</f>
        <v>Female</v>
      </c>
      <c r="AE251" s="3" t="str">
        <f>IF(CAPSTONE_PROJECT[[#This Row],[Length of Stay]]&lt;=3,"Short Stay",IF(CAPSTONE_PROJECT[[#This Row],[Length of Stay]]&lt;=7,"Moderate Stay",IF(CAPSTONE_PROJECT[[#This Row],[Length of Stay]]&lt;=14,"Long Stay","Extended Stay")))</f>
        <v>Short Stay</v>
      </c>
    </row>
    <row r="252" spans="1:31" x14ac:dyDescent="0.3">
      <c r="A252" s="3" t="s">
        <v>561</v>
      </c>
      <c r="B252" s="4">
        <v>45442</v>
      </c>
      <c r="C252" s="4">
        <v>45462</v>
      </c>
      <c r="D252" s="4">
        <v>28079</v>
      </c>
      <c r="E252" s="3">
        <v>49</v>
      </c>
      <c r="F252" s="3" t="s">
        <v>33</v>
      </c>
      <c r="G252" s="3" t="s">
        <v>9</v>
      </c>
      <c r="H252" s="3" t="s">
        <v>12</v>
      </c>
      <c r="I252" s="3" t="s">
        <v>22</v>
      </c>
      <c r="J252" s="3" t="s">
        <v>23</v>
      </c>
      <c r="K252" s="3" t="s">
        <v>50</v>
      </c>
      <c r="L252" s="6">
        <v>1651.68</v>
      </c>
      <c r="M252" s="6">
        <v>1528.59</v>
      </c>
      <c r="N252" s="6">
        <v>2535.0100000000002</v>
      </c>
      <c r="O252" s="6">
        <v>12710.73</v>
      </c>
      <c r="P252" s="3" t="s">
        <v>31</v>
      </c>
      <c r="Q252" s="3" t="s">
        <v>1076</v>
      </c>
      <c r="R252" s="3" t="s">
        <v>102</v>
      </c>
      <c r="S252" s="3" t="s">
        <v>562</v>
      </c>
      <c r="T252" s="3">
        <v>9</v>
      </c>
      <c r="U252" s="3">
        <f>CAPSTONE_PROJECT[[#This Row],[Discharge Date]]-CAPSTONE_PROJECT[[#This Row],[Admission Date]]</f>
        <v>20</v>
      </c>
      <c r="V252" s="6">
        <f>SUM(CAPSTONE_PROJECT[[#This Row],[Room Cost]:[Treatment Cost]])</f>
        <v>18426.010000000002</v>
      </c>
      <c r="W252" s="6">
        <f t="shared" si="3"/>
        <v>921.30050000000006</v>
      </c>
      <c r="X252" s="3" t="str">
        <f>TEXT(CAPSTONE_PROJECT[[#This Row],[Admission Date]],"mmmm")</f>
        <v>May</v>
      </c>
      <c r="Y252" s="3" t="str">
        <f>TEXT(CAPSTONE_PROJECT[[#This Row],[Admission Date]],"yyyy")</f>
        <v>2024</v>
      </c>
      <c r="Z252" s="3" t="str">
        <f>TEXT(CAPSTONE_PROJECT[[#This Row],[Admission Date]],"mmm yyyy")</f>
        <v>May 2024</v>
      </c>
      <c r="AA252" s="3" t="str">
        <f>TEXT(CAPSTONE_PROJECT[[#This Row],[Admission Date]],"dddd")</f>
        <v>Thursday</v>
      </c>
      <c r="AB252" s="3" t="str">
        <f>IF(CAPSTONE_PROJECT[[#This Row],[Age]]&lt;=34,"Young Adults",IF(CAPSTONE_PROJECT[[#This Row],[Age]]&lt;=59,"Adults","Elders"))</f>
        <v>Adults</v>
      </c>
      <c r="AC252" s="3" t="str">
        <f>_xlfn.XLOOKUP(CAPSTONE_PROJECT[[#This Row],[Patient ID]],'Lookup table'!A:A,'Lookup table'!B:B,,0)</f>
        <v>James T Clarke</v>
      </c>
      <c r="AD252" s="3" t="str">
        <f>_xlfn.XLOOKUP(CAPSTONE_PROJECT[[#This Row],[Patient ID]],'Lookup table'!A:A,'Lookup table'!C:C,,0)</f>
        <v>Male</v>
      </c>
      <c r="AE252" s="3" t="str">
        <f>IF(CAPSTONE_PROJECT[[#This Row],[Length of Stay]]&lt;=3,"Short Stay",IF(CAPSTONE_PROJECT[[#This Row],[Length of Stay]]&lt;=7,"Moderate Stay",IF(CAPSTONE_PROJECT[[#This Row],[Length of Stay]]&lt;=14,"Long Stay","Extended Stay")))</f>
        <v>Extended Stay</v>
      </c>
    </row>
    <row r="253" spans="1:31" x14ac:dyDescent="0.3">
      <c r="A253" s="3" t="s">
        <v>563</v>
      </c>
      <c r="B253" s="4">
        <v>45724</v>
      </c>
      <c r="C253" s="4">
        <v>45740</v>
      </c>
      <c r="D253" s="4">
        <v>29413</v>
      </c>
      <c r="E253" s="3">
        <v>45</v>
      </c>
      <c r="F253" s="3" t="s">
        <v>8</v>
      </c>
      <c r="G253" s="3" t="s">
        <v>61</v>
      </c>
      <c r="H253" s="3" t="s">
        <v>29</v>
      </c>
      <c r="I253" s="3" t="s">
        <v>13</v>
      </c>
      <c r="J253" s="3" t="s">
        <v>38</v>
      </c>
      <c r="K253" s="3" t="s">
        <v>50</v>
      </c>
      <c r="L253" s="6">
        <v>1775.53</v>
      </c>
      <c r="M253" s="6">
        <v>56.11</v>
      </c>
      <c r="N253" s="6">
        <v>1275.6400000000001</v>
      </c>
      <c r="O253" s="6">
        <v>4154.1400000000003</v>
      </c>
      <c r="P253" s="3" t="s">
        <v>25</v>
      </c>
      <c r="Q253" s="3" t="s">
        <v>1085</v>
      </c>
      <c r="R253" s="3" t="s">
        <v>58</v>
      </c>
      <c r="S253" s="3" t="s">
        <v>564</v>
      </c>
      <c r="T253" s="3">
        <v>4</v>
      </c>
      <c r="U253" s="3">
        <f>CAPSTONE_PROJECT[[#This Row],[Discharge Date]]-CAPSTONE_PROJECT[[#This Row],[Admission Date]]</f>
        <v>16</v>
      </c>
      <c r="V253" s="6">
        <f>SUM(CAPSTONE_PROJECT[[#This Row],[Room Cost]:[Treatment Cost]])</f>
        <v>7261.42</v>
      </c>
      <c r="W253" s="6">
        <f t="shared" si="3"/>
        <v>453.83875</v>
      </c>
      <c r="X253" s="3" t="str">
        <f>TEXT(CAPSTONE_PROJECT[[#This Row],[Admission Date]],"mmmm")</f>
        <v>March</v>
      </c>
      <c r="Y253" s="3" t="str">
        <f>TEXT(CAPSTONE_PROJECT[[#This Row],[Admission Date]],"yyyy")</f>
        <v>2025</v>
      </c>
      <c r="Z253" s="3" t="str">
        <f>TEXT(CAPSTONE_PROJECT[[#This Row],[Admission Date]],"mmm yyyy")</f>
        <v>Mar 2025</v>
      </c>
      <c r="AA253" s="3" t="str">
        <f>TEXT(CAPSTONE_PROJECT[[#This Row],[Admission Date]],"dddd")</f>
        <v>Saturday</v>
      </c>
      <c r="AB253" s="3" t="str">
        <f>IF(CAPSTONE_PROJECT[[#This Row],[Age]]&lt;=34,"Young Adults",IF(CAPSTONE_PROJECT[[#This Row],[Age]]&lt;=59,"Adults","Elders"))</f>
        <v>Adults</v>
      </c>
      <c r="AC253" s="3" t="str">
        <f>_xlfn.XLOOKUP(CAPSTONE_PROJECT[[#This Row],[Patient ID]],'Lookup table'!A:A,'Lookup table'!B:B,,0)</f>
        <v>Chloe O Taylor</v>
      </c>
      <c r="AD253" s="3" t="str">
        <f>_xlfn.XLOOKUP(CAPSTONE_PROJECT[[#This Row],[Patient ID]],'Lookup table'!A:A,'Lookup table'!C:C,,0)</f>
        <v>Female</v>
      </c>
      <c r="AE253" s="3" t="str">
        <f>IF(CAPSTONE_PROJECT[[#This Row],[Length of Stay]]&lt;=3,"Short Stay",IF(CAPSTONE_PROJECT[[#This Row],[Length of Stay]]&lt;=7,"Moderate Stay",IF(CAPSTONE_PROJECT[[#This Row],[Length of Stay]]&lt;=14,"Long Stay","Extended Stay")))</f>
        <v>Extended Stay</v>
      </c>
    </row>
    <row r="254" spans="1:31" x14ac:dyDescent="0.3">
      <c r="A254" s="3" t="s">
        <v>565</v>
      </c>
      <c r="B254" s="4">
        <v>45464</v>
      </c>
      <c r="C254" s="4">
        <v>45466</v>
      </c>
      <c r="D254" s="4">
        <v>25406</v>
      </c>
      <c r="E254" s="3">
        <v>56</v>
      </c>
      <c r="F254" s="3" t="s">
        <v>33</v>
      </c>
      <c r="G254" s="3" t="s">
        <v>40</v>
      </c>
      <c r="H254" s="3" t="s">
        <v>100</v>
      </c>
      <c r="I254" s="3" t="s">
        <v>44</v>
      </c>
      <c r="J254" s="3" t="s">
        <v>15</v>
      </c>
      <c r="K254" s="3" t="s">
        <v>15</v>
      </c>
      <c r="L254" s="6">
        <v>3257.52</v>
      </c>
      <c r="M254" s="6">
        <v>1379.26</v>
      </c>
      <c r="N254" s="6">
        <v>628.03</v>
      </c>
      <c r="O254" s="6">
        <v>15488.2</v>
      </c>
      <c r="P254" s="3" t="s">
        <v>31</v>
      </c>
      <c r="Q254" s="3" t="s">
        <v>1077</v>
      </c>
      <c r="R254" s="3" t="s">
        <v>58</v>
      </c>
      <c r="S254" s="3" t="s">
        <v>566</v>
      </c>
      <c r="T254" s="3">
        <v>6</v>
      </c>
      <c r="U254" s="3">
        <f>CAPSTONE_PROJECT[[#This Row],[Discharge Date]]-CAPSTONE_PROJECT[[#This Row],[Admission Date]]</f>
        <v>2</v>
      </c>
      <c r="V254" s="6">
        <f>SUM(CAPSTONE_PROJECT[[#This Row],[Room Cost]:[Treatment Cost]])</f>
        <v>20753.010000000002</v>
      </c>
      <c r="W254" s="6">
        <f t="shared" si="3"/>
        <v>10376.505000000001</v>
      </c>
      <c r="X254" s="3" t="str">
        <f>TEXT(CAPSTONE_PROJECT[[#This Row],[Admission Date]],"mmmm")</f>
        <v>June</v>
      </c>
      <c r="Y254" s="3" t="str">
        <f>TEXT(CAPSTONE_PROJECT[[#This Row],[Admission Date]],"yyyy")</f>
        <v>2024</v>
      </c>
      <c r="Z254" s="3" t="str">
        <f>TEXT(CAPSTONE_PROJECT[[#This Row],[Admission Date]],"mmm yyyy")</f>
        <v>Jun 2024</v>
      </c>
      <c r="AA254" s="3" t="str">
        <f>TEXT(CAPSTONE_PROJECT[[#This Row],[Admission Date]],"dddd")</f>
        <v>Friday</v>
      </c>
      <c r="AB254" s="3" t="str">
        <f>IF(CAPSTONE_PROJECT[[#This Row],[Age]]&lt;=34,"Young Adults",IF(CAPSTONE_PROJECT[[#This Row],[Age]]&lt;=59,"Adults","Elders"))</f>
        <v>Adults</v>
      </c>
      <c r="AC254" s="3" t="str">
        <f>_xlfn.XLOOKUP(CAPSTONE_PROJECT[[#This Row],[Patient ID]],'Lookup table'!A:A,'Lookup table'!B:B,,0)</f>
        <v>Oliver W Martin</v>
      </c>
      <c r="AD254" s="3" t="str">
        <f>_xlfn.XLOOKUP(CAPSTONE_PROJECT[[#This Row],[Patient ID]],'Lookup table'!A:A,'Lookup table'!C:C,,0)</f>
        <v>Male</v>
      </c>
      <c r="AE254" s="3" t="str">
        <f>IF(CAPSTONE_PROJECT[[#This Row],[Length of Stay]]&lt;=3,"Short Stay",IF(CAPSTONE_PROJECT[[#This Row],[Length of Stay]]&lt;=7,"Moderate Stay",IF(CAPSTONE_PROJECT[[#This Row],[Length of Stay]]&lt;=14,"Long Stay","Extended Stay")))</f>
        <v>Short Stay</v>
      </c>
    </row>
    <row r="255" spans="1:31" x14ac:dyDescent="0.3">
      <c r="A255" s="3" t="s">
        <v>567</v>
      </c>
      <c r="B255" s="4">
        <v>45792</v>
      </c>
      <c r="C255" s="4">
        <v>45809</v>
      </c>
      <c r="D255" s="4">
        <v>19028</v>
      </c>
      <c r="E255" s="3">
        <v>74</v>
      </c>
      <c r="F255" s="3" t="s">
        <v>33</v>
      </c>
      <c r="G255" s="3" t="s">
        <v>67</v>
      </c>
      <c r="H255" s="3" t="s">
        <v>72</v>
      </c>
      <c r="I255" s="3" t="s">
        <v>44</v>
      </c>
      <c r="J255" s="3" t="s">
        <v>15</v>
      </c>
      <c r="K255" s="3" t="s">
        <v>15</v>
      </c>
      <c r="L255" s="6">
        <v>4490.8599999999997</v>
      </c>
      <c r="M255" s="6">
        <v>1123.8599999999999</v>
      </c>
      <c r="N255" s="6">
        <v>1240.3699999999999</v>
      </c>
      <c r="O255" s="6">
        <v>10427.459999999999</v>
      </c>
      <c r="P255" s="3" t="s">
        <v>16</v>
      </c>
      <c r="Q255" s="3" t="s">
        <v>1084</v>
      </c>
      <c r="R255" s="3" t="s">
        <v>54</v>
      </c>
      <c r="S255" s="3" t="s">
        <v>568</v>
      </c>
      <c r="T255" s="3">
        <v>2</v>
      </c>
      <c r="U255" s="3">
        <f>CAPSTONE_PROJECT[[#This Row],[Discharge Date]]-CAPSTONE_PROJECT[[#This Row],[Admission Date]]</f>
        <v>17</v>
      </c>
      <c r="V255" s="6">
        <f>SUM(CAPSTONE_PROJECT[[#This Row],[Room Cost]:[Treatment Cost]])</f>
        <v>17282.55</v>
      </c>
      <c r="W255" s="6">
        <f t="shared" si="3"/>
        <v>1016.6205882352941</v>
      </c>
      <c r="X255" s="3" t="str">
        <f>TEXT(CAPSTONE_PROJECT[[#This Row],[Admission Date]],"mmmm")</f>
        <v>May</v>
      </c>
      <c r="Y255" s="3" t="str">
        <f>TEXT(CAPSTONE_PROJECT[[#This Row],[Admission Date]],"yyyy")</f>
        <v>2025</v>
      </c>
      <c r="Z255" s="3" t="str">
        <f>TEXT(CAPSTONE_PROJECT[[#This Row],[Admission Date]],"mmm yyyy")</f>
        <v>May 2025</v>
      </c>
      <c r="AA255" s="3" t="str">
        <f>TEXT(CAPSTONE_PROJECT[[#This Row],[Admission Date]],"dddd")</f>
        <v>Thursday</v>
      </c>
      <c r="AB255" s="3" t="str">
        <f>IF(CAPSTONE_PROJECT[[#This Row],[Age]]&lt;=34,"Young Adults",IF(CAPSTONE_PROJECT[[#This Row],[Age]]&lt;=59,"Adults","Elders"))</f>
        <v>Elders</v>
      </c>
      <c r="AC255" s="3" t="str">
        <f>_xlfn.XLOOKUP(CAPSTONE_PROJECT[[#This Row],[Patient ID]],'Lookup table'!A:A,'Lookup table'!B:B,,0)</f>
        <v>Ella Green</v>
      </c>
      <c r="AD255" s="3" t="str">
        <f>_xlfn.XLOOKUP(CAPSTONE_PROJECT[[#This Row],[Patient ID]],'Lookup table'!A:A,'Lookup table'!C:C,,0)</f>
        <v>Female</v>
      </c>
      <c r="AE255" s="3" t="str">
        <f>IF(CAPSTONE_PROJECT[[#This Row],[Length of Stay]]&lt;=3,"Short Stay",IF(CAPSTONE_PROJECT[[#This Row],[Length of Stay]]&lt;=7,"Moderate Stay",IF(CAPSTONE_PROJECT[[#This Row],[Length of Stay]]&lt;=14,"Long Stay","Extended Stay")))</f>
        <v>Extended Stay</v>
      </c>
    </row>
    <row r="256" spans="1:31" x14ac:dyDescent="0.3">
      <c r="A256" s="3" t="s">
        <v>569</v>
      </c>
      <c r="B256" s="4">
        <v>45477</v>
      </c>
      <c r="C256" s="4">
        <v>45497</v>
      </c>
      <c r="D256" s="4">
        <v>39025</v>
      </c>
      <c r="E256" s="3">
        <v>19</v>
      </c>
      <c r="F256" s="3" t="s">
        <v>8</v>
      </c>
      <c r="G256" s="3" t="s">
        <v>126</v>
      </c>
      <c r="H256" s="3" t="s">
        <v>114</v>
      </c>
      <c r="I256" s="3" t="s">
        <v>44</v>
      </c>
      <c r="J256" s="3" t="s">
        <v>15</v>
      </c>
      <c r="K256" s="3" t="s">
        <v>50</v>
      </c>
      <c r="L256" s="6">
        <v>4445.46</v>
      </c>
      <c r="M256" s="6">
        <v>652.96</v>
      </c>
      <c r="N256" s="6">
        <v>1349.3</v>
      </c>
      <c r="O256" s="6">
        <v>5471.17</v>
      </c>
      <c r="P256" s="3" t="s">
        <v>16</v>
      </c>
      <c r="Q256" s="3" t="s">
        <v>1084</v>
      </c>
      <c r="R256" s="3" t="s">
        <v>19</v>
      </c>
      <c r="S256" s="3" t="s">
        <v>570</v>
      </c>
      <c r="T256" s="3">
        <v>3</v>
      </c>
      <c r="U256" s="3">
        <f>CAPSTONE_PROJECT[[#This Row],[Discharge Date]]-CAPSTONE_PROJECT[[#This Row],[Admission Date]]</f>
        <v>20</v>
      </c>
      <c r="V256" s="6">
        <f>SUM(CAPSTONE_PROJECT[[#This Row],[Room Cost]:[Treatment Cost]])</f>
        <v>11918.89</v>
      </c>
      <c r="W256" s="6">
        <f t="shared" si="3"/>
        <v>595.94449999999995</v>
      </c>
      <c r="X256" s="3" t="str">
        <f>TEXT(CAPSTONE_PROJECT[[#This Row],[Admission Date]],"mmmm")</f>
        <v>July</v>
      </c>
      <c r="Y256" s="3" t="str">
        <f>TEXT(CAPSTONE_PROJECT[[#This Row],[Admission Date]],"yyyy")</f>
        <v>2024</v>
      </c>
      <c r="Z256" s="3" t="str">
        <f>TEXT(CAPSTONE_PROJECT[[#This Row],[Admission Date]],"mmm yyyy")</f>
        <v>Jul 2024</v>
      </c>
      <c r="AA256" s="3" t="str">
        <f>TEXT(CAPSTONE_PROJECT[[#This Row],[Admission Date]],"dddd")</f>
        <v>Thursday</v>
      </c>
      <c r="AB256" s="3" t="str">
        <f>IF(CAPSTONE_PROJECT[[#This Row],[Age]]&lt;=34,"Young Adults",IF(CAPSTONE_PROJECT[[#This Row],[Age]]&lt;=59,"Adults","Elders"))</f>
        <v>Young Adults</v>
      </c>
      <c r="AC256" s="3" t="str">
        <f>_xlfn.XLOOKUP(CAPSTONE_PROJECT[[#This Row],[Patient ID]],'Lookup table'!A:A,'Lookup table'!B:B,,0)</f>
        <v>George Green</v>
      </c>
      <c r="AD256" s="3" t="str">
        <f>_xlfn.XLOOKUP(CAPSTONE_PROJECT[[#This Row],[Patient ID]],'Lookup table'!A:A,'Lookup table'!C:C,,0)</f>
        <v>Male</v>
      </c>
      <c r="AE256" s="3" t="str">
        <f>IF(CAPSTONE_PROJECT[[#This Row],[Length of Stay]]&lt;=3,"Short Stay",IF(CAPSTONE_PROJECT[[#This Row],[Length of Stay]]&lt;=7,"Moderate Stay",IF(CAPSTONE_PROJECT[[#This Row],[Length of Stay]]&lt;=14,"Long Stay","Extended Stay")))</f>
        <v>Extended Stay</v>
      </c>
    </row>
    <row r="257" spans="1:31" x14ac:dyDescent="0.3">
      <c r="A257" s="3" t="s">
        <v>571</v>
      </c>
      <c r="B257" s="4">
        <v>45612</v>
      </c>
      <c r="C257" s="4">
        <v>45629</v>
      </c>
      <c r="D257" s="4">
        <v>29821</v>
      </c>
      <c r="E257" s="3">
        <v>44</v>
      </c>
      <c r="F257" s="3" t="s">
        <v>18</v>
      </c>
      <c r="G257" s="3" t="s">
        <v>78</v>
      </c>
      <c r="H257" s="3" t="s">
        <v>29</v>
      </c>
      <c r="I257" s="3" t="s">
        <v>13</v>
      </c>
      <c r="J257" s="3" t="s">
        <v>14</v>
      </c>
      <c r="K257" s="3" t="s">
        <v>24</v>
      </c>
      <c r="L257" s="6">
        <v>1477.01</v>
      </c>
      <c r="M257" s="6">
        <v>237.24</v>
      </c>
      <c r="N257" s="6">
        <v>2845.98</v>
      </c>
      <c r="O257" s="6">
        <v>5151.78</v>
      </c>
      <c r="P257" s="3" t="s">
        <v>1083</v>
      </c>
      <c r="Q257" s="3" t="s">
        <v>1079</v>
      </c>
      <c r="R257" s="3" t="s">
        <v>54</v>
      </c>
      <c r="S257" s="3" t="s">
        <v>572</v>
      </c>
      <c r="T257" s="3">
        <v>4</v>
      </c>
      <c r="U257" s="3">
        <f>CAPSTONE_PROJECT[[#This Row],[Discharge Date]]-CAPSTONE_PROJECT[[#This Row],[Admission Date]]</f>
        <v>17</v>
      </c>
      <c r="V257" s="6">
        <f>SUM(CAPSTONE_PROJECT[[#This Row],[Room Cost]:[Treatment Cost]])</f>
        <v>9712.0099999999984</v>
      </c>
      <c r="W257" s="6">
        <f t="shared" si="3"/>
        <v>571.2947058823529</v>
      </c>
      <c r="X257" s="3" t="str">
        <f>TEXT(CAPSTONE_PROJECT[[#This Row],[Admission Date]],"mmmm")</f>
        <v>November</v>
      </c>
      <c r="Y257" s="3" t="str">
        <f>TEXT(CAPSTONE_PROJECT[[#This Row],[Admission Date]],"yyyy")</f>
        <v>2024</v>
      </c>
      <c r="Z257" s="3" t="str">
        <f>TEXT(CAPSTONE_PROJECT[[#This Row],[Admission Date]],"mmm yyyy")</f>
        <v>Nov 2024</v>
      </c>
      <c r="AA257" s="3" t="str">
        <f>TEXT(CAPSTONE_PROJECT[[#This Row],[Admission Date]],"dddd")</f>
        <v>Saturday</v>
      </c>
      <c r="AB257" s="3" t="str">
        <f>IF(CAPSTONE_PROJECT[[#This Row],[Age]]&lt;=34,"Young Adults",IF(CAPSTONE_PROJECT[[#This Row],[Age]]&lt;=59,"Adults","Elders"))</f>
        <v>Adults</v>
      </c>
      <c r="AC257" s="3" t="str">
        <f>_xlfn.XLOOKUP(CAPSTONE_PROJECT[[#This Row],[Patient ID]],'Lookup table'!A:A,'Lookup table'!B:B,,0)</f>
        <v>Olivia U Thomas</v>
      </c>
      <c r="AD257" s="3" t="str">
        <f>_xlfn.XLOOKUP(CAPSTONE_PROJECT[[#This Row],[Patient ID]],'Lookup table'!A:A,'Lookup table'!C:C,,0)</f>
        <v>Female</v>
      </c>
      <c r="AE257" s="3" t="str">
        <f>IF(CAPSTONE_PROJECT[[#This Row],[Length of Stay]]&lt;=3,"Short Stay",IF(CAPSTONE_PROJECT[[#This Row],[Length of Stay]]&lt;=7,"Moderate Stay",IF(CAPSTONE_PROJECT[[#This Row],[Length of Stay]]&lt;=14,"Long Stay","Extended Stay")))</f>
        <v>Extended Stay</v>
      </c>
    </row>
    <row r="258" spans="1:31" x14ac:dyDescent="0.3">
      <c r="A258" s="3" t="s">
        <v>573</v>
      </c>
      <c r="B258" s="4">
        <v>45936</v>
      </c>
      <c r="C258" s="4">
        <v>45945</v>
      </c>
      <c r="D258" s="4">
        <v>28948</v>
      </c>
      <c r="E258" s="3">
        <v>47</v>
      </c>
      <c r="F258" s="3" t="s">
        <v>18</v>
      </c>
      <c r="G258" s="3" t="s">
        <v>27</v>
      </c>
      <c r="H258" s="3" t="s">
        <v>72</v>
      </c>
      <c r="I258" s="3" t="s">
        <v>37</v>
      </c>
      <c r="J258" s="3" t="s">
        <v>14</v>
      </c>
      <c r="K258" s="3" t="s">
        <v>65</v>
      </c>
      <c r="L258" s="6">
        <v>2352.63</v>
      </c>
      <c r="M258" s="6">
        <v>1665.29</v>
      </c>
      <c r="N258" s="6">
        <v>0</v>
      </c>
      <c r="O258" s="6">
        <v>0</v>
      </c>
      <c r="P258" s="3" t="s">
        <v>51</v>
      </c>
      <c r="Q258" s="3" t="s">
        <v>1081</v>
      </c>
      <c r="R258" s="3" t="s">
        <v>62</v>
      </c>
      <c r="S258" s="3" t="s">
        <v>574</v>
      </c>
      <c r="T258" s="3">
        <v>6</v>
      </c>
      <c r="U258" s="3">
        <f>CAPSTONE_PROJECT[[#This Row],[Discharge Date]]-CAPSTONE_PROJECT[[#This Row],[Admission Date]]</f>
        <v>9</v>
      </c>
      <c r="V258" s="6">
        <f>SUM(CAPSTONE_PROJECT[[#This Row],[Room Cost]:[Treatment Cost]])</f>
        <v>4017.92</v>
      </c>
      <c r="W258" s="6">
        <f t="shared" ref="W258:W321" si="4">V258/U258</f>
        <v>446.43555555555554</v>
      </c>
      <c r="X258" s="3" t="str">
        <f>TEXT(CAPSTONE_PROJECT[[#This Row],[Admission Date]],"mmmm")</f>
        <v>October</v>
      </c>
      <c r="Y258" s="3" t="str">
        <f>TEXT(CAPSTONE_PROJECT[[#This Row],[Admission Date]],"yyyy")</f>
        <v>2025</v>
      </c>
      <c r="Z258" s="3" t="str">
        <f>TEXT(CAPSTONE_PROJECT[[#This Row],[Admission Date]],"mmm yyyy")</f>
        <v>Oct 2025</v>
      </c>
      <c r="AA258" s="3" t="str">
        <f>TEXT(CAPSTONE_PROJECT[[#This Row],[Admission Date]],"dddd")</f>
        <v>Monday</v>
      </c>
      <c r="AB258" s="3" t="str">
        <f>IF(CAPSTONE_PROJECT[[#This Row],[Age]]&lt;=34,"Young Adults",IF(CAPSTONE_PROJECT[[#This Row],[Age]]&lt;=59,"Adults","Elders"))</f>
        <v>Adults</v>
      </c>
      <c r="AC258" s="3" t="str">
        <f>_xlfn.XLOOKUP(CAPSTONE_PROJECT[[#This Row],[Patient ID]],'Lookup table'!A:A,'Lookup table'!B:B,,0)</f>
        <v>Lucas Brown</v>
      </c>
      <c r="AD258" s="3" t="str">
        <f>_xlfn.XLOOKUP(CAPSTONE_PROJECT[[#This Row],[Patient ID]],'Lookup table'!A:A,'Lookup table'!C:C,,0)</f>
        <v>Male</v>
      </c>
      <c r="AE258" s="3" t="str">
        <f>IF(CAPSTONE_PROJECT[[#This Row],[Length of Stay]]&lt;=3,"Short Stay",IF(CAPSTONE_PROJECT[[#This Row],[Length of Stay]]&lt;=7,"Moderate Stay",IF(CAPSTONE_PROJECT[[#This Row],[Length of Stay]]&lt;=14,"Long Stay","Extended Stay")))</f>
        <v>Long Stay</v>
      </c>
    </row>
    <row r="259" spans="1:31" x14ac:dyDescent="0.3">
      <c r="A259" s="3" t="s">
        <v>575</v>
      </c>
      <c r="B259" s="4">
        <v>45399</v>
      </c>
      <c r="C259" s="4">
        <v>45403</v>
      </c>
      <c r="D259" s="4">
        <v>25306</v>
      </c>
      <c r="E259" s="3">
        <v>57</v>
      </c>
      <c r="F259" s="3" t="s">
        <v>47</v>
      </c>
      <c r="G259" s="3" t="s">
        <v>78</v>
      </c>
      <c r="H259" s="3" t="s">
        <v>114</v>
      </c>
      <c r="I259" s="3" t="s">
        <v>13</v>
      </c>
      <c r="J259" s="3" t="s">
        <v>38</v>
      </c>
      <c r="K259" s="3" t="s">
        <v>50</v>
      </c>
      <c r="L259" s="6">
        <v>4378.32</v>
      </c>
      <c r="M259" s="6">
        <v>1372.32</v>
      </c>
      <c r="N259" s="6">
        <v>493.9</v>
      </c>
      <c r="O259" s="6">
        <v>4753.5</v>
      </c>
      <c r="P259" s="3" t="s">
        <v>16</v>
      </c>
      <c r="Q259" s="3" t="s">
        <v>1078</v>
      </c>
      <c r="R259" s="3" t="s">
        <v>75</v>
      </c>
      <c r="S259" s="3" t="s">
        <v>576</v>
      </c>
      <c r="T259" s="3">
        <v>10</v>
      </c>
      <c r="U259" s="3">
        <f>CAPSTONE_PROJECT[[#This Row],[Discharge Date]]-CAPSTONE_PROJECT[[#This Row],[Admission Date]]</f>
        <v>4</v>
      </c>
      <c r="V259" s="6">
        <f>SUM(CAPSTONE_PROJECT[[#This Row],[Room Cost]:[Treatment Cost]])</f>
        <v>10998.039999999999</v>
      </c>
      <c r="W259" s="6">
        <f t="shared" si="4"/>
        <v>2749.5099999999998</v>
      </c>
      <c r="X259" s="3" t="str">
        <f>TEXT(CAPSTONE_PROJECT[[#This Row],[Admission Date]],"mmmm")</f>
        <v>April</v>
      </c>
      <c r="Y259" s="3" t="str">
        <f>TEXT(CAPSTONE_PROJECT[[#This Row],[Admission Date]],"yyyy")</f>
        <v>2024</v>
      </c>
      <c r="Z259" s="3" t="str">
        <f>TEXT(CAPSTONE_PROJECT[[#This Row],[Admission Date]],"mmm yyyy")</f>
        <v>Apr 2024</v>
      </c>
      <c r="AA259" s="3" t="str">
        <f>TEXT(CAPSTONE_PROJECT[[#This Row],[Admission Date]],"dddd")</f>
        <v>Wednesday</v>
      </c>
      <c r="AB259" s="3" t="str">
        <f>IF(CAPSTONE_PROJECT[[#This Row],[Age]]&lt;=34,"Young Adults",IF(CAPSTONE_PROJECT[[#This Row],[Age]]&lt;=59,"Adults","Elders"))</f>
        <v>Adults</v>
      </c>
      <c r="AC259" s="3" t="str">
        <f>_xlfn.XLOOKUP(CAPSTONE_PROJECT[[#This Row],[Patient ID]],'Lookup table'!A:A,'Lookup table'!B:B,,0)</f>
        <v>Freya Y Wilson</v>
      </c>
      <c r="AD259" s="3" t="str">
        <f>_xlfn.XLOOKUP(CAPSTONE_PROJECT[[#This Row],[Patient ID]],'Lookup table'!A:A,'Lookup table'!C:C,,0)</f>
        <v>Female</v>
      </c>
      <c r="AE259" s="3" t="str">
        <f>IF(CAPSTONE_PROJECT[[#This Row],[Length of Stay]]&lt;=3,"Short Stay",IF(CAPSTONE_PROJECT[[#This Row],[Length of Stay]]&lt;=7,"Moderate Stay",IF(CAPSTONE_PROJECT[[#This Row],[Length of Stay]]&lt;=14,"Long Stay","Extended Stay")))</f>
        <v>Moderate Stay</v>
      </c>
    </row>
    <row r="260" spans="1:31" x14ac:dyDescent="0.3">
      <c r="A260" s="3" t="s">
        <v>577</v>
      </c>
      <c r="B260" s="4">
        <v>45671</v>
      </c>
      <c r="C260" s="4">
        <v>45679</v>
      </c>
      <c r="D260" s="4">
        <v>17888</v>
      </c>
      <c r="E260" s="3">
        <v>77</v>
      </c>
      <c r="F260" s="3" t="s">
        <v>18</v>
      </c>
      <c r="G260" s="3" t="s">
        <v>67</v>
      </c>
      <c r="H260" s="3" t="s">
        <v>21</v>
      </c>
      <c r="I260" s="3" t="s">
        <v>37</v>
      </c>
      <c r="J260" s="3" t="s">
        <v>14</v>
      </c>
      <c r="K260" s="3" t="s">
        <v>65</v>
      </c>
      <c r="L260" s="6">
        <v>866.34</v>
      </c>
      <c r="M260" s="6">
        <v>1200.48</v>
      </c>
      <c r="N260" s="6">
        <v>1578.85</v>
      </c>
      <c r="O260" s="6">
        <v>3780.32</v>
      </c>
      <c r="P260" s="3" t="s">
        <v>16</v>
      </c>
      <c r="Q260" s="3" t="s">
        <v>1076</v>
      </c>
      <c r="R260" s="3" t="s">
        <v>19</v>
      </c>
      <c r="S260" s="3" t="s">
        <v>578</v>
      </c>
      <c r="T260" s="3">
        <v>9</v>
      </c>
      <c r="U260" s="3">
        <f>CAPSTONE_PROJECT[[#This Row],[Discharge Date]]-CAPSTONE_PROJECT[[#This Row],[Admission Date]]</f>
        <v>8</v>
      </c>
      <c r="V260" s="6">
        <f>SUM(CAPSTONE_PROJECT[[#This Row],[Room Cost]:[Treatment Cost]])</f>
        <v>7425.99</v>
      </c>
      <c r="W260" s="6">
        <f t="shared" si="4"/>
        <v>928.24874999999997</v>
      </c>
      <c r="X260" s="3" t="str">
        <f>TEXT(CAPSTONE_PROJECT[[#This Row],[Admission Date]],"mmmm")</f>
        <v>January</v>
      </c>
      <c r="Y260" s="3" t="str">
        <f>TEXT(CAPSTONE_PROJECT[[#This Row],[Admission Date]],"yyyy")</f>
        <v>2025</v>
      </c>
      <c r="Z260" s="3" t="str">
        <f>TEXT(CAPSTONE_PROJECT[[#This Row],[Admission Date]],"mmm yyyy")</f>
        <v>Jan 2025</v>
      </c>
      <c r="AA260" s="3" t="str">
        <f>TEXT(CAPSTONE_PROJECT[[#This Row],[Admission Date]],"dddd")</f>
        <v>Tuesday</v>
      </c>
      <c r="AB260" s="3" t="str">
        <f>IF(CAPSTONE_PROJECT[[#This Row],[Age]]&lt;=34,"Young Adults",IF(CAPSTONE_PROJECT[[#This Row],[Age]]&lt;=59,"Adults","Elders"))</f>
        <v>Elders</v>
      </c>
      <c r="AC260" s="3" t="str">
        <f>_xlfn.XLOOKUP(CAPSTONE_PROJECT[[#This Row],[Patient ID]],'Lookup table'!A:A,'Lookup table'!B:B,,0)</f>
        <v>Oliver Jones</v>
      </c>
      <c r="AD260" s="3" t="str">
        <f>_xlfn.XLOOKUP(CAPSTONE_PROJECT[[#This Row],[Patient ID]],'Lookup table'!A:A,'Lookup table'!C:C,,0)</f>
        <v>Male</v>
      </c>
      <c r="AE260" s="3" t="str">
        <f>IF(CAPSTONE_PROJECT[[#This Row],[Length of Stay]]&lt;=3,"Short Stay",IF(CAPSTONE_PROJECT[[#This Row],[Length of Stay]]&lt;=7,"Moderate Stay",IF(CAPSTONE_PROJECT[[#This Row],[Length of Stay]]&lt;=14,"Long Stay","Extended Stay")))</f>
        <v>Long Stay</v>
      </c>
    </row>
    <row r="261" spans="1:31" x14ac:dyDescent="0.3">
      <c r="A261" s="3" t="s">
        <v>579</v>
      </c>
      <c r="B261" s="4">
        <v>45431</v>
      </c>
      <c r="C261" s="4">
        <v>45447</v>
      </c>
      <c r="D261" s="4">
        <v>32410</v>
      </c>
      <c r="E261" s="3">
        <v>37</v>
      </c>
      <c r="F261" s="3" t="s">
        <v>8</v>
      </c>
      <c r="G261" s="3" t="s">
        <v>40</v>
      </c>
      <c r="H261" s="3" t="s">
        <v>1080</v>
      </c>
      <c r="I261" s="3" t="s">
        <v>44</v>
      </c>
      <c r="J261" s="3" t="s">
        <v>23</v>
      </c>
      <c r="K261" s="3" t="s">
        <v>24</v>
      </c>
      <c r="L261" s="6">
        <v>3089.25</v>
      </c>
      <c r="M261" s="6">
        <v>909.78</v>
      </c>
      <c r="N261" s="6">
        <v>1711.39</v>
      </c>
      <c r="O261" s="6">
        <v>14385.32</v>
      </c>
      <c r="P261" s="3" t="s">
        <v>31</v>
      </c>
      <c r="Q261" s="3" t="s">
        <v>1077</v>
      </c>
      <c r="R261" s="3" t="s">
        <v>35</v>
      </c>
      <c r="S261" s="3" t="s">
        <v>580</v>
      </c>
      <c r="T261" s="3">
        <v>4</v>
      </c>
      <c r="U261" s="3">
        <f>CAPSTONE_PROJECT[[#This Row],[Discharge Date]]-CAPSTONE_PROJECT[[#This Row],[Admission Date]]</f>
        <v>16</v>
      </c>
      <c r="V261" s="6">
        <f>SUM(CAPSTONE_PROJECT[[#This Row],[Room Cost]:[Treatment Cost]])</f>
        <v>20095.739999999998</v>
      </c>
      <c r="W261" s="6">
        <f t="shared" si="4"/>
        <v>1255.9837499999999</v>
      </c>
      <c r="X261" s="3" t="str">
        <f>TEXT(CAPSTONE_PROJECT[[#This Row],[Admission Date]],"mmmm")</f>
        <v>May</v>
      </c>
      <c r="Y261" s="3" t="str">
        <f>TEXT(CAPSTONE_PROJECT[[#This Row],[Admission Date]],"yyyy")</f>
        <v>2024</v>
      </c>
      <c r="Z261" s="3" t="str">
        <f>TEXT(CAPSTONE_PROJECT[[#This Row],[Admission Date]],"mmm yyyy")</f>
        <v>May 2024</v>
      </c>
      <c r="AA261" s="3" t="str">
        <f>TEXT(CAPSTONE_PROJECT[[#This Row],[Admission Date]],"dddd")</f>
        <v>Sunday</v>
      </c>
      <c r="AB261" s="3" t="str">
        <f>IF(CAPSTONE_PROJECT[[#This Row],[Age]]&lt;=34,"Young Adults",IF(CAPSTONE_PROJECT[[#This Row],[Age]]&lt;=59,"Adults","Elders"))</f>
        <v>Adults</v>
      </c>
      <c r="AC261" s="3" t="str">
        <f>_xlfn.XLOOKUP(CAPSTONE_PROJECT[[#This Row],[Patient ID]],'Lookup table'!A:A,'Lookup table'!B:B,,0)</f>
        <v>Sophia B Wood</v>
      </c>
      <c r="AD261" s="3" t="str">
        <f>_xlfn.XLOOKUP(CAPSTONE_PROJECT[[#This Row],[Patient ID]],'Lookup table'!A:A,'Lookup table'!C:C,,0)</f>
        <v>Female</v>
      </c>
      <c r="AE261" s="3" t="str">
        <f>IF(CAPSTONE_PROJECT[[#This Row],[Length of Stay]]&lt;=3,"Short Stay",IF(CAPSTONE_PROJECT[[#This Row],[Length of Stay]]&lt;=7,"Moderate Stay",IF(CAPSTONE_PROJECT[[#This Row],[Length of Stay]]&lt;=14,"Long Stay","Extended Stay")))</f>
        <v>Extended Stay</v>
      </c>
    </row>
    <row r="262" spans="1:31" x14ac:dyDescent="0.3">
      <c r="A262" s="3" t="s">
        <v>581</v>
      </c>
      <c r="B262" s="4">
        <v>45547</v>
      </c>
      <c r="C262" s="4">
        <v>45565</v>
      </c>
      <c r="D262" s="4">
        <v>19167</v>
      </c>
      <c r="E262" s="3">
        <v>73</v>
      </c>
      <c r="F262" s="3" t="s">
        <v>47</v>
      </c>
      <c r="G262" s="3" t="s">
        <v>139</v>
      </c>
      <c r="H262" s="3" t="s">
        <v>100</v>
      </c>
      <c r="I262" s="3" t="s">
        <v>13</v>
      </c>
      <c r="J262" s="3" t="s">
        <v>64</v>
      </c>
      <c r="K262" s="3" t="s">
        <v>24</v>
      </c>
      <c r="L262" s="6">
        <v>1665.21</v>
      </c>
      <c r="M262" s="6">
        <v>43.07</v>
      </c>
      <c r="N262" s="6">
        <v>922.22</v>
      </c>
      <c r="O262" s="6">
        <v>2260.15</v>
      </c>
      <c r="P262" s="3" t="s">
        <v>25</v>
      </c>
      <c r="Q262" s="3" t="s">
        <v>1085</v>
      </c>
      <c r="R262" s="3" t="s">
        <v>54</v>
      </c>
      <c r="S262" s="3" t="s">
        <v>582</v>
      </c>
      <c r="T262" s="3">
        <v>10</v>
      </c>
      <c r="U262" s="3">
        <f>CAPSTONE_PROJECT[[#This Row],[Discharge Date]]-CAPSTONE_PROJECT[[#This Row],[Admission Date]]</f>
        <v>18</v>
      </c>
      <c r="V262" s="6">
        <f>SUM(CAPSTONE_PROJECT[[#This Row],[Room Cost]:[Treatment Cost]])</f>
        <v>4890.6499999999996</v>
      </c>
      <c r="W262" s="6">
        <f t="shared" si="4"/>
        <v>271.70277777777778</v>
      </c>
      <c r="X262" s="3" t="str">
        <f>TEXT(CAPSTONE_PROJECT[[#This Row],[Admission Date]],"mmmm")</f>
        <v>September</v>
      </c>
      <c r="Y262" s="3" t="str">
        <f>TEXT(CAPSTONE_PROJECT[[#This Row],[Admission Date]],"yyyy")</f>
        <v>2024</v>
      </c>
      <c r="Z262" s="3" t="str">
        <f>TEXT(CAPSTONE_PROJECT[[#This Row],[Admission Date]],"mmm yyyy")</f>
        <v>Sep 2024</v>
      </c>
      <c r="AA262" s="3" t="str">
        <f>TEXT(CAPSTONE_PROJECT[[#This Row],[Admission Date]],"dddd")</f>
        <v>Thursday</v>
      </c>
      <c r="AB262" s="3" t="str">
        <f>IF(CAPSTONE_PROJECT[[#This Row],[Age]]&lt;=34,"Young Adults",IF(CAPSTONE_PROJECT[[#This Row],[Age]]&lt;=59,"Adults","Elders"))</f>
        <v>Elders</v>
      </c>
      <c r="AC262" s="3" t="str">
        <f>_xlfn.XLOOKUP(CAPSTONE_PROJECT[[#This Row],[Patient ID]],'Lookup table'!A:A,'Lookup table'!B:B,,0)</f>
        <v>Samuel Jones</v>
      </c>
      <c r="AD262" s="3" t="str">
        <f>_xlfn.XLOOKUP(CAPSTONE_PROJECT[[#This Row],[Patient ID]],'Lookup table'!A:A,'Lookup table'!C:C,,0)</f>
        <v>Male</v>
      </c>
      <c r="AE262" s="3" t="str">
        <f>IF(CAPSTONE_PROJECT[[#This Row],[Length of Stay]]&lt;=3,"Short Stay",IF(CAPSTONE_PROJECT[[#This Row],[Length of Stay]]&lt;=7,"Moderate Stay",IF(CAPSTONE_PROJECT[[#This Row],[Length of Stay]]&lt;=14,"Long Stay","Extended Stay")))</f>
        <v>Extended Stay</v>
      </c>
    </row>
    <row r="263" spans="1:31" x14ac:dyDescent="0.3">
      <c r="A263" s="3" t="s">
        <v>583</v>
      </c>
      <c r="B263" s="4">
        <v>45449</v>
      </c>
      <c r="C263" s="4">
        <v>45463</v>
      </c>
      <c r="D263" s="4">
        <v>18523</v>
      </c>
      <c r="E263" s="3">
        <v>75</v>
      </c>
      <c r="F263" s="3" t="s">
        <v>8</v>
      </c>
      <c r="G263" s="3" t="s">
        <v>27</v>
      </c>
      <c r="H263" s="3" t="s">
        <v>100</v>
      </c>
      <c r="I263" s="3" t="s">
        <v>13</v>
      </c>
      <c r="J263" s="3" t="s">
        <v>73</v>
      </c>
      <c r="K263" s="3" t="s">
        <v>50</v>
      </c>
      <c r="L263" s="6">
        <v>442.37</v>
      </c>
      <c r="M263" s="6">
        <v>919.2</v>
      </c>
      <c r="N263" s="6">
        <v>1023.07</v>
      </c>
      <c r="O263" s="6">
        <v>2502.5700000000002</v>
      </c>
      <c r="P263" s="3" t="s">
        <v>25</v>
      </c>
      <c r="Q263" s="3" t="s">
        <v>1081</v>
      </c>
      <c r="R263" s="3" t="s">
        <v>68</v>
      </c>
      <c r="S263" s="3" t="s">
        <v>584</v>
      </c>
      <c r="T263" s="3">
        <v>6</v>
      </c>
      <c r="U263" s="3">
        <f>CAPSTONE_PROJECT[[#This Row],[Discharge Date]]-CAPSTONE_PROJECT[[#This Row],[Admission Date]]</f>
        <v>14</v>
      </c>
      <c r="V263" s="6">
        <f>SUM(CAPSTONE_PROJECT[[#This Row],[Room Cost]:[Treatment Cost]])</f>
        <v>4887.2100000000009</v>
      </c>
      <c r="W263" s="6">
        <f t="shared" si="4"/>
        <v>349.08642857142866</v>
      </c>
      <c r="X263" s="3" t="str">
        <f>TEXT(CAPSTONE_PROJECT[[#This Row],[Admission Date]],"mmmm")</f>
        <v>June</v>
      </c>
      <c r="Y263" s="3" t="str">
        <f>TEXT(CAPSTONE_PROJECT[[#This Row],[Admission Date]],"yyyy")</f>
        <v>2024</v>
      </c>
      <c r="Z263" s="3" t="str">
        <f>TEXT(CAPSTONE_PROJECT[[#This Row],[Admission Date]],"mmm yyyy")</f>
        <v>Jun 2024</v>
      </c>
      <c r="AA263" s="3" t="str">
        <f>TEXT(CAPSTONE_PROJECT[[#This Row],[Admission Date]],"dddd")</f>
        <v>Thursday</v>
      </c>
      <c r="AB263" s="3" t="str">
        <f>IF(CAPSTONE_PROJECT[[#This Row],[Age]]&lt;=34,"Young Adults",IF(CAPSTONE_PROJECT[[#This Row],[Age]]&lt;=59,"Adults","Elders"))</f>
        <v>Elders</v>
      </c>
      <c r="AC263" s="3" t="str">
        <f>_xlfn.XLOOKUP(CAPSTONE_PROJECT[[#This Row],[Patient ID]],'Lookup table'!A:A,'Lookup table'!B:B,,0)</f>
        <v>Freya O Wilson</v>
      </c>
      <c r="AD263" s="3" t="str">
        <f>_xlfn.XLOOKUP(CAPSTONE_PROJECT[[#This Row],[Patient ID]],'Lookup table'!A:A,'Lookup table'!C:C,,0)</f>
        <v>Female</v>
      </c>
      <c r="AE263" s="3" t="str">
        <f>IF(CAPSTONE_PROJECT[[#This Row],[Length of Stay]]&lt;=3,"Short Stay",IF(CAPSTONE_PROJECT[[#This Row],[Length of Stay]]&lt;=7,"Moderate Stay",IF(CAPSTONE_PROJECT[[#This Row],[Length of Stay]]&lt;=14,"Long Stay","Extended Stay")))</f>
        <v>Long Stay</v>
      </c>
    </row>
    <row r="264" spans="1:31" x14ac:dyDescent="0.3">
      <c r="A264" s="3" t="s">
        <v>585</v>
      </c>
      <c r="B264" s="4">
        <v>45973</v>
      </c>
      <c r="C264" s="4">
        <v>45982</v>
      </c>
      <c r="D264" s="4">
        <v>31883</v>
      </c>
      <c r="E264" s="3">
        <v>39</v>
      </c>
      <c r="F264" s="3" t="s">
        <v>33</v>
      </c>
      <c r="G264" s="3" t="s">
        <v>78</v>
      </c>
      <c r="H264" s="3" t="s">
        <v>100</v>
      </c>
      <c r="I264" s="3" t="s">
        <v>37</v>
      </c>
      <c r="J264" s="3" t="s">
        <v>45</v>
      </c>
      <c r="K264" s="3" t="s">
        <v>24</v>
      </c>
      <c r="L264" s="6">
        <v>208.43</v>
      </c>
      <c r="M264" s="6">
        <v>626.11</v>
      </c>
      <c r="N264" s="6">
        <v>1455.11</v>
      </c>
      <c r="O264" s="6">
        <v>8515.44</v>
      </c>
      <c r="P264" s="3" t="s">
        <v>51</v>
      </c>
      <c r="Q264" s="3" t="s">
        <v>1084</v>
      </c>
      <c r="R264" s="3" t="s">
        <v>19</v>
      </c>
      <c r="S264" s="3" t="s">
        <v>586</v>
      </c>
      <c r="T264" s="3">
        <v>7</v>
      </c>
      <c r="U264" s="3">
        <f>CAPSTONE_PROJECT[[#This Row],[Discharge Date]]-CAPSTONE_PROJECT[[#This Row],[Admission Date]]</f>
        <v>9</v>
      </c>
      <c r="V264" s="6">
        <f>SUM(CAPSTONE_PROJECT[[#This Row],[Room Cost]:[Treatment Cost]])</f>
        <v>10805.09</v>
      </c>
      <c r="W264" s="6">
        <f t="shared" si="4"/>
        <v>1200.5655555555556</v>
      </c>
      <c r="X264" s="3" t="str">
        <f>TEXT(CAPSTONE_PROJECT[[#This Row],[Admission Date]],"mmmm")</f>
        <v>November</v>
      </c>
      <c r="Y264" s="3" t="str">
        <f>TEXT(CAPSTONE_PROJECT[[#This Row],[Admission Date]],"yyyy")</f>
        <v>2025</v>
      </c>
      <c r="Z264" s="3" t="str">
        <f>TEXT(CAPSTONE_PROJECT[[#This Row],[Admission Date]],"mmm yyyy")</f>
        <v>Nov 2025</v>
      </c>
      <c r="AA264" s="3" t="str">
        <f>TEXT(CAPSTONE_PROJECT[[#This Row],[Admission Date]],"dddd")</f>
        <v>Wednesday</v>
      </c>
      <c r="AB264" s="3" t="str">
        <f>IF(CAPSTONE_PROJECT[[#This Row],[Age]]&lt;=34,"Young Adults",IF(CAPSTONE_PROJECT[[#This Row],[Age]]&lt;=59,"Adults","Elders"))</f>
        <v>Adults</v>
      </c>
      <c r="AC264" s="3" t="str">
        <f>_xlfn.XLOOKUP(CAPSTONE_PROJECT[[#This Row],[Patient ID]],'Lookup table'!A:A,'Lookup table'!B:B,,0)</f>
        <v>David V Wood</v>
      </c>
      <c r="AD264" s="3" t="str">
        <f>_xlfn.XLOOKUP(CAPSTONE_PROJECT[[#This Row],[Patient ID]],'Lookup table'!A:A,'Lookup table'!C:C,,0)</f>
        <v>Male</v>
      </c>
      <c r="AE264" s="3" t="str">
        <f>IF(CAPSTONE_PROJECT[[#This Row],[Length of Stay]]&lt;=3,"Short Stay",IF(CAPSTONE_PROJECT[[#This Row],[Length of Stay]]&lt;=7,"Moderate Stay",IF(CAPSTONE_PROJECT[[#This Row],[Length of Stay]]&lt;=14,"Long Stay","Extended Stay")))</f>
        <v>Long Stay</v>
      </c>
    </row>
    <row r="265" spans="1:31" x14ac:dyDescent="0.3">
      <c r="A265" s="3" t="s">
        <v>587</v>
      </c>
      <c r="B265" s="4">
        <v>45815</v>
      </c>
      <c r="C265" s="4">
        <v>45821</v>
      </c>
      <c r="D265" s="4">
        <v>22194</v>
      </c>
      <c r="E265" s="3">
        <v>65</v>
      </c>
      <c r="F265" s="3" t="s">
        <v>18</v>
      </c>
      <c r="G265" s="3" t="s">
        <v>40</v>
      </c>
      <c r="H265" s="3" t="s">
        <v>72</v>
      </c>
      <c r="I265" s="3" t="s">
        <v>37</v>
      </c>
      <c r="J265" s="3" t="s">
        <v>30</v>
      </c>
      <c r="K265" s="3" t="s">
        <v>50</v>
      </c>
      <c r="L265" s="6">
        <v>1744.09</v>
      </c>
      <c r="M265" s="6">
        <v>143.02000000000001</v>
      </c>
      <c r="N265" s="6">
        <v>2945.74</v>
      </c>
      <c r="O265" s="6">
        <v>7501.66</v>
      </c>
      <c r="P265" s="3" t="s">
        <v>25</v>
      </c>
      <c r="Q265" s="3" t="s">
        <v>1076</v>
      </c>
      <c r="R265" s="3" t="s">
        <v>54</v>
      </c>
      <c r="S265" s="3" t="s">
        <v>588</v>
      </c>
      <c r="T265" s="3">
        <v>7</v>
      </c>
      <c r="U265" s="3">
        <f>CAPSTONE_PROJECT[[#This Row],[Discharge Date]]-CAPSTONE_PROJECT[[#This Row],[Admission Date]]</f>
        <v>6</v>
      </c>
      <c r="V265" s="6">
        <f>SUM(CAPSTONE_PROJECT[[#This Row],[Room Cost]:[Treatment Cost]])</f>
        <v>12334.509999999998</v>
      </c>
      <c r="W265" s="6">
        <f t="shared" si="4"/>
        <v>2055.7516666666666</v>
      </c>
      <c r="X265" s="3" t="str">
        <f>TEXT(CAPSTONE_PROJECT[[#This Row],[Admission Date]],"mmmm")</f>
        <v>June</v>
      </c>
      <c r="Y265" s="3" t="str">
        <f>TEXT(CAPSTONE_PROJECT[[#This Row],[Admission Date]],"yyyy")</f>
        <v>2025</v>
      </c>
      <c r="Z265" s="3" t="str">
        <f>TEXT(CAPSTONE_PROJECT[[#This Row],[Admission Date]],"mmm yyyy")</f>
        <v>Jun 2025</v>
      </c>
      <c r="AA265" s="3" t="str">
        <f>TEXT(CAPSTONE_PROJECT[[#This Row],[Admission Date]],"dddd")</f>
        <v>Saturday</v>
      </c>
      <c r="AB265" s="3" t="str">
        <f>IF(CAPSTONE_PROJECT[[#This Row],[Age]]&lt;=34,"Young Adults",IF(CAPSTONE_PROJECT[[#This Row],[Age]]&lt;=59,"Adults","Elders"))</f>
        <v>Elders</v>
      </c>
      <c r="AC265" s="3" t="str">
        <f>_xlfn.XLOOKUP(CAPSTONE_PROJECT[[#This Row],[Patient ID]],'Lookup table'!A:A,'Lookup table'!B:B,,0)</f>
        <v>Emily Thompson</v>
      </c>
      <c r="AD265" s="3" t="str">
        <f>_xlfn.XLOOKUP(CAPSTONE_PROJECT[[#This Row],[Patient ID]],'Lookup table'!A:A,'Lookup table'!C:C,,0)</f>
        <v>Female</v>
      </c>
      <c r="AE265" s="3" t="str">
        <f>IF(CAPSTONE_PROJECT[[#This Row],[Length of Stay]]&lt;=3,"Short Stay",IF(CAPSTONE_PROJECT[[#This Row],[Length of Stay]]&lt;=7,"Moderate Stay",IF(CAPSTONE_PROJECT[[#This Row],[Length of Stay]]&lt;=14,"Long Stay","Extended Stay")))</f>
        <v>Moderate Stay</v>
      </c>
    </row>
    <row r="266" spans="1:31" x14ac:dyDescent="0.3">
      <c r="A266" s="3" t="s">
        <v>589</v>
      </c>
      <c r="B266" s="4">
        <v>45782</v>
      </c>
      <c r="C266" s="4">
        <v>45784</v>
      </c>
      <c r="D266" s="4">
        <v>21715</v>
      </c>
      <c r="E266" s="3">
        <v>66</v>
      </c>
      <c r="F266" s="3" t="s">
        <v>18</v>
      </c>
      <c r="G266" s="3" t="s">
        <v>126</v>
      </c>
      <c r="H266" s="3" t="s">
        <v>104</v>
      </c>
      <c r="I266" s="3" t="s">
        <v>13</v>
      </c>
      <c r="J266" s="3" t="s">
        <v>30</v>
      </c>
      <c r="K266" s="3" t="s">
        <v>65</v>
      </c>
      <c r="L266" s="6">
        <v>4160.3599999999997</v>
      </c>
      <c r="M266" s="6">
        <v>648.58000000000004</v>
      </c>
      <c r="N266" s="6">
        <v>1188.3599999999999</v>
      </c>
      <c r="O266" s="6">
        <v>7743.84</v>
      </c>
      <c r="P266" s="3" t="s">
        <v>31</v>
      </c>
      <c r="Q266" s="3" t="s">
        <v>1078</v>
      </c>
      <c r="R266" s="3" t="s">
        <v>58</v>
      </c>
      <c r="S266" s="3" t="s">
        <v>590</v>
      </c>
      <c r="T266" s="3">
        <v>6</v>
      </c>
      <c r="U266" s="3">
        <f>CAPSTONE_PROJECT[[#This Row],[Discharge Date]]-CAPSTONE_PROJECT[[#This Row],[Admission Date]]</f>
        <v>2</v>
      </c>
      <c r="V266" s="6">
        <f>SUM(CAPSTONE_PROJECT[[#This Row],[Room Cost]:[Treatment Cost]])</f>
        <v>13741.14</v>
      </c>
      <c r="W266" s="6">
        <f t="shared" si="4"/>
        <v>6870.57</v>
      </c>
      <c r="X266" s="3" t="str">
        <f>TEXT(CAPSTONE_PROJECT[[#This Row],[Admission Date]],"mmmm")</f>
        <v>May</v>
      </c>
      <c r="Y266" s="3" t="str">
        <f>TEXT(CAPSTONE_PROJECT[[#This Row],[Admission Date]],"yyyy")</f>
        <v>2025</v>
      </c>
      <c r="Z266" s="3" t="str">
        <f>TEXT(CAPSTONE_PROJECT[[#This Row],[Admission Date]],"mmm yyyy")</f>
        <v>May 2025</v>
      </c>
      <c r="AA266" s="3" t="str">
        <f>TEXT(CAPSTONE_PROJECT[[#This Row],[Admission Date]],"dddd")</f>
        <v>Monday</v>
      </c>
      <c r="AB266" s="3" t="str">
        <f>IF(CAPSTONE_PROJECT[[#This Row],[Age]]&lt;=34,"Young Adults",IF(CAPSTONE_PROJECT[[#This Row],[Age]]&lt;=59,"Adults","Elders"))</f>
        <v>Elders</v>
      </c>
      <c r="AC266" s="3" t="str">
        <f>_xlfn.XLOOKUP(CAPSTONE_PROJECT[[#This Row],[Patient ID]],'Lookup table'!A:A,'Lookup table'!B:B,,0)</f>
        <v>Henry Wood</v>
      </c>
      <c r="AD266" s="3" t="str">
        <f>_xlfn.XLOOKUP(CAPSTONE_PROJECT[[#This Row],[Patient ID]],'Lookup table'!A:A,'Lookup table'!C:C,,0)</f>
        <v>Male</v>
      </c>
      <c r="AE266" s="3" t="str">
        <f>IF(CAPSTONE_PROJECT[[#This Row],[Length of Stay]]&lt;=3,"Short Stay",IF(CAPSTONE_PROJECT[[#This Row],[Length of Stay]]&lt;=7,"Moderate Stay",IF(CAPSTONE_PROJECT[[#This Row],[Length of Stay]]&lt;=14,"Long Stay","Extended Stay")))</f>
        <v>Short Stay</v>
      </c>
    </row>
    <row r="267" spans="1:31" x14ac:dyDescent="0.3">
      <c r="A267" s="3" t="s">
        <v>591</v>
      </c>
      <c r="B267" s="4">
        <v>45662</v>
      </c>
      <c r="C267" s="4">
        <v>45681</v>
      </c>
      <c r="D267" s="4">
        <v>24282</v>
      </c>
      <c r="E267" s="3">
        <v>59</v>
      </c>
      <c r="F267" s="3" t="s">
        <v>47</v>
      </c>
      <c r="G267" s="3" t="s">
        <v>126</v>
      </c>
      <c r="H267" s="3" t="s">
        <v>104</v>
      </c>
      <c r="I267" s="3" t="s">
        <v>22</v>
      </c>
      <c r="J267" s="3" t="s">
        <v>30</v>
      </c>
      <c r="K267" s="3" t="s">
        <v>50</v>
      </c>
      <c r="L267" s="6">
        <v>470.78</v>
      </c>
      <c r="M267" s="6">
        <v>903.52</v>
      </c>
      <c r="N267" s="6">
        <v>968.43</v>
      </c>
      <c r="O267" s="6">
        <v>9961.77</v>
      </c>
      <c r="P267" s="3" t="s">
        <v>25</v>
      </c>
      <c r="Q267" s="3" t="s">
        <v>1082</v>
      </c>
      <c r="R267" s="3" t="s">
        <v>54</v>
      </c>
      <c r="S267" s="3" t="s">
        <v>592</v>
      </c>
      <c r="T267" s="3">
        <v>2</v>
      </c>
      <c r="U267" s="3">
        <f>CAPSTONE_PROJECT[[#This Row],[Discharge Date]]-CAPSTONE_PROJECT[[#This Row],[Admission Date]]</f>
        <v>19</v>
      </c>
      <c r="V267" s="6">
        <f>SUM(CAPSTONE_PROJECT[[#This Row],[Room Cost]:[Treatment Cost]])</f>
        <v>12304.5</v>
      </c>
      <c r="W267" s="6">
        <f t="shared" si="4"/>
        <v>647.60526315789468</v>
      </c>
      <c r="X267" s="3" t="str">
        <f>TEXT(CAPSTONE_PROJECT[[#This Row],[Admission Date]],"mmmm")</f>
        <v>January</v>
      </c>
      <c r="Y267" s="3" t="str">
        <f>TEXT(CAPSTONE_PROJECT[[#This Row],[Admission Date]],"yyyy")</f>
        <v>2025</v>
      </c>
      <c r="Z267" s="3" t="str">
        <f>TEXT(CAPSTONE_PROJECT[[#This Row],[Admission Date]],"mmm yyyy")</f>
        <v>Jan 2025</v>
      </c>
      <c r="AA267" s="3" t="str">
        <f>TEXT(CAPSTONE_PROJECT[[#This Row],[Admission Date]],"dddd")</f>
        <v>Sunday</v>
      </c>
      <c r="AB267" s="3" t="str">
        <f>IF(CAPSTONE_PROJECT[[#This Row],[Age]]&lt;=34,"Young Adults",IF(CAPSTONE_PROJECT[[#This Row],[Age]]&lt;=59,"Adults","Elders"))</f>
        <v>Adults</v>
      </c>
      <c r="AC267" s="3" t="str">
        <f>_xlfn.XLOOKUP(CAPSTONE_PROJECT[[#This Row],[Patient ID]],'Lookup table'!A:A,'Lookup table'!B:B,,0)</f>
        <v>Charlotte R Hall</v>
      </c>
      <c r="AD267" s="3" t="str">
        <f>_xlfn.XLOOKUP(CAPSTONE_PROJECT[[#This Row],[Patient ID]],'Lookup table'!A:A,'Lookup table'!C:C,,0)</f>
        <v>Female</v>
      </c>
      <c r="AE267" s="3" t="str">
        <f>IF(CAPSTONE_PROJECT[[#This Row],[Length of Stay]]&lt;=3,"Short Stay",IF(CAPSTONE_PROJECT[[#This Row],[Length of Stay]]&lt;=7,"Moderate Stay",IF(CAPSTONE_PROJECT[[#This Row],[Length of Stay]]&lt;=14,"Long Stay","Extended Stay")))</f>
        <v>Extended Stay</v>
      </c>
    </row>
    <row r="268" spans="1:31" x14ac:dyDescent="0.3">
      <c r="A268" s="3" t="s">
        <v>593</v>
      </c>
      <c r="B268" s="4">
        <v>45936</v>
      </c>
      <c r="C268" s="4">
        <v>45940</v>
      </c>
      <c r="D268" s="4">
        <v>37422</v>
      </c>
      <c r="E268" s="3">
        <v>23</v>
      </c>
      <c r="F268" s="3" t="s">
        <v>18</v>
      </c>
      <c r="G268" s="3" t="s">
        <v>67</v>
      </c>
      <c r="H268" s="3" t="s">
        <v>111</v>
      </c>
      <c r="I268" s="3" t="s">
        <v>13</v>
      </c>
      <c r="J268" s="3" t="s">
        <v>14</v>
      </c>
      <c r="K268" s="3" t="s">
        <v>15</v>
      </c>
      <c r="L268" s="6">
        <v>4784.9399999999996</v>
      </c>
      <c r="M268" s="6">
        <v>870.36</v>
      </c>
      <c r="N268" s="6">
        <v>2288.13</v>
      </c>
      <c r="O268" s="6">
        <v>13308.28</v>
      </c>
      <c r="P268" s="3" t="s">
        <v>16</v>
      </c>
      <c r="Q268" s="3" t="s">
        <v>1086</v>
      </c>
      <c r="R268" s="3" t="s">
        <v>58</v>
      </c>
      <c r="S268" s="3" t="s">
        <v>594</v>
      </c>
      <c r="T268" s="3">
        <v>9</v>
      </c>
      <c r="U268" s="3">
        <f>CAPSTONE_PROJECT[[#This Row],[Discharge Date]]-CAPSTONE_PROJECT[[#This Row],[Admission Date]]</f>
        <v>4</v>
      </c>
      <c r="V268" s="6">
        <f>SUM(CAPSTONE_PROJECT[[#This Row],[Room Cost]:[Treatment Cost]])</f>
        <v>21251.71</v>
      </c>
      <c r="W268" s="6">
        <f t="shared" si="4"/>
        <v>5312.9274999999998</v>
      </c>
      <c r="X268" s="3" t="str">
        <f>TEXT(CAPSTONE_PROJECT[[#This Row],[Admission Date]],"mmmm")</f>
        <v>October</v>
      </c>
      <c r="Y268" s="3" t="str">
        <f>TEXT(CAPSTONE_PROJECT[[#This Row],[Admission Date]],"yyyy")</f>
        <v>2025</v>
      </c>
      <c r="Z268" s="3" t="str">
        <f>TEXT(CAPSTONE_PROJECT[[#This Row],[Admission Date]],"mmm yyyy")</f>
        <v>Oct 2025</v>
      </c>
      <c r="AA268" s="3" t="str">
        <f>TEXT(CAPSTONE_PROJECT[[#This Row],[Admission Date]],"dddd")</f>
        <v>Monday</v>
      </c>
      <c r="AB268" s="3" t="str">
        <f>IF(CAPSTONE_PROJECT[[#This Row],[Age]]&lt;=34,"Young Adults",IF(CAPSTONE_PROJECT[[#This Row],[Age]]&lt;=59,"Adults","Elders"))</f>
        <v>Young Adults</v>
      </c>
      <c r="AC268" s="3" t="str">
        <f>_xlfn.XLOOKUP(CAPSTONE_PROJECT[[#This Row],[Patient ID]],'Lookup table'!A:A,'Lookup table'!B:B,,0)</f>
        <v>George White</v>
      </c>
      <c r="AD268" s="3" t="str">
        <f>_xlfn.XLOOKUP(CAPSTONE_PROJECT[[#This Row],[Patient ID]],'Lookup table'!A:A,'Lookup table'!C:C,,0)</f>
        <v>Male</v>
      </c>
      <c r="AE268" s="3" t="str">
        <f>IF(CAPSTONE_PROJECT[[#This Row],[Length of Stay]]&lt;=3,"Short Stay",IF(CAPSTONE_PROJECT[[#This Row],[Length of Stay]]&lt;=7,"Moderate Stay",IF(CAPSTONE_PROJECT[[#This Row],[Length of Stay]]&lt;=14,"Long Stay","Extended Stay")))</f>
        <v>Moderate Stay</v>
      </c>
    </row>
    <row r="269" spans="1:31" x14ac:dyDescent="0.3">
      <c r="A269" s="3" t="s">
        <v>595</v>
      </c>
      <c r="B269" s="4">
        <v>45515</v>
      </c>
      <c r="C269" s="4">
        <v>45534</v>
      </c>
      <c r="D269" s="4">
        <v>16515</v>
      </c>
      <c r="E269" s="3">
        <v>81</v>
      </c>
      <c r="F269" s="3" t="s">
        <v>8</v>
      </c>
      <c r="G269" s="3" t="s">
        <v>57</v>
      </c>
      <c r="H269" s="3" t="s">
        <v>43</v>
      </c>
      <c r="I269" s="3" t="s">
        <v>22</v>
      </c>
      <c r="J269" s="3" t="s">
        <v>73</v>
      </c>
      <c r="K269" s="3" t="s">
        <v>24</v>
      </c>
      <c r="L269" s="6">
        <v>586.24</v>
      </c>
      <c r="M269" s="6">
        <v>578.48</v>
      </c>
      <c r="N269" s="6">
        <v>2183.7800000000002</v>
      </c>
      <c r="O269" s="6">
        <v>2948.43</v>
      </c>
      <c r="P269" s="3" t="s">
        <v>16</v>
      </c>
      <c r="Q269" s="3" t="s">
        <v>1086</v>
      </c>
      <c r="R269" s="3" t="s">
        <v>19</v>
      </c>
      <c r="S269" s="3" t="s">
        <v>596</v>
      </c>
      <c r="T269" s="3">
        <v>9</v>
      </c>
      <c r="U269" s="3">
        <f>CAPSTONE_PROJECT[[#This Row],[Discharge Date]]-CAPSTONE_PROJECT[[#This Row],[Admission Date]]</f>
        <v>19</v>
      </c>
      <c r="V269" s="6">
        <f>SUM(CAPSTONE_PROJECT[[#This Row],[Room Cost]:[Treatment Cost]])</f>
        <v>6296.93</v>
      </c>
      <c r="W269" s="6">
        <f t="shared" si="4"/>
        <v>331.41736842105263</v>
      </c>
      <c r="X269" s="3" t="str">
        <f>TEXT(CAPSTONE_PROJECT[[#This Row],[Admission Date]],"mmmm")</f>
        <v>August</v>
      </c>
      <c r="Y269" s="3" t="str">
        <f>TEXT(CAPSTONE_PROJECT[[#This Row],[Admission Date]],"yyyy")</f>
        <v>2024</v>
      </c>
      <c r="Z269" s="3" t="str">
        <f>TEXT(CAPSTONE_PROJECT[[#This Row],[Admission Date]],"mmm yyyy")</f>
        <v>Aug 2024</v>
      </c>
      <c r="AA269" s="3" t="str">
        <f>TEXT(CAPSTONE_PROJECT[[#This Row],[Admission Date]],"dddd")</f>
        <v>Sunday</v>
      </c>
      <c r="AB269" s="3" t="str">
        <f>IF(CAPSTONE_PROJECT[[#This Row],[Age]]&lt;=34,"Young Adults",IF(CAPSTONE_PROJECT[[#This Row],[Age]]&lt;=59,"Adults","Elders"))</f>
        <v>Elders</v>
      </c>
      <c r="AC269" s="3" t="str">
        <f>_xlfn.XLOOKUP(CAPSTONE_PROJECT[[#This Row],[Patient ID]],'Lookup table'!A:A,'Lookup table'!B:B,,0)</f>
        <v>Ella Clarke</v>
      </c>
      <c r="AD269" s="3" t="str">
        <f>_xlfn.XLOOKUP(CAPSTONE_PROJECT[[#This Row],[Patient ID]],'Lookup table'!A:A,'Lookup table'!C:C,,0)</f>
        <v>Female</v>
      </c>
      <c r="AE269" s="3" t="str">
        <f>IF(CAPSTONE_PROJECT[[#This Row],[Length of Stay]]&lt;=3,"Short Stay",IF(CAPSTONE_PROJECT[[#This Row],[Length of Stay]]&lt;=7,"Moderate Stay",IF(CAPSTONE_PROJECT[[#This Row],[Length of Stay]]&lt;=14,"Long Stay","Extended Stay")))</f>
        <v>Extended Stay</v>
      </c>
    </row>
    <row r="270" spans="1:31" x14ac:dyDescent="0.3">
      <c r="A270" s="3" t="s">
        <v>597</v>
      </c>
      <c r="B270" s="4">
        <v>45939</v>
      </c>
      <c r="C270" s="4">
        <v>45959</v>
      </c>
      <c r="D270" s="4">
        <v>16753</v>
      </c>
      <c r="E270" s="3">
        <v>80</v>
      </c>
      <c r="F270" s="3" t="s">
        <v>47</v>
      </c>
      <c r="G270" s="3" t="s">
        <v>34</v>
      </c>
      <c r="H270" s="3" t="s">
        <v>29</v>
      </c>
      <c r="I270" s="3" t="s">
        <v>37</v>
      </c>
      <c r="J270" s="3" t="s">
        <v>15</v>
      </c>
      <c r="K270" s="3" t="s">
        <v>50</v>
      </c>
      <c r="L270" s="6">
        <v>2782.88</v>
      </c>
      <c r="M270" s="6">
        <v>1242.49</v>
      </c>
      <c r="N270" s="6">
        <v>637.83000000000004</v>
      </c>
      <c r="O270" s="6">
        <v>14325.18</v>
      </c>
      <c r="P270" s="3" t="s">
        <v>25</v>
      </c>
      <c r="Q270" s="3" t="s">
        <v>1085</v>
      </c>
      <c r="R270" s="3" t="s">
        <v>102</v>
      </c>
      <c r="S270" s="3" t="s">
        <v>598</v>
      </c>
      <c r="T270" s="3">
        <v>10</v>
      </c>
      <c r="U270" s="3">
        <f>CAPSTONE_PROJECT[[#This Row],[Discharge Date]]-CAPSTONE_PROJECT[[#This Row],[Admission Date]]</f>
        <v>20</v>
      </c>
      <c r="V270" s="6">
        <f>SUM(CAPSTONE_PROJECT[[#This Row],[Room Cost]:[Treatment Cost]])</f>
        <v>18988.38</v>
      </c>
      <c r="W270" s="6">
        <f t="shared" si="4"/>
        <v>949.4190000000001</v>
      </c>
      <c r="X270" s="3" t="str">
        <f>TEXT(CAPSTONE_PROJECT[[#This Row],[Admission Date]],"mmmm")</f>
        <v>October</v>
      </c>
      <c r="Y270" s="3" t="str">
        <f>TEXT(CAPSTONE_PROJECT[[#This Row],[Admission Date]],"yyyy")</f>
        <v>2025</v>
      </c>
      <c r="Z270" s="3" t="str">
        <f>TEXT(CAPSTONE_PROJECT[[#This Row],[Admission Date]],"mmm yyyy")</f>
        <v>Oct 2025</v>
      </c>
      <c r="AA270" s="3" t="str">
        <f>TEXT(CAPSTONE_PROJECT[[#This Row],[Admission Date]],"dddd")</f>
        <v>Thursday</v>
      </c>
      <c r="AB270" s="3" t="str">
        <f>IF(CAPSTONE_PROJECT[[#This Row],[Age]]&lt;=34,"Young Adults",IF(CAPSTONE_PROJECT[[#This Row],[Age]]&lt;=59,"Adults","Elders"))</f>
        <v>Elders</v>
      </c>
      <c r="AC270" s="3" t="str">
        <f>_xlfn.XLOOKUP(CAPSTONE_PROJECT[[#This Row],[Patient ID]],'Lookup table'!A:A,'Lookup table'!B:B,,0)</f>
        <v>George Walker</v>
      </c>
      <c r="AD270" s="3" t="str">
        <f>_xlfn.XLOOKUP(CAPSTONE_PROJECT[[#This Row],[Patient ID]],'Lookup table'!A:A,'Lookup table'!C:C,,0)</f>
        <v>Male</v>
      </c>
      <c r="AE270" s="3" t="str">
        <f>IF(CAPSTONE_PROJECT[[#This Row],[Length of Stay]]&lt;=3,"Short Stay",IF(CAPSTONE_PROJECT[[#This Row],[Length of Stay]]&lt;=7,"Moderate Stay",IF(CAPSTONE_PROJECT[[#This Row],[Length of Stay]]&lt;=14,"Long Stay","Extended Stay")))</f>
        <v>Extended Stay</v>
      </c>
    </row>
    <row r="271" spans="1:31" x14ac:dyDescent="0.3">
      <c r="A271" s="3" t="s">
        <v>599</v>
      </c>
      <c r="B271" s="4">
        <v>45736</v>
      </c>
      <c r="C271" s="4">
        <v>45748</v>
      </c>
      <c r="D271" s="4">
        <v>26778</v>
      </c>
      <c r="E271" s="3">
        <v>53</v>
      </c>
      <c r="F271" s="3" t="s">
        <v>8</v>
      </c>
      <c r="G271" s="3" t="s">
        <v>126</v>
      </c>
      <c r="H271" s="3" t="s">
        <v>114</v>
      </c>
      <c r="I271" s="3" t="s">
        <v>44</v>
      </c>
      <c r="J271" s="3" t="s">
        <v>14</v>
      </c>
      <c r="K271" s="3" t="s">
        <v>65</v>
      </c>
      <c r="L271" s="6">
        <v>3407.02</v>
      </c>
      <c r="M271" s="6">
        <v>1104.8599999999999</v>
      </c>
      <c r="N271" s="6">
        <v>1949.5</v>
      </c>
      <c r="O271" s="6">
        <v>7731.25</v>
      </c>
      <c r="P271" s="3" t="s">
        <v>51</v>
      </c>
      <c r="Q271" s="3" t="s">
        <v>1086</v>
      </c>
      <c r="R271" s="3" t="s">
        <v>62</v>
      </c>
      <c r="S271" s="3" t="s">
        <v>600</v>
      </c>
      <c r="T271" s="3">
        <v>3</v>
      </c>
      <c r="U271" s="3">
        <f>CAPSTONE_PROJECT[[#This Row],[Discharge Date]]-CAPSTONE_PROJECT[[#This Row],[Admission Date]]</f>
        <v>12</v>
      </c>
      <c r="V271" s="6">
        <f>SUM(CAPSTONE_PROJECT[[#This Row],[Room Cost]:[Treatment Cost]])</f>
        <v>14192.630000000001</v>
      </c>
      <c r="W271" s="6">
        <f t="shared" si="4"/>
        <v>1182.7191666666668</v>
      </c>
      <c r="X271" s="3" t="str">
        <f>TEXT(CAPSTONE_PROJECT[[#This Row],[Admission Date]],"mmmm")</f>
        <v>March</v>
      </c>
      <c r="Y271" s="3" t="str">
        <f>TEXT(CAPSTONE_PROJECT[[#This Row],[Admission Date]],"yyyy")</f>
        <v>2025</v>
      </c>
      <c r="Z271" s="3" t="str">
        <f>TEXT(CAPSTONE_PROJECT[[#This Row],[Admission Date]],"mmm yyyy")</f>
        <v>Mar 2025</v>
      </c>
      <c r="AA271" s="3" t="str">
        <f>TEXT(CAPSTONE_PROJECT[[#This Row],[Admission Date]],"dddd")</f>
        <v>Thursday</v>
      </c>
      <c r="AB271" s="3" t="str">
        <f>IF(CAPSTONE_PROJECT[[#This Row],[Age]]&lt;=34,"Young Adults",IF(CAPSTONE_PROJECT[[#This Row],[Age]]&lt;=59,"Adults","Elders"))</f>
        <v>Adults</v>
      </c>
      <c r="AC271" s="3" t="str">
        <f>_xlfn.XLOOKUP(CAPSTONE_PROJECT[[#This Row],[Patient ID]],'Lookup table'!A:A,'Lookup table'!B:B,,0)</f>
        <v>Lily Jones</v>
      </c>
      <c r="AD271" s="3" t="str">
        <f>_xlfn.XLOOKUP(CAPSTONE_PROJECT[[#This Row],[Patient ID]],'Lookup table'!A:A,'Lookup table'!C:C,,0)</f>
        <v>Female</v>
      </c>
      <c r="AE271" s="3" t="str">
        <f>IF(CAPSTONE_PROJECT[[#This Row],[Length of Stay]]&lt;=3,"Short Stay",IF(CAPSTONE_PROJECT[[#This Row],[Length of Stay]]&lt;=7,"Moderate Stay",IF(CAPSTONE_PROJECT[[#This Row],[Length of Stay]]&lt;=14,"Long Stay","Extended Stay")))</f>
        <v>Long Stay</v>
      </c>
    </row>
    <row r="272" spans="1:31" x14ac:dyDescent="0.3">
      <c r="A272" s="3" t="s">
        <v>601</v>
      </c>
      <c r="B272" s="4">
        <v>45404</v>
      </c>
      <c r="C272" s="4">
        <v>45405</v>
      </c>
      <c r="D272" s="4">
        <v>25385</v>
      </c>
      <c r="E272" s="3">
        <v>56</v>
      </c>
      <c r="F272" s="3" t="s">
        <v>47</v>
      </c>
      <c r="G272" s="3" t="s">
        <v>57</v>
      </c>
      <c r="H272" s="3" t="s">
        <v>43</v>
      </c>
      <c r="I272" s="3" t="s">
        <v>13</v>
      </c>
      <c r="J272" s="3" t="s">
        <v>23</v>
      </c>
      <c r="K272" s="3" t="s">
        <v>24</v>
      </c>
      <c r="L272" s="6">
        <v>611.35</v>
      </c>
      <c r="M272" s="6">
        <v>598.37</v>
      </c>
      <c r="N272" s="6">
        <v>727.86</v>
      </c>
      <c r="O272" s="6">
        <v>8500.51</v>
      </c>
      <c r="P272" s="3" t="s">
        <v>1083</v>
      </c>
      <c r="Q272" s="3" t="s">
        <v>1085</v>
      </c>
      <c r="R272" s="3" t="s">
        <v>75</v>
      </c>
      <c r="S272" s="3" t="s">
        <v>602</v>
      </c>
      <c r="T272" s="3">
        <v>10</v>
      </c>
      <c r="U272" s="3">
        <f>CAPSTONE_PROJECT[[#This Row],[Discharge Date]]-CAPSTONE_PROJECT[[#This Row],[Admission Date]]</f>
        <v>1</v>
      </c>
      <c r="V272" s="6">
        <f>SUM(CAPSTONE_PROJECT[[#This Row],[Room Cost]:[Treatment Cost]])</f>
        <v>10438.09</v>
      </c>
      <c r="W272" s="6">
        <f t="shared" si="4"/>
        <v>10438.09</v>
      </c>
      <c r="X272" s="3" t="str">
        <f>TEXT(CAPSTONE_PROJECT[[#This Row],[Admission Date]],"mmmm")</f>
        <v>April</v>
      </c>
      <c r="Y272" s="3" t="str">
        <f>TEXT(CAPSTONE_PROJECT[[#This Row],[Admission Date]],"yyyy")</f>
        <v>2024</v>
      </c>
      <c r="Z272" s="3" t="str">
        <f>TEXT(CAPSTONE_PROJECT[[#This Row],[Admission Date]],"mmm yyyy")</f>
        <v>Apr 2024</v>
      </c>
      <c r="AA272" s="3" t="str">
        <f>TEXT(CAPSTONE_PROJECT[[#This Row],[Admission Date]],"dddd")</f>
        <v>Monday</v>
      </c>
      <c r="AB272" s="3" t="str">
        <f>IF(CAPSTONE_PROJECT[[#This Row],[Age]]&lt;=34,"Young Adults",IF(CAPSTONE_PROJECT[[#This Row],[Age]]&lt;=59,"Adults","Elders"))</f>
        <v>Adults</v>
      </c>
      <c r="AC272" s="3" t="str">
        <f>_xlfn.XLOOKUP(CAPSTONE_PROJECT[[#This Row],[Patient ID]],'Lookup table'!A:A,'Lookup table'!B:B,,0)</f>
        <v>Leo Y Walker</v>
      </c>
      <c r="AD272" s="3" t="str">
        <f>_xlfn.XLOOKUP(CAPSTONE_PROJECT[[#This Row],[Patient ID]],'Lookup table'!A:A,'Lookup table'!C:C,,0)</f>
        <v>Male</v>
      </c>
      <c r="AE272" s="3" t="str">
        <f>IF(CAPSTONE_PROJECT[[#This Row],[Length of Stay]]&lt;=3,"Short Stay",IF(CAPSTONE_PROJECT[[#This Row],[Length of Stay]]&lt;=7,"Moderate Stay",IF(CAPSTONE_PROJECT[[#This Row],[Length of Stay]]&lt;=14,"Long Stay","Extended Stay")))</f>
        <v>Short Stay</v>
      </c>
    </row>
    <row r="273" spans="1:31" x14ac:dyDescent="0.3">
      <c r="A273" s="3" t="s">
        <v>603</v>
      </c>
      <c r="B273" s="4">
        <v>45849</v>
      </c>
      <c r="C273" s="4">
        <v>45859</v>
      </c>
      <c r="D273" s="4">
        <v>35434</v>
      </c>
      <c r="E273" s="3">
        <v>29</v>
      </c>
      <c r="F273" s="3" t="s">
        <v>8</v>
      </c>
      <c r="G273" s="3" t="s">
        <v>40</v>
      </c>
      <c r="H273" s="3" t="s">
        <v>100</v>
      </c>
      <c r="I273" s="3" t="s">
        <v>37</v>
      </c>
      <c r="J273" s="3" t="s">
        <v>30</v>
      </c>
      <c r="K273" s="3" t="s">
        <v>65</v>
      </c>
      <c r="L273" s="6">
        <v>3145.33</v>
      </c>
      <c r="M273" s="6">
        <v>1907.24</v>
      </c>
      <c r="N273" s="6">
        <v>145.22</v>
      </c>
      <c r="O273" s="6">
        <v>10920.72</v>
      </c>
      <c r="P273" s="3" t="s">
        <v>51</v>
      </c>
      <c r="Q273" s="3" t="s">
        <v>1081</v>
      </c>
      <c r="R273" s="3" t="s">
        <v>10</v>
      </c>
      <c r="S273" s="3" t="s">
        <v>604</v>
      </c>
      <c r="T273" s="3">
        <v>1</v>
      </c>
      <c r="U273" s="3">
        <f>CAPSTONE_PROJECT[[#This Row],[Discharge Date]]-CAPSTONE_PROJECT[[#This Row],[Admission Date]]</f>
        <v>10</v>
      </c>
      <c r="V273" s="6">
        <f>SUM(CAPSTONE_PROJECT[[#This Row],[Room Cost]:[Treatment Cost]])</f>
        <v>16118.509999999998</v>
      </c>
      <c r="W273" s="6">
        <f t="shared" si="4"/>
        <v>1611.8509999999999</v>
      </c>
      <c r="X273" s="3" t="str">
        <f>TEXT(CAPSTONE_PROJECT[[#This Row],[Admission Date]],"mmmm")</f>
        <v>July</v>
      </c>
      <c r="Y273" s="3" t="str">
        <f>TEXT(CAPSTONE_PROJECT[[#This Row],[Admission Date]],"yyyy")</f>
        <v>2025</v>
      </c>
      <c r="Z273" s="3" t="str">
        <f>TEXT(CAPSTONE_PROJECT[[#This Row],[Admission Date]],"mmm yyyy")</f>
        <v>Jul 2025</v>
      </c>
      <c r="AA273" s="3" t="str">
        <f>TEXT(CAPSTONE_PROJECT[[#This Row],[Admission Date]],"dddd")</f>
        <v>Friday</v>
      </c>
      <c r="AB273" s="3" t="str">
        <f>IF(CAPSTONE_PROJECT[[#This Row],[Age]]&lt;=34,"Young Adults",IF(CAPSTONE_PROJECT[[#This Row],[Age]]&lt;=59,"Adults","Elders"))</f>
        <v>Young Adults</v>
      </c>
      <c r="AC273" s="3" t="str">
        <f>_xlfn.XLOOKUP(CAPSTONE_PROJECT[[#This Row],[Patient ID]],'Lookup table'!A:A,'Lookup table'!B:B,,0)</f>
        <v>Lily Clarke</v>
      </c>
      <c r="AD273" s="3" t="str">
        <f>_xlfn.XLOOKUP(CAPSTONE_PROJECT[[#This Row],[Patient ID]],'Lookup table'!A:A,'Lookup table'!C:C,,0)</f>
        <v>Female</v>
      </c>
      <c r="AE273" s="3" t="str">
        <f>IF(CAPSTONE_PROJECT[[#This Row],[Length of Stay]]&lt;=3,"Short Stay",IF(CAPSTONE_PROJECT[[#This Row],[Length of Stay]]&lt;=7,"Moderate Stay",IF(CAPSTONE_PROJECT[[#This Row],[Length of Stay]]&lt;=14,"Long Stay","Extended Stay")))</f>
        <v>Long Stay</v>
      </c>
    </row>
    <row r="274" spans="1:31" x14ac:dyDescent="0.3">
      <c r="A274" s="3" t="s">
        <v>605</v>
      </c>
      <c r="B274" s="4">
        <v>45634</v>
      </c>
      <c r="C274" s="4">
        <v>45654</v>
      </c>
      <c r="D274" s="4">
        <v>20653</v>
      </c>
      <c r="E274" s="3">
        <v>69</v>
      </c>
      <c r="F274" s="3" t="s">
        <v>8</v>
      </c>
      <c r="G274" s="3" t="s">
        <v>67</v>
      </c>
      <c r="H274" s="3" t="s">
        <v>114</v>
      </c>
      <c r="I274" s="3" t="s">
        <v>13</v>
      </c>
      <c r="J274" s="3" t="s">
        <v>38</v>
      </c>
      <c r="K274" s="3" t="s">
        <v>65</v>
      </c>
      <c r="L274" s="6">
        <v>2395.4699999999998</v>
      </c>
      <c r="M274" s="6">
        <v>730.74</v>
      </c>
      <c r="N274" s="6">
        <v>2690.76</v>
      </c>
      <c r="O274" s="6">
        <v>2931.84</v>
      </c>
      <c r="P274" s="3" t="s">
        <v>25</v>
      </c>
      <c r="Q274" s="3" t="s">
        <v>1082</v>
      </c>
      <c r="R274" s="3" t="s">
        <v>19</v>
      </c>
      <c r="S274" s="3" t="s">
        <v>606</v>
      </c>
      <c r="T274" s="3">
        <v>6</v>
      </c>
      <c r="U274" s="3">
        <f>CAPSTONE_PROJECT[[#This Row],[Discharge Date]]-CAPSTONE_PROJECT[[#This Row],[Admission Date]]</f>
        <v>20</v>
      </c>
      <c r="V274" s="6">
        <f>SUM(CAPSTONE_PROJECT[[#This Row],[Room Cost]:[Treatment Cost]])</f>
        <v>8748.8100000000013</v>
      </c>
      <c r="W274" s="6">
        <f t="shared" si="4"/>
        <v>437.44050000000004</v>
      </c>
      <c r="X274" s="3" t="str">
        <f>TEXT(CAPSTONE_PROJECT[[#This Row],[Admission Date]],"mmmm")</f>
        <v>December</v>
      </c>
      <c r="Y274" s="3" t="str">
        <f>TEXT(CAPSTONE_PROJECT[[#This Row],[Admission Date]],"yyyy")</f>
        <v>2024</v>
      </c>
      <c r="Z274" s="3" t="str">
        <f>TEXT(CAPSTONE_PROJECT[[#This Row],[Admission Date]],"mmm yyyy")</f>
        <v>Dec 2024</v>
      </c>
      <c r="AA274" s="3" t="str">
        <f>TEXT(CAPSTONE_PROJECT[[#This Row],[Admission Date]],"dddd")</f>
        <v>Sunday</v>
      </c>
      <c r="AB274" s="3" t="str">
        <f>IF(CAPSTONE_PROJECT[[#This Row],[Age]]&lt;=34,"Young Adults",IF(CAPSTONE_PROJECT[[#This Row],[Age]]&lt;=59,"Adults","Elders"))</f>
        <v>Elders</v>
      </c>
      <c r="AC274" s="3" t="str">
        <f>_xlfn.XLOOKUP(CAPSTONE_PROJECT[[#This Row],[Patient ID]],'Lookup table'!A:A,'Lookup table'!B:B,,0)</f>
        <v>Ethan I Jones</v>
      </c>
      <c r="AD274" s="3" t="str">
        <f>_xlfn.XLOOKUP(CAPSTONE_PROJECT[[#This Row],[Patient ID]],'Lookup table'!A:A,'Lookup table'!C:C,,0)</f>
        <v>Male</v>
      </c>
      <c r="AE274" s="3" t="str">
        <f>IF(CAPSTONE_PROJECT[[#This Row],[Length of Stay]]&lt;=3,"Short Stay",IF(CAPSTONE_PROJECT[[#This Row],[Length of Stay]]&lt;=7,"Moderate Stay",IF(CAPSTONE_PROJECT[[#This Row],[Length of Stay]]&lt;=14,"Long Stay","Extended Stay")))</f>
        <v>Extended Stay</v>
      </c>
    </row>
    <row r="275" spans="1:31" x14ac:dyDescent="0.3">
      <c r="A275" s="3" t="s">
        <v>607</v>
      </c>
      <c r="B275" s="4">
        <v>45726</v>
      </c>
      <c r="C275" s="4">
        <v>45742</v>
      </c>
      <c r="D275" s="4">
        <v>24639</v>
      </c>
      <c r="E275" s="3">
        <v>58</v>
      </c>
      <c r="F275" s="3" t="s">
        <v>18</v>
      </c>
      <c r="G275" s="3" t="s">
        <v>53</v>
      </c>
      <c r="H275" s="3" t="s">
        <v>111</v>
      </c>
      <c r="I275" s="3" t="s">
        <v>44</v>
      </c>
      <c r="J275" s="3" t="s">
        <v>14</v>
      </c>
      <c r="K275" s="3" t="s">
        <v>24</v>
      </c>
      <c r="L275" s="6">
        <v>276.24</v>
      </c>
      <c r="M275" s="6">
        <v>1037.8800000000001</v>
      </c>
      <c r="N275" s="6">
        <v>2820.16</v>
      </c>
      <c r="O275" s="6">
        <v>749.28</v>
      </c>
      <c r="P275" s="3" t="s">
        <v>51</v>
      </c>
      <c r="Q275" s="3" t="s">
        <v>1076</v>
      </c>
      <c r="R275" s="3" t="s">
        <v>19</v>
      </c>
      <c r="S275" s="3" t="s">
        <v>608</v>
      </c>
      <c r="T275" s="3">
        <v>7</v>
      </c>
      <c r="U275" s="3">
        <f>CAPSTONE_PROJECT[[#This Row],[Discharge Date]]-CAPSTONE_PROJECT[[#This Row],[Admission Date]]</f>
        <v>16</v>
      </c>
      <c r="V275" s="6">
        <f>SUM(CAPSTONE_PROJECT[[#This Row],[Room Cost]:[Treatment Cost]])</f>
        <v>4883.5599999999995</v>
      </c>
      <c r="W275" s="6">
        <f t="shared" si="4"/>
        <v>305.22249999999997</v>
      </c>
      <c r="X275" s="3" t="str">
        <f>TEXT(CAPSTONE_PROJECT[[#This Row],[Admission Date]],"mmmm")</f>
        <v>March</v>
      </c>
      <c r="Y275" s="3" t="str">
        <f>TEXT(CAPSTONE_PROJECT[[#This Row],[Admission Date]],"yyyy")</f>
        <v>2025</v>
      </c>
      <c r="Z275" s="3" t="str">
        <f>TEXT(CAPSTONE_PROJECT[[#This Row],[Admission Date]],"mmm yyyy")</f>
        <v>Mar 2025</v>
      </c>
      <c r="AA275" s="3" t="str">
        <f>TEXT(CAPSTONE_PROJECT[[#This Row],[Admission Date]],"dddd")</f>
        <v>Monday</v>
      </c>
      <c r="AB275" s="3" t="str">
        <f>IF(CAPSTONE_PROJECT[[#This Row],[Age]]&lt;=34,"Young Adults",IF(CAPSTONE_PROJECT[[#This Row],[Age]]&lt;=59,"Adults","Elders"))</f>
        <v>Adults</v>
      </c>
      <c r="AC275" s="3" t="str">
        <f>_xlfn.XLOOKUP(CAPSTONE_PROJECT[[#This Row],[Patient ID]],'Lookup table'!A:A,'Lookup table'!B:B,,0)</f>
        <v>Mia Taylor</v>
      </c>
      <c r="AD275" s="3" t="str">
        <f>_xlfn.XLOOKUP(CAPSTONE_PROJECT[[#This Row],[Patient ID]],'Lookup table'!A:A,'Lookup table'!C:C,,0)</f>
        <v>Female</v>
      </c>
      <c r="AE275" s="3" t="str">
        <f>IF(CAPSTONE_PROJECT[[#This Row],[Length of Stay]]&lt;=3,"Short Stay",IF(CAPSTONE_PROJECT[[#This Row],[Length of Stay]]&lt;=7,"Moderate Stay",IF(CAPSTONE_PROJECT[[#This Row],[Length of Stay]]&lt;=14,"Long Stay","Extended Stay")))</f>
        <v>Extended Stay</v>
      </c>
    </row>
    <row r="276" spans="1:31" x14ac:dyDescent="0.3">
      <c r="A276" s="3" t="s">
        <v>609</v>
      </c>
      <c r="B276" s="4">
        <v>45434</v>
      </c>
      <c r="C276" s="4">
        <v>45444</v>
      </c>
      <c r="D276" s="4">
        <v>37784</v>
      </c>
      <c r="E276" s="3">
        <v>23</v>
      </c>
      <c r="F276" s="3" t="s">
        <v>18</v>
      </c>
      <c r="G276" s="3" t="s">
        <v>53</v>
      </c>
      <c r="H276" s="3" t="s">
        <v>1080</v>
      </c>
      <c r="I276" s="3" t="s">
        <v>37</v>
      </c>
      <c r="J276" s="3" t="s">
        <v>38</v>
      </c>
      <c r="K276" s="3" t="s">
        <v>50</v>
      </c>
      <c r="L276" s="6">
        <v>1264.9000000000001</v>
      </c>
      <c r="M276" s="6">
        <v>177.62</v>
      </c>
      <c r="N276" s="6">
        <v>1064.07</v>
      </c>
      <c r="O276" s="6">
        <v>1140.8900000000001</v>
      </c>
      <c r="P276" s="3" t="s">
        <v>1083</v>
      </c>
      <c r="Q276" s="3" t="s">
        <v>1078</v>
      </c>
      <c r="R276" s="3" t="s">
        <v>58</v>
      </c>
      <c r="S276" s="3" t="s">
        <v>610</v>
      </c>
      <c r="T276" s="3">
        <v>4</v>
      </c>
      <c r="U276" s="3">
        <f>CAPSTONE_PROJECT[[#This Row],[Discharge Date]]-CAPSTONE_PROJECT[[#This Row],[Admission Date]]</f>
        <v>10</v>
      </c>
      <c r="V276" s="6">
        <f>SUM(CAPSTONE_PROJECT[[#This Row],[Room Cost]:[Treatment Cost]])</f>
        <v>3647.4800000000005</v>
      </c>
      <c r="W276" s="6">
        <f t="shared" si="4"/>
        <v>364.74800000000005</v>
      </c>
      <c r="X276" s="3" t="str">
        <f>TEXT(CAPSTONE_PROJECT[[#This Row],[Admission Date]],"mmmm")</f>
        <v>May</v>
      </c>
      <c r="Y276" s="3" t="str">
        <f>TEXT(CAPSTONE_PROJECT[[#This Row],[Admission Date]],"yyyy")</f>
        <v>2024</v>
      </c>
      <c r="Z276" s="3" t="str">
        <f>TEXT(CAPSTONE_PROJECT[[#This Row],[Admission Date]],"mmm yyyy")</f>
        <v>May 2024</v>
      </c>
      <c r="AA276" s="3" t="str">
        <f>TEXT(CAPSTONE_PROJECT[[#This Row],[Admission Date]],"dddd")</f>
        <v>Wednesday</v>
      </c>
      <c r="AB276" s="3" t="str">
        <f>IF(CAPSTONE_PROJECT[[#This Row],[Age]]&lt;=34,"Young Adults",IF(CAPSTONE_PROJECT[[#This Row],[Age]]&lt;=59,"Adults","Elders"))</f>
        <v>Young Adults</v>
      </c>
      <c r="AC276" s="3" t="str">
        <f>_xlfn.XLOOKUP(CAPSTONE_PROJECT[[#This Row],[Patient ID]],'Lookup table'!A:A,'Lookup table'!B:B,,0)</f>
        <v>Lucas Robinson</v>
      </c>
      <c r="AD276" s="3" t="str">
        <f>_xlfn.XLOOKUP(CAPSTONE_PROJECT[[#This Row],[Patient ID]],'Lookup table'!A:A,'Lookup table'!C:C,,0)</f>
        <v>Male</v>
      </c>
      <c r="AE276" s="3" t="str">
        <f>IF(CAPSTONE_PROJECT[[#This Row],[Length of Stay]]&lt;=3,"Short Stay",IF(CAPSTONE_PROJECT[[#This Row],[Length of Stay]]&lt;=7,"Moderate Stay",IF(CAPSTONE_PROJECT[[#This Row],[Length of Stay]]&lt;=14,"Long Stay","Extended Stay")))</f>
        <v>Long Stay</v>
      </c>
    </row>
    <row r="277" spans="1:31" x14ac:dyDescent="0.3">
      <c r="A277" s="3" t="s">
        <v>611</v>
      </c>
      <c r="B277" s="4">
        <v>45435</v>
      </c>
      <c r="C277" s="4">
        <v>45452</v>
      </c>
      <c r="D277" s="4">
        <v>34044</v>
      </c>
      <c r="E277" s="3">
        <v>33</v>
      </c>
      <c r="F277" s="3" t="s">
        <v>18</v>
      </c>
      <c r="G277" s="3" t="s">
        <v>57</v>
      </c>
      <c r="H277" s="3" t="s">
        <v>12</v>
      </c>
      <c r="I277" s="3" t="s">
        <v>22</v>
      </c>
      <c r="J277" s="3" t="s">
        <v>30</v>
      </c>
      <c r="K277" s="3" t="s">
        <v>15</v>
      </c>
      <c r="L277" s="6">
        <v>905.15</v>
      </c>
      <c r="M277" s="6">
        <v>1973.26</v>
      </c>
      <c r="N277" s="6">
        <v>2760.52</v>
      </c>
      <c r="O277" s="6">
        <v>3340.83</v>
      </c>
      <c r="P277" s="3" t="s">
        <v>16</v>
      </c>
      <c r="Q277" s="3" t="s">
        <v>1076</v>
      </c>
      <c r="R277" s="3" t="s">
        <v>41</v>
      </c>
      <c r="S277" s="3" t="s">
        <v>612</v>
      </c>
      <c r="T277" s="3">
        <v>5</v>
      </c>
      <c r="U277" s="3">
        <f>CAPSTONE_PROJECT[[#This Row],[Discharge Date]]-CAPSTONE_PROJECT[[#This Row],[Admission Date]]</f>
        <v>17</v>
      </c>
      <c r="V277" s="6">
        <f>SUM(CAPSTONE_PROJECT[[#This Row],[Room Cost]:[Treatment Cost]])</f>
        <v>8979.76</v>
      </c>
      <c r="W277" s="6">
        <f t="shared" si="4"/>
        <v>528.22117647058826</v>
      </c>
      <c r="X277" s="3" t="str">
        <f>TEXT(CAPSTONE_PROJECT[[#This Row],[Admission Date]],"mmmm")</f>
        <v>May</v>
      </c>
      <c r="Y277" s="3" t="str">
        <f>TEXT(CAPSTONE_PROJECT[[#This Row],[Admission Date]],"yyyy")</f>
        <v>2024</v>
      </c>
      <c r="Z277" s="3" t="str">
        <f>TEXT(CAPSTONE_PROJECT[[#This Row],[Admission Date]],"mmm yyyy")</f>
        <v>May 2024</v>
      </c>
      <c r="AA277" s="3" t="str">
        <f>TEXT(CAPSTONE_PROJECT[[#This Row],[Admission Date]],"dddd")</f>
        <v>Thursday</v>
      </c>
      <c r="AB277" s="3" t="str">
        <f>IF(CAPSTONE_PROJECT[[#This Row],[Age]]&lt;=34,"Young Adults",IF(CAPSTONE_PROJECT[[#This Row],[Age]]&lt;=59,"Adults","Elders"))</f>
        <v>Young Adults</v>
      </c>
      <c r="AC277" s="3" t="str">
        <f>_xlfn.XLOOKUP(CAPSTONE_PROJECT[[#This Row],[Patient ID]],'Lookup table'!A:A,'Lookup table'!B:B,,0)</f>
        <v>Olivia Walker</v>
      </c>
      <c r="AD277" s="3" t="str">
        <f>_xlfn.XLOOKUP(CAPSTONE_PROJECT[[#This Row],[Patient ID]],'Lookup table'!A:A,'Lookup table'!C:C,,0)</f>
        <v>Female</v>
      </c>
      <c r="AE277" s="3" t="str">
        <f>IF(CAPSTONE_PROJECT[[#This Row],[Length of Stay]]&lt;=3,"Short Stay",IF(CAPSTONE_PROJECT[[#This Row],[Length of Stay]]&lt;=7,"Moderate Stay",IF(CAPSTONE_PROJECT[[#This Row],[Length of Stay]]&lt;=14,"Long Stay","Extended Stay")))</f>
        <v>Extended Stay</v>
      </c>
    </row>
    <row r="278" spans="1:31" x14ac:dyDescent="0.3">
      <c r="A278" s="3" t="s">
        <v>613</v>
      </c>
      <c r="B278" s="4">
        <v>45693</v>
      </c>
      <c r="C278" s="4">
        <v>45699</v>
      </c>
      <c r="D278" s="4">
        <v>30689</v>
      </c>
      <c r="E278" s="3">
        <v>42</v>
      </c>
      <c r="F278" s="3" t="s">
        <v>33</v>
      </c>
      <c r="G278" s="3" t="s">
        <v>40</v>
      </c>
      <c r="H278" s="3" t="s">
        <v>104</v>
      </c>
      <c r="I278" s="3" t="s">
        <v>22</v>
      </c>
      <c r="J278" s="3" t="s">
        <v>73</v>
      </c>
      <c r="K278" s="3" t="s">
        <v>24</v>
      </c>
      <c r="L278" s="6">
        <v>656.19</v>
      </c>
      <c r="M278" s="6">
        <v>79.83</v>
      </c>
      <c r="N278" s="6">
        <v>2036.32</v>
      </c>
      <c r="O278" s="6">
        <v>3707.57</v>
      </c>
      <c r="P278" s="3" t="s">
        <v>16</v>
      </c>
      <c r="Q278" s="3" t="s">
        <v>1076</v>
      </c>
      <c r="R278" s="3" t="s">
        <v>62</v>
      </c>
      <c r="S278" s="3" t="s">
        <v>614</v>
      </c>
      <c r="T278" s="3">
        <v>7</v>
      </c>
      <c r="U278" s="3">
        <f>CAPSTONE_PROJECT[[#This Row],[Discharge Date]]-CAPSTONE_PROJECT[[#This Row],[Admission Date]]</f>
        <v>6</v>
      </c>
      <c r="V278" s="6">
        <f>SUM(CAPSTONE_PROJECT[[#This Row],[Room Cost]:[Treatment Cost]])</f>
        <v>6479.91</v>
      </c>
      <c r="W278" s="6">
        <f t="shared" si="4"/>
        <v>1079.9849999999999</v>
      </c>
      <c r="X278" s="3" t="str">
        <f>TEXT(CAPSTONE_PROJECT[[#This Row],[Admission Date]],"mmmm")</f>
        <v>February</v>
      </c>
      <c r="Y278" s="3" t="str">
        <f>TEXT(CAPSTONE_PROJECT[[#This Row],[Admission Date]],"yyyy")</f>
        <v>2025</v>
      </c>
      <c r="Z278" s="3" t="str">
        <f>TEXT(CAPSTONE_PROJECT[[#This Row],[Admission Date]],"mmm yyyy")</f>
        <v>Feb 2025</v>
      </c>
      <c r="AA278" s="3" t="str">
        <f>TEXT(CAPSTONE_PROJECT[[#This Row],[Admission Date]],"dddd")</f>
        <v>Wednesday</v>
      </c>
      <c r="AB278" s="3" t="str">
        <f>IF(CAPSTONE_PROJECT[[#This Row],[Age]]&lt;=34,"Young Adults",IF(CAPSTONE_PROJECT[[#This Row],[Age]]&lt;=59,"Adults","Elders"))</f>
        <v>Adults</v>
      </c>
      <c r="AC278" s="3" t="str">
        <f>_xlfn.XLOOKUP(CAPSTONE_PROJECT[[#This Row],[Patient ID]],'Lookup table'!A:A,'Lookup table'!B:B,,0)</f>
        <v>Noah Thompson</v>
      </c>
      <c r="AD278" s="3" t="str">
        <f>_xlfn.XLOOKUP(CAPSTONE_PROJECT[[#This Row],[Patient ID]],'Lookup table'!A:A,'Lookup table'!C:C,,0)</f>
        <v>Male</v>
      </c>
      <c r="AE278" s="3" t="str">
        <f>IF(CAPSTONE_PROJECT[[#This Row],[Length of Stay]]&lt;=3,"Short Stay",IF(CAPSTONE_PROJECT[[#This Row],[Length of Stay]]&lt;=7,"Moderate Stay",IF(CAPSTONE_PROJECT[[#This Row],[Length of Stay]]&lt;=14,"Long Stay","Extended Stay")))</f>
        <v>Moderate Stay</v>
      </c>
    </row>
    <row r="279" spans="1:31" x14ac:dyDescent="0.3">
      <c r="A279" s="3" t="s">
        <v>615</v>
      </c>
      <c r="B279" s="4">
        <v>45325</v>
      </c>
      <c r="C279" s="4">
        <v>45333</v>
      </c>
      <c r="D279" s="4">
        <v>29332</v>
      </c>
      <c r="E279" s="3">
        <v>46</v>
      </c>
      <c r="F279" s="3" t="s">
        <v>47</v>
      </c>
      <c r="G279" s="3" t="s">
        <v>34</v>
      </c>
      <c r="H279" s="3" t="s">
        <v>12</v>
      </c>
      <c r="I279" s="3" t="s">
        <v>13</v>
      </c>
      <c r="J279" s="3" t="s">
        <v>64</v>
      </c>
      <c r="K279" s="3" t="s">
        <v>65</v>
      </c>
      <c r="L279" s="6">
        <v>4235.1000000000004</v>
      </c>
      <c r="M279" s="6">
        <v>1711.75</v>
      </c>
      <c r="N279" s="6">
        <v>2457.65</v>
      </c>
      <c r="O279" s="6">
        <v>6335.29</v>
      </c>
      <c r="P279" s="3" t="s">
        <v>1083</v>
      </c>
      <c r="Q279" s="3" t="s">
        <v>1086</v>
      </c>
      <c r="R279" s="3" t="s">
        <v>62</v>
      </c>
      <c r="S279" s="3" t="s">
        <v>616</v>
      </c>
      <c r="T279" s="3">
        <v>8</v>
      </c>
      <c r="U279" s="3">
        <f>CAPSTONE_PROJECT[[#This Row],[Discharge Date]]-CAPSTONE_PROJECT[[#This Row],[Admission Date]]</f>
        <v>8</v>
      </c>
      <c r="V279" s="6">
        <f>SUM(CAPSTONE_PROJECT[[#This Row],[Room Cost]:[Treatment Cost]])</f>
        <v>14739.79</v>
      </c>
      <c r="W279" s="6">
        <f t="shared" si="4"/>
        <v>1842.4737500000001</v>
      </c>
      <c r="X279" s="3" t="str">
        <f>TEXT(CAPSTONE_PROJECT[[#This Row],[Admission Date]],"mmmm")</f>
        <v>February</v>
      </c>
      <c r="Y279" s="3" t="str">
        <f>TEXT(CAPSTONE_PROJECT[[#This Row],[Admission Date]],"yyyy")</f>
        <v>2024</v>
      </c>
      <c r="Z279" s="3" t="str">
        <f>TEXT(CAPSTONE_PROJECT[[#This Row],[Admission Date]],"mmm yyyy")</f>
        <v>Feb 2024</v>
      </c>
      <c r="AA279" s="3" t="str">
        <f>TEXT(CAPSTONE_PROJECT[[#This Row],[Admission Date]],"dddd")</f>
        <v>Saturday</v>
      </c>
      <c r="AB279" s="3" t="str">
        <f>IF(CAPSTONE_PROJECT[[#This Row],[Age]]&lt;=34,"Young Adults",IF(CAPSTONE_PROJECT[[#This Row],[Age]]&lt;=59,"Adults","Elders"))</f>
        <v>Adults</v>
      </c>
      <c r="AC279" s="3" t="str">
        <f>_xlfn.XLOOKUP(CAPSTONE_PROJECT[[#This Row],[Patient ID]],'Lookup table'!A:A,'Lookup table'!B:B,,0)</f>
        <v>Freya Taylor</v>
      </c>
      <c r="AD279" s="3" t="str">
        <f>_xlfn.XLOOKUP(CAPSTONE_PROJECT[[#This Row],[Patient ID]],'Lookup table'!A:A,'Lookup table'!C:C,,0)</f>
        <v>Female</v>
      </c>
      <c r="AE279" s="3" t="str">
        <f>IF(CAPSTONE_PROJECT[[#This Row],[Length of Stay]]&lt;=3,"Short Stay",IF(CAPSTONE_PROJECT[[#This Row],[Length of Stay]]&lt;=7,"Moderate Stay",IF(CAPSTONE_PROJECT[[#This Row],[Length of Stay]]&lt;=14,"Long Stay","Extended Stay")))</f>
        <v>Long Stay</v>
      </c>
    </row>
    <row r="280" spans="1:31" x14ac:dyDescent="0.3">
      <c r="A280" s="3" t="s">
        <v>617</v>
      </c>
      <c r="B280" s="4">
        <v>45330</v>
      </c>
      <c r="C280" s="4">
        <v>45340</v>
      </c>
      <c r="D280" s="4">
        <v>27695</v>
      </c>
      <c r="E280" s="3">
        <v>50</v>
      </c>
      <c r="F280" s="3" t="s">
        <v>18</v>
      </c>
      <c r="G280" s="3" t="s">
        <v>57</v>
      </c>
      <c r="H280" s="3" t="s">
        <v>114</v>
      </c>
      <c r="I280" s="3" t="s">
        <v>13</v>
      </c>
      <c r="J280" s="3" t="s">
        <v>23</v>
      </c>
      <c r="K280" s="3" t="s">
        <v>24</v>
      </c>
      <c r="L280" s="6">
        <v>3633</v>
      </c>
      <c r="M280" s="6">
        <v>1517.71</v>
      </c>
      <c r="N280" s="6">
        <v>3015.16</v>
      </c>
      <c r="O280" s="6">
        <v>7026.47</v>
      </c>
      <c r="P280" s="3" t="s">
        <v>31</v>
      </c>
      <c r="Q280" s="3" t="s">
        <v>1081</v>
      </c>
      <c r="R280" s="3" t="s">
        <v>35</v>
      </c>
      <c r="S280" s="3" t="s">
        <v>618</v>
      </c>
      <c r="T280" s="3">
        <v>4</v>
      </c>
      <c r="U280" s="3">
        <f>CAPSTONE_PROJECT[[#This Row],[Discharge Date]]-CAPSTONE_PROJECT[[#This Row],[Admission Date]]</f>
        <v>10</v>
      </c>
      <c r="V280" s="6">
        <f>SUM(CAPSTONE_PROJECT[[#This Row],[Room Cost]:[Treatment Cost]])</f>
        <v>15192.34</v>
      </c>
      <c r="W280" s="6">
        <f t="shared" si="4"/>
        <v>1519.2339999999999</v>
      </c>
      <c r="X280" s="3" t="str">
        <f>TEXT(CAPSTONE_PROJECT[[#This Row],[Admission Date]],"mmmm")</f>
        <v>February</v>
      </c>
      <c r="Y280" s="3" t="str">
        <f>TEXT(CAPSTONE_PROJECT[[#This Row],[Admission Date]],"yyyy")</f>
        <v>2024</v>
      </c>
      <c r="Z280" s="3" t="str">
        <f>TEXT(CAPSTONE_PROJECT[[#This Row],[Admission Date]],"mmm yyyy")</f>
        <v>Feb 2024</v>
      </c>
      <c r="AA280" s="3" t="str">
        <f>TEXT(CAPSTONE_PROJECT[[#This Row],[Admission Date]],"dddd")</f>
        <v>Thursday</v>
      </c>
      <c r="AB280" s="3" t="str">
        <f>IF(CAPSTONE_PROJECT[[#This Row],[Age]]&lt;=34,"Young Adults",IF(CAPSTONE_PROJECT[[#This Row],[Age]]&lt;=59,"Adults","Elders"))</f>
        <v>Adults</v>
      </c>
      <c r="AC280" s="3" t="str">
        <f>_xlfn.XLOOKUP(CAPSTONE_PROJECT[[#This Row],[Patient ID]],'Lookup table'!A:A,'Lookup table'!B:B,,0)</f>
        <v>David Thomas</v>
      </c>
      <c r="AD280" s="3" t="str">
        <f>_xlfn.XLOOKUP(CAPSTONE_PROJECT[[#This Row],[Patient ID]],'Lookup table'!A:A,'Lookup table'!C:C,,0)</f>
        <v>Male</v>
      </c>
      <c r="AE280" s="3" t="str">
        <f>IF(CAPSTONE_PROJECT[[#This Row],[Length of Stay]]&lt;=3,"Short Stay",IF(CAPSTONE_PROJECT[[#This Row],[Length of Stay]]&lt;=7,"Moderate Stay",IF(CAPSTONE_PROJECT[[#This Row],[Length of Stay]]&lt;=14,"Long Stay","Extended Stay")))</f>
        <v>Long Stay</v>
      </c>
    </row>
    <row r="281" spans="1:31" x14ac:dyDescent="0.3">
      <c r="A281" s="3" t="s">
        <v>619</v>
      </c>
      <c r="B281" s="4">
        <v>45368</v>
      </c>
      <c r="C281" s="4">
        <v>45373</v>
      </c>
      <c r="D281" s="4">
        <v>21478</v>
      </c>
      <c r="E281" s="3">
        <v>67</v>
      </c>
      <c r="F281" s="3" t="s">
        <v>47</v>
      </c>
      <c r="G281" s="3" t="s">
        <v>139</v>
      </c>
      <c r="H281" s="3" t="s">
        <v>21</v>
      </c>
      <c r="I281" s="3" t="s">
        <v>37</v>
      </c>
      <c r="J281" s="3" t="s">
        <v>30</v>
      </c>
      <c r="K281" s="3" t="s">
        <v>24</v>
      </c>
      <c r="L281" s="6">
        <v>1638.07</v>
      </c>
      <c r="M281" s="6">
        <v>975.9</v>
      </c>
      <c r="N281" s="6">
        <v>710.63</v>
      </c>
      <c r="O281" s="6">
        <v>6378.23</v>
      </c>
      <c r="P281" s="3" t="s">
        <v>31</v>
      </c>
      <c r="Q281" s="3" t="s">
        <v>1078</v>
      </c>
      <c r="R281" s="3" t="s">
        <v>19</v>
      </c>
      <c r="S281" s="3" t="s">
        <v>620</v>
      </c>
      <c r="T281" s="3">
        <v>5</v>
      </c>
      <c r="U281" s="3">
        <f>CAPSTONE_PROJECT[[#This Row],[Discharge Date]]-CAPSTONE_PROJECT[[#This Row],[Admission Date]]</f>
        <v>5</v>
      </c>
      <c r="V281" s="6">
        <f>SUM(CAPSTONE_PROJECT[[#This Row],[Room Cost]:[Treatment Cost]])</f>
        <v>9702.83</v>
      </c>
      <c r="W281" s="6">
        <f t="shared" si="4"/>
        <v>1940.566</v>
      </c>
      <c r="X281" s="3" t="str">
        <f>TEXT(CAPSTONE_PROJECT[[#This Row],[Admission Date]],"mmmm")</f>
        <v>March</v>
      </c>
      <c r="Y281" s="3" t="str">
        <f>TEXT(CAPSTONE_PROJECT[[#This Row],[Admission Date]],"yyyy")</f>
        <v>2024</v>
      </c>
      <c r="Z281" s="3" t="str">
        <f>TEXT(CAPSTONE_PROJECT[[#This Row],[Admission Date]],"mmm yyyy")</f>
        <v>Mar 2024</v>
      </c>
      <c r="AA281" s="3" t="str">
        <f>TEXT(CAPSTONE_PROJECT[[#This Row],[Admission Date]],"dddd")</f>
        <v>Sunday</v>
      </c>
      <c r="AB281" s="3" t="str">
        <f>IF(CAPSTONE_PROJECT[[#This Row],[Age]]&lt;=34,"Young Adults",IF(CAPSTONE_PROJECT[[#This Row],[Age]]&lt;=59,"Adults","Elders"))</f>
        <v>Elders</v>
      </c>
      <c r="AC281" s="3" t="str">
        <f>_xlfn.XLOOKUP(CAPSTONE_PROJECT[[#This Row],[Patient ID]],'Lookup table'!A:A,'Lookup table'!B:B,,0)</f>
        <v>Olivia W Green</v>
      </c>
      <c r="AD281" s="3" t="str">
        <f>_xlfn.XLOOKUP(CAPSTONE_PROJECT[[#This Row],[Patient ID]],'Lookup table'!A:A,'Lookup table'!C:C,,0)</f>
        <v>Female</v>
      </c>
      <c r="AE281" s="3" t="str">
        <f>IF(CAPSTONE_PROJECT[[#This Row],[Length of Stay]]&lt;=3,"Short Stay",IF(CAPSTONE_PROJECT[[#This Row],[Length of Stay]]&lt;=7,"Moderate Stay",IF(CAPSTONE_PROJECT[[#This Row],[Length of Stay]]&lt;=14,"Long Stay","Extended Stay")))</f>
        <v>Moderate Stay</v>
      </c>
    </row>
    <row r="282" spans="1:31" x14ac:dyDescent="0.3">
      <c r="A282" s="3" t="s">
        <v>621</v>
      </c>
      <c r="B282" s="4">
        <v>45435</v>
      </c>
      <c r="C282" s="4">
        <v>45439</v>
      </c>
      <c r="D282" s="4">
        <v>34202</v>
      </c>
      <c r="E282" s="3">
        <v>32</v>
      </c>
      <c r="F282" s="3" t="s">
        <v>8</v>
      </c>
      <c r="G282" s="3" t="s">
        <v>34</v>
      </c>
      <c r="H282" s="3" t="s">
        <v>21</v>
      </c>
      <c r="I282" s="3" t="s">
        <v>37</v>
      </c>
      <c r="J282" s="3" t="s">
        <v>73</v>
      </c>
      <c r="K282" s="3" t="s">
        <v>65</v>
      </c>
      <c r="L282" s="6">
        <v>2518.58</v>
      </c>
      <c r="M282" s="6">
        <v>1206.96</v>
      </c>
      <c r="N282" s="6">
        <v>1732.9</v>
      </c>
      <c r="O282" s="6">
        <v>3885.06</v>
      </c>
      <c r="P282" s="3" t="s">
        <v>25</v>
      </c>
      <c r="Q282" s="3" t="s">
        <v>1076</v>
      </c>
      <c r="R282" s="3" t="s">
        <v>19</v>
      </c>
      <c r="S282" s="3" t="s">
        <v>622</v>
      </c>
      <c r="T282" s="3">
        <v>10</v>
      </c>
      <c r="U282" s="3">
        <f>CAPSTONE_PROJECT[[#This Row],[Discharge Date]]-CAPSTONE_PROJECT[[#This Row],[Admission Date]]</f>
        <v>4</v>
      </c>
      <c r="V282" s="6">
        <f>SUM(CAPSTONE_PROJECT[[#This Row],[Room Cost]:[Treatment Cost]])</f>
        <v>9343.5</v>
      </c>
      <c r="W282" s="6">
        <f t="shared" si="4"/>
        <v>2335.875</v>
      </c>
      <c r="X282" s="3" t="str">
        <f>TEXT(CAPSTONE_PROJECT[[#This Row],[Admission Date]],"mmmm")</f>
        <v>May</v>
      </c>
      <c r="Y282" s="3" t="str">
        <f>TEXT(CAPSTONE_PROJECT[[#This Row],[Admission Date]],"yyyy")</f>
        <v>2024</v>
      </c>
      <c r="Z282" s="3" t="str">
        <f>TEXT(CAPSTONE_PROJECT[[#This Row],[Admission Date]],"mmm yyyy")</f>
        <v>May 2024</v>
      </c>
      <c r="AA282" s="3" t="str">
        <f>TEXT(CAPSTONE_PROJECT[[#This Row],[Admission Date]],"dddd")</f>
        <v>Thursday</v>
      </c>
      <c r="AB282" s="3" t="str">
        <f>IF(CAPSTONE_PROJECT[[#This Row],[Age]]&lt;=34,"Young Adults",IF(CAPSTONE_PROJECT[[#This Row],[Age]]&lt;=59,"Adults","Elders"))</f>
        <v>Young Adults</v>
      </c>
      <c r="AC282" s="3" t="str">
        <f>_xlfn.XLOOKUP(CAPSTONE_PROJECT[[#This Row],[Patient ID]],'Lookup table'!A:A,'Lookup table'!B:B,,0)</f>
        <v>David Martin</v>
      </c>
      <c r="AD282" s="3" t="str">
        <f>_xlfn.XLOOKUP(CAPSTONE_PROJECT[[#This Row],[Patient ID]],'Lookup table'!A:A,'Lookup table'!C:C,,0)</f>
        <v>Male</v>
      </c>
      <c r="AE282" s="3" t="str">
        <f>IF(CAPSTONE_PROJECT[[#This Row],[Length of Stay]]&lt;=3,"Short Stay",IF(CAPSTONE_PROJECT[[#This Row],[Length of Stay]]&lt;=7,"Moderate Stay",IF(CAPSTONE_PROJECT[[#This Row],[Length of Stay]]&lt;=14,"Long Stay","Extended Stay")))</f>
        <v>Moderate Stay</v>
      </c>
    </row>
    <row r="283" spans="1:31" x14ac:dyDescent="0.3">
      <c r="A283" s="3" t="s">
        <v>623</v>
      </c>
      <c r="B283" s="4">
        <v>45387</v>
      </c>
      <c r="C283" s="4">
        <v>45399</v>
      </c>
      <c r="D283" s="4">
        <v>25437</v>
      </c>
      <c r="E283" s="3">
        <v>56</v>
      </c>
      <c r="F283" s="3" t="s">
        <v>18</v>
      </c>
      <c r="G283" s="3" t="s">
        <v>53</v>
      </c>
      <c r="H283" s="3" t="s">
        <v>1080</v>
      </c>
      <c r="I283" s="3" t="s">
        <v>44</v>
      </c>
      <c r="J283" s="3" t="s">
        <v>38</v>
      </c>
      <c r="K283" s="3" t="s">
        <v>24</v>
      </c>
      <c r="L283" s="6">
        <v>1469.85</v>
      </c>
      <c r="M283" s="6">
        <v>350.01</v>
      </c>
      <c r="N283" s="6">
        <v>504.58</v>
      </c>
      <c r="O283" s="6">
        <v>7985.28</v>
      </c>
      <c r="P283" s="3" t="s">
        <v>16</v>
      </c>
      <c r="Q283" s="3" t="s">
        <v>1077</v>
      </c>
      <c r="R283" s="3" t="s">
        <v>75</v>
      </c>
      <c r="S283" s="3" t="s">
        <v>624</v>
      </c>
      <c r="T283" s="3">
        <v>2</v>
      </c>
      <c r="U283" s="3">
        <f>CAPSTONE_PROJECT[[#This Row],[Discharge Date]]-CAPSTONE_PROJECT[[#This Row],[Admission Date]]</f>
        <v>12</v>
      </c>
      <c r="V283" s="6">
        <f>SUM(CAPSTONE_PROJECT[[#This Row],[Room Cost]:[Treatment Cost]])</f>
        <v>10309.719999999999</v>
      </c>
      <c r="W283" s="6">
        <f t="shared" si="4"/>
        <v>859.14333333333332</v>
      </c>
      <c r="X283" s="3" t="str">
        <f>TEXT(CAPSTONE_PROJECT[[#This Row],[Admission Date]],"mmmm")</f>
        <v>April</v>
      </c>
      <c r="Y283" s="3" t="str">
        <f>TEXT(CAPSTONE_PROJECT[[#This Row],[Admission Date]],"yyyy")</f>
        <v>2024</v>
      </c>
      <c r="Z283" s="3" t="str">
        <f>TEXT(CAPSTONE_PROJECT[[#This Row],[Admission Date]],"mmm yyyy")</f>
        <v>Apr 2024</v>
      </c>
      <c r="AA283" s="3" t="str">
        <f>TEXT(CAPSTONE_PROJECT[[#This Row],[Admission Date]],"dddd")</f>
        <v>Friday</v>
      </c>
      <c r="AB283" s="3" t="str">
        <f>IF(CAPSTONE_PROJECT[[#This Row],[Age]]&lt;=34,"Young Adults",IF(CAPSTONE_PROJECT[[#This Row],[Age]]&lt;=59,"Adults","Elders"))</f>
        <v>Adults</v>
      </c>
      <c r="AC283" s="3" t="str">
        <f>_xlfn.XLOOKUP(CAPSTONE_PROJECT[[#This Row],[Patient ID]],'Lookup table'!A:A,'Lookup table'!B:B,,0)</f>
        <v>Emma N Hall</v>
      </c>
      <c r="AD283" s="3" t="str">
        <f>_xlfn.XLOOKUP(CAPSTONE_PROJECT[[#This Row],[Patient ID]],'Lookup table'!A:A,'Lookup table'!C:C,,0)</f>
        <v>Female</v>
      </c>
      <c r="AE283" s="3" t="str">
        <f>IF(CAPSTONE_PROJECT[[#This Row],[Length of Stay]]&lt;=3,"Short Stay",IF(CAPSTONE_PROJECT[[#This Row],[Length of Stay]]&lt;=7,"Moderate Stay",IF(CAPSTONE_PROJECT[[#This Row],[Length of Stay]]&lt;=14,"Long Stay","Extended Stay")))</f>
        <v>Long Stay</v>
      </c>
    </row>
    <row r="284" spans="1:31" x14ac:dyDescent="0.3">
      <c r="A284" s="3" t="s">
        <v>625</v>
      </c>
      <c r="B284" s="4">
        <v>45662</v>
      </c>
      <c r="C284" s="4">
        <v>45676</v>
      </c>
      <c r="D284" s="4">
        <v>30499</v>
      </c>
      <c r="E284" s="3">
        <v>42</v>
      </c>
      <c r="F284" s="3" t="s">
        <v>33</v>
      </c>
      <c r="G284" s="3" t="s">
        <v>27</v>
      </c>
      <c r="H284" s="3" t="s">
        <v>1080</v>
      </c>
      <c r="I284" s="3" t="s">
        <v>22</v>
      </c>
      <c r="J284" s="3" t="s">
        <v>23</v>
      </c>
      <c r="K284" s="3" t="s">
        <v>65</v>
      </c>
      <c r="L284" s="6">
        <v>2548.4499999999998</v>
      </c>
      <c r="M284" s="6">
        <v>782.1</v>
      </c>
      <c r="N284" s="6">
        <v>2892.29</v>
      </c>
      <c r="O284" s="6">
        <v>7863.02</v>
      </c>
      <c r="P284" s="3" t="s">
        <v>31</v>
      </c>
      <c r="Q284" s="3" t="s">
        <v>1084</v>
      </c>
      <c r="R284" s="3" t="s">
        <v>62</v>
      </c>
      <c r="S284" s="3" t="s">
        <v>626</v>
      </c>
      <c r="T284" s="3">
        <v>5</v>
      </c>
      <c r="U284" s="3">
        <f>CAPSTONE_PROJECT[[#This Row],[Discharge Date]]-CAPSTONE_PROJECT[[#This Row],[Admission Date]]</f>
        <v>14</v>
      </c>
      <c r="V284" s="6">
        <f>SUM(CAPSTONE_PROJECT[[#This Row],[Room Cost]:[Treatment Cost]])</f>
        <v>14085.86</v>
      </c>
      <c r="W284" s="6">
        <f t="shared" si="4"/>
        <v>1006.1328571428572</v>
      </c>
      <c r="X284" s="3" t="str">
        <f>TEXT(CAPSTONE_PROJECT[[#This Row],[Admission Date]],"mmmm")</f>
        <v>January</v>
      </c>
      <c r="Y284" s="3" t="str">
        <f>TEXT(CAPSTONE_PROJECT[[#This Row],[Admission Date]],"yyyy")</f>
        <v>2025</v>
      </c>
      <c r="Z284" s="3" t="str">
        <f>TEXT(CAPSTONE_PROJECT[[#This Row],[Admission Date]],"mmm yyyy")</f>
        <v>Jan 2025</v>
      </c>
      <c r="AA284" s="3" t="str">
        <f>TEXT(CAPSTONE_PROJECT[[#This Row],[Admission Date]],"dddd")</f>
        <v>Sunday</v>
      </c>
      <c r="AB284" s="3" t="str">
        <f>IF(CAPSTONE_PROJECT[[#This Row],[Age]]&lt;=34,"Young Adults",IF(CAPSTONE_PROJECT[[#This Row],[Age]]&lt;=59,"Adults","Elders"))</f>
        <v>Adults</v>
      </c>
      <c r="AC284" s="3" t="str">
        <f>_xlfn.XLOOKUP(CAPSTONE_PROJECT[[#This Row],[Patient ID]],'Lookup table'!A:A,'Lookup table'!B:B,,0)</f>
        <v>Noah Wood</v>
      </c>
      <c r="AD284" s="3" t="str">
        <f>_xlfn.XLOOKUP(CAPSTONE_PROJECT[[#This Row],[Patient ID]],'Lookup table'!A:A,'Lookup table'!C:C,,0)</f>
        <v>Male</v>
      </c>
      <c r="AE284" s="3" t="str">
        <f>IF(CAPSTONE_PROJECT[[#This Row],[Length of Stay]]&lt;=3,"Short Stay",IF(CAPSTONE_PROJECT[[#This Row],[Length of Stay]]&lt;=7,"Moderate Stay",IF(CAPSTONE_PROJECT[[#This Row],[Length of Stay]]&lt;=14,"Long Stay","Extended Stay")))</f>
        <v>Long Stay</v>
      </c>
    </row>
    <row r="285" spans="1:31" x14ac:dyDescent="0.3">
      <c r="A285" s="3" t="s">
        <v>627</v>
      </c>
      <c r="B285" s="4">
        <v>45456</v>
      </c>
      <c r="C285" s="4">
        <v>45470</v>
      </c>
      <c r="D285" s="4">
        <v>29215</v>
      </c>
      <c r="E285" s="3">
        <v>46</v>
      </c>
      <c r="F285" s="3" t="s">
        <v>18</v>
      </c>
      <c r="G285" s="3" t="s">
        <v>34</v>
      </c>
      <c r="H285" s="3" t="s">
        <v>29</v>
      </c>
      <c r="I285" s="3" t="s">
        <v>22</v>
      </c>
      <c r="J285" s="3" t="s">
        <v>14</v>
      </c>
      <c r="K285" s="3" t="s">
        <v>24</v>
      </c>
      <c r="L285" s="6">
        <v>3884.33</v>
      </c>
      <c r="M285" s="6">
        <v>1781.29</v>
      </c>
      <c r="N285" s="6">
        <v>2425.31</v>
      </c>
      <c r="O285" s="6">
        <v>9753.2900000000009</v>
      </c>
      <c r="P285" s="3" t="s">
        <v>31</v>
      </c>
      <c r="Q285" s="3" t="s">
        <v>1087</v>
      </c>
      <c r="R285" s="3" t="s">
        <v>75</v>
      </c>
      <c r="S285" s="3" t="s">
        <v>628</v>
      </c>
      <c r="T285" s="3">
        <v>10</v>
      </c>
      <c r="U285" s="3">
        <f>CAPSTONE_PROJECT[[#This Row],[Discharge Date]]-CAPSTONE_PROJECT[[#This Row],[Admission Date]]</f>
        <v>14</v>
      </c>
      <c r="V285" s="6">
        <f>SUM(CAPSTONE_PROJECT[[#This Row],[Room Cost]:[Treatment Cost]])</f>
        <v>17844.22</v>
      </c>
      <c r="W285" s="6">
        <f t="shared" si="4"/>
        <v>1274.5871428571429</v>
      </c>
      <c r="X285" s="3" t="str">
        <f>TEXT(CAPSTONE_PROJECT[[#This Row],[Admission Date]],"mmmm")</f>
        <v>June</v>
      </c>
      <c r="Y285" s="3" t="str">
        <f>TEXT(CAPSTONE_PROJECT[[#This Row],[Admission Date]],"yyyy")</f>
        <v>2024</v>
      </c>
      <c r="Z285" s="3" t="str">
        <f>TEXT(CAPSTONE_PROJECT[[#This Row],[Admission Date]],"mmm yyyy")</f>
        <v>Jun 2024</v>
      </c>
      <c r="AA285" s="3" t="str">
        <f>TEXT(CAPSTONE_PROJECT[[#This Row],[Admission Date]],"dddd")</f>
        <v>Thursday</v>
      </c>
      <c r="AB285" s="3" t="str">
        <f>IF(CAPSTONE_PROJECT[[#This Row],[Age]]&lt;=34,"Young Adults",IF(CAPSTONE_PROJECT[[#This Row],[Age]]&lt;=59,"Adults","Elders"))</f>
        <v>Adults</v>
      </c>
      <c r="AC285" s="3" t="str">
        <f>_xlfn.XLOOKUP(CAPSTONE_PROJECT[[#This Row],[Patient ID]],'Lookup table'!A:A,'Lookup table'!B:B,,0)</f>
        <v>Isabella Smith</v>
      </c>
      <c r="AD285" s="3" t="str">
        <f>_xlfn.XLOOKUP(CAPSTONE_PROJECT[[#This Row],[Patient ID]],'Lookup table'!A:A,'Lookup table'!C:C,,0)</f>
        <v>Female</v>
      </c>
      <c r="AE285" s="3" t="str">
        <f>IF(CAPSTONE_PROJECT[[#This Row],[Length of Stay]]&lt;=3,"Short Stay",IF(CAPSTONE_PROJECT[[#This Row],[Length of Stay]]&lt;=7,"Moderate Stay",IF(CAPSTONE_PROJECT[[#This Row],[Length of Stay]]&lt;=14,"Long Stay","Extended Stay")))</f>
        <v>Long Stay</v>
      </c>
    </row>
    <row r="286" spans="1:31" x14ac:dyDescent="0.3">
      <c r="A286" s="3" t="s">
        <v>629</v>
      </c>
      <c r="B286" s="4">
        <v>45484</v>
      </c>
      <c r="C286" s="4">
        <v>45498</v>
      </c>
      <c r="D286" s="4">
        <v>17281</v>
      </c>
      <c r="E286" s="3">
        <v>79</v>
      </c>
      <c r="F286" s="3" t="s">
        <v>8</v>
      </c>
      <c r="G286" s="3" t="s">
        <v>126</v>
      </c>
      <c r="H286" s="3" t="s">
        <v>104</v>
      </c>
      <c r="I286" s="3" t="s">
        <v>37</v>
      </c>
      <c r="J286" s="3" t="s">
        <v>15</v>
      </c>
      <c r="K286" s="3" t="s">
        <v>24</v>
      </c>
      <c r="L286" s="6">
        <v>3640.32</v>
      </c>
      <c r="M286" s="6">
        <v>1602.79</v>
      </c>
      <c r="N286" s="6">
        <v>0</v>
      </c>
      <c r="O286" s="6">
        <v>0</v>
      </c>
      <c r="P286" s="3" t="s">
        <v>51</v>
      </c>
      <c r="Q286" s="3" t="s">
        <v>1087</v>
      </c>
      <c r="R286" s="3" t="s">
        <v>62</v>
      </c>
      <c r="S286" s="3" t="s">
        <v>630</v>
      </c>
      <c r="T286" s="3">
        <v>4</v>
      </c>
      <c r="U286" s="3">
        <f>CAPSTONE_PROJECT[[#This Row],[Discharge Date]]-CAPSTONE_PROJECT[[#This Row],[Admission Date]]</f>
        <v>14</v>
      </c>
      <c r="V286" s="6">
        <f>SUM(CAPSTONE_PROJECT[[#This Row],[Room Cost]:[Treatment Cost]])</f>
        <v>5243.1100000000006</v>
      </c>
      <c r="W286" s="6">
        <f t="shared" si="4"/>
        <v>374.50785714285718</v>
      </c>
      <c r="X286" s="3" t="str">
        <f>TEXT(CAPSTONE_PROJECT[[#This Row],[Admission Date]],"mmmm")</f>
        <v>July</v>
      </c>
      <c r="Y286" s="3" t="str">
        <f>TEXT(CAPSTONE_PROJECT[[#This Row],[Admission Date]],"yyyy")</f>
        <v>2024</v>
      </c>
      <c r="Z286" s="3" t="str">
        <f>TEXT(CAPSTONE_PROJECT[[#This Row],[Admission Date]],"mmm yyyy")</f>
        <v>Jul 2024</v>
      </c>
      <c r="AA286" s="3" t="str">
        <f>TEXT(CAPSTONE_PROJECT[[#This Row],[Admission Date]],"dddd")</f>
        <v>Thursday</v>
      </c>
      <c r="AB286" s="3" t="str">
        <f>IF(CAPSTONE_PROJECT[[#This Row],[Age]]&lt;=34,"Young Adults",IF(CAPSTONE_PROJECT[[#This Row],[Age]]&lt;=59,"Adults","Elders"))</f>
        <v>Elders</v>
      </c>
      <c r="AC286" s="3" t="str">
        <f>_xlfn.XLOOKUP(CAPSTONE_PROJECT[[#This Row],[Patient ID]],'Lookup table'!A:A,'Lookup table'!B:B,,0)</f>
        <v>James Hall</v>
      </c>
      <c r="AD286" s="3" t="str">
        <f>_xlfn.XLOOKUP(CAPSTONE_PROJECT[[#This Row],[Patient ID]],'Lookup table'!A:A,'Lookup table'!C:C,,0)</f>
        <v>Male</v>
      </c>
      <c r="AE286" s="3" t="str">
        <f>IF(CAPSTONE_PROJECT[[#This Row],[Length of Stay]]&lt;=3,"Short Stay",IF(CAPSTONE_PROJECT[[#This Row],[Length of Stay]]&lt;=7,"Moderate Stay",IF(CAPSTONE_PROJECT[[#This Row],[Length of Stay]]&lt;=14,"Long Stay","Extended Stay")))</f>
        <v>Long Stay</v>
      </c>
    </row>
    <row r="287" spans="1:31" x14ac:dyDescent="0.3">
      <c r="A287" s="3" t="s">
        <v>631</v>
      </c>
      <c r="B287" s="4">
        <v>45858</v>
      </c>
      <c r="C287" s="4">
        <v>45878</v>
      </c>
      <c r="D287" s="4">
        <v>26456</v>
      </c>
      <c r="E287" s="3">
        <v>54</v>
      </c>
      <c r="F287" s="3" t="s">
        <v>47</v>
      </c>
      <c r="G287" s="3" t="s">
        <v>27</v>
      </c>
      <c r="H287" s="3" t="s">
        <v>114</v>
      </c>
      <c r="I287" s="3" t="s">
        <v>37</v>
      </c>
      <c r="J287" s="3" t="s">
        <v>38</v>
      </c>
      <c r="K287" s="3" t="s">
        <v>65</v>
      </c>
      <c r="L287" s="6">
        <v>3566.19</v>
      </c>
      <c r="M287" s="6">
        <v>1633.73</v>
      </c>
      <c r="N287" s="6">
        <v>2675.32</v>
      </c>
      <c r="O287" s="6">
        <v>11728.9</v>
      </c>
      <c r="P287" s="3" t="s">
        <v>16</v>
      </c>
      <c r="Q287" s="3" t="s">
        <v>1079</v>
      </c>
      <c r="R287" s="3" t="s">
        <v>19</v>
      </c>
      <c r="S287" s="3" t="s">
        <v>632</v>
      </c>
      <c r="T287" s="3">
        <v>10</v>
      </c>
      <c r="U287" s="3">
        <f>CAPSTONE_PROJECT[[#This Row],[Discharge Date]]-CAPSTONE_PROJECT[[#This Row],[Admission Date]]</f>
        <v>20</v>
      </c>
      <c r="V287" s="6">
        <f>SUM(CAPSTONE_PROJECT[[#This Row],[Room Cost]:[Treatment Cost]])</f>
        <v>19604.14</v>
      </c>
      <c r="W287" s="6">
        <f t="shared" si="4"/>
        <v>980.20699999999999</v>
      </c>
      <c r="X287" s="3" t="str">
        <f>TEXT(CAPSTONE_PROJECT[[#This Row],[Admission Date]],"mmmm")</f>
        <v>July</v>
      </c>
      <c r="Y287" s="3" t="str">
        <f>TEXT(CAPSTONE_PROJECT[[#This Row],[Admission Date]],"yyyy")</f>
        <v>2025</v>
      </c>
      <c r="Z287" s="3" t="str">
        <f>TEXT(CAPSTONE_PROJECT[[#This Row],[Admission Date]],"mmm yyyy")</f>
        <v>Jul 2025</v>
      </c>
      <c r="AA287" s="3" t="str">
        <f>TEXT(CAPSTONE_PROJECT[[#This Row],[Admission Date]],"dddd")</f>
        <v>Sunday</v>
      </c>
      <c r="AB287" s="3" t="str">
        <f>IF(CAPSTONE_PROJECT[[#This Row],[Age]]&lt;=34,"Young Adults",IF(CAPSTONE_PROJECT[[#This Row],[Age]]&lt;=59,"Adults","Elders"))</f>
        <v>Adults</v>
      </c>
      <c r="AC287" s="3" t="str">
        <f>_xlfn.XLOOKUP(CAPSTONE_PROJECT[[#This Row],[Patient ID]],'Lookup table'!A:A,'Lookup table'!B:B,,0)</f>
        <v>Isabella Y Brown</v>
      </c>
      <c r="AD287" s="3" t="str">
        <f>_xlfn.XLOOKUP(CAPSTONE_PROJECT[[#This Row],[Patient ID]],'Lookup table'!A:A,'Lookup table'!C:C,,0)</f>
        <v>Female</v>
      </c>
      <c r="AE287" s="3" t="str">
        <f>IF(CAPSTONE_PROJECT[[#This Row],[Length of Stay]]&lt;=3,"Short Stay",IF(CAPSTONE_PROJECT[[#This Row],[Length of Stay]]&lt;=7,"Moderate Stay",IF(CAPSTONE_PROJECT[[#This Row],[Length of Stay]]&lt;=14,"Long Stay","Extended Stay")))</f>
        <v>Extended Stay</v>
      </c>
    </row>
    <row r="288" spans="1:31" x14ac:dyDescent="0.3">
      <c r="A288" s="3" t="s">
        <v>633</v>
      </c>
      <c r="B288" s="4">
        <v>45651</v>
      </c>
      <c r="C288" s="4">
        <v>45666</v>
      </c>
      <c r="D288" s="4">
        <v>21036</v>
      </c>
      <c r="E288" s="3">
        <v>68</v>
      </c>
      <c r="F288" s="3" t="s">
        <v>8</v>
      </c>
      <c r="G288" s="3" t="s">
        <v>53</v>
      </c>
      <c r="H288" s="3" t="s">
        <v>111</v>
      </c>
      <c r="I288" s="3" t="s">
        <v>44</v>
      </c>
      <c r="J288" s="3" t="s">
        <v>64</v>
      </c>
      <c r="K288" s="3" t="s">
        <v>24</v>
      </c>
      <c r="L288" s="6">
        <v>4886.28</v>
      </c>
      <c r="M288" s="6">
        <v>542.79</v>
      </c>
      <c r="N288" s="6">
        <v>174.96</v>
      </c>
      <c r="O288" s="6">
        <v>6160.41</v>
      </c>
      <c r="P288" s="3" t="s">
        <v>16</v>
      </c>
      <c r="Q288" s="3" t="s">
        <v>1079</v>
      </c>
      <c r="R288" s="3" t="s">
        <v>102</v>
      </c>
      <c r="S288" s="3" t="s">
        <v>634</v>
      </c>
      <c r="T288" s="3">
        <v>4</v>
      </c>
      <c r="U288" s="3">
        <f>CAPSTONE_PROJECT[[#This Row],[Discharge Date]]-CAPSTONE_PROJECT[[#This Row],[Admission Date]]</f>
        <v>15</v>
      </c>
      <c r="V288" s="6">
        <f>SUM(CAPSTONE_PROJECT[[#This Row],[Room Cost]:[Treatment Cost]])</f>
        <v>11764.439999999999</v>
      </c>
      <c r="W288" s="6">
        <f t="shared" si="4"/>
        <v>784.29599999999994</v>
      </c>
      <c r="X288" s="3" t="str">
        <f>TEXT(CAPSTONE_PROJECT[[#This Row],[Admission Date]],"mmmm")</f>
        <v>December</v>
      </c>
      <c r="Y288" s="3" t="str">
        <f>TEXT(CAPSTONE_PROJECT[[#This Row],[Admission Date]],"yyyy")</f>
        <v>2024</v>
      </c>
      <c r="Z288" s="3" t="str">
        <f>TEXT(CAPSTONE_PROJECT[[#This Row],[Admission Date]],"mmm yyyy")</f>
        <v>Dec 2024</v>
      </c>
      <c r="AA288" s="3" t="str">
        <f>TEXT(CAPSTONE_PROJECT[[#This Row],[Admission Date]],"dddd")</f>
        <v>Wednesday</v>
      </c>
      <c r="AB288" s="3" t="str">
        <f>IF(CAPSTONE_PROJECT[[#This Row],[Age]]&lt;=34,"Young Adults",IF(CAPSTONE_PROJECT[[#This Row],[Age]]&lt;=59,"Adults","Elders"))</f>
        <v>Elders</v>
      </c>
      <c r="AC288" s="3" t="str">
        <f>_xlfn.XLOOKUP(CAPSTONE_PROJECT[[#This Row],[Patient ID]],'Lookup table'!A:A,'Lookup table'!B:B,,0)</f>
        <v>Benjamin Green</v>
      </c>
      <c r="AD288" s="3" t="str">
        <f>_xlfn.XLOOKUP(CAPSTONE_PROJECT[[#This Row],[Patient ID]],'Lookup table'!A:A,'Lookup table'!C:C,,0)</f>
        <v>Male</v>
      </c>
      <c r="AE288" s="3" t="str">
        <f>IF(CAPSTONE_PROJECT[[#This Row],[Length of Stay]]&lt;=3,"Short Stay",IF(CAPSTONE_PROJECT[[#This Row],[Length of Stay]]&lt;=7,"Moderate Stay",IF(CAPSTONE_PROJECT[[#This Row],[Length of Stay]]&lt;=14,"Long Stay","Extended Stay")))</f>
        <v>Extended Stay</v>
      </c>
    </row>
    <row r="289" spans="1:31" x14ac:dyDescent="0.3">
      <c r="A289" s="3" t="s">
        <v>635</v>
      </c>
      <c r="B289" s="4">
        <v>45344</v>
      </c>
      <c r="C289" s="4">
        <v>45363</v>
      </c>
      <c r="D289" s="4">
        <v>30999</v>
      </c>
      <c r="E289" s="3">
        <v>41</v>
      </c>
      <c r="F289" s="3" t="s">
        <v>18</v>
      </c>
      <c r="G289" s="3" t="s">
        <v>57</v>
      </c>
      <c r="H289" s="3" t="s">
        <v>111</v>
      </c>
      <c r="I289" s="3" t="s">
        <v>22</v>
      </c>
      <c r="J289" s="3" t="s">
        <v>45</v>
      </c>
      <c r="K289" s="3" t="s">
        <v>65</v>
      </c>
      <c r="L289" s="6">
        <v>4975.3</v>
      </c>
      <c r="M289" s="6">
        <v>1320.38</v>
      </c>
      <c r="N289" s="6">
        <v>1791.42</v>
      </c>
      <c r="O289" s="6">
        <v>1357.42</v>
      </c>
      <c r="P289" s="3" t="s">
        <v>51</v>
      </c>
      <c r="Q289" s="3" t="s">
        <v>1077</v>
      </c>
      <c r="R289" s="3" t="s">
        <v>19</v>
      </c>
      <c r="S289" s="3" t="s">
        <v>636</v>
      </c>
      <c r="T289" s="3">
        <v>9</v>
      </c>
      <c r="U289" s="3">
        <f>CAPSTONE_PROJECT[[#This Row],[Discharge Date]]-CAPSTONE_PROJECT[[#This Row],[Admission Date]]</f>
        <v>19</v>
      </c>
      <c r="V289" s="6">
        <f>SUM(CAPSTONE_PROJECT[[#This Row],[Room Cost]:[Treatment Cost]])</f>
        <v>9444.52</v>
      </c>
      <c r="W289" s="6">
        <f t="shared" si="4"/>
        <v>497.08000000000004</v>
      </c>
      <c r="X289" s="3" t="str">
        <f>TEXT(CAPSTONE_PROJECT[[#This Row],[Admission Date]],"mmmm")</f>
        <v>February</v>
      </c>
      <c r="Y289" s="3" t="str">
        <f>TEXT(CAPSTONE_PROJECT[[#This Row],[Admission Date]],"yyyy")</f>
        <v>2024</v>
      </c>
      <c r="Z289" s="3" t="str">
        <f>TEXT(CAPSTONE_PROJECT[[#This Row],[Admission Date]],"mmm yyyy")</f>
        <v>Feb 2024</v>
      </c>
      <c r="AA289" s="3" t="str">
        <f>TEXT(CAPSTONE_PROJECT[[#This Row],[Admission Date]],"dddd")</f>
        <v>Thursday</v>
      </c>
      <c r="AB289" s="3" t="str">
        <f>IF(CAPSTONE_PROJECT[[#This Row],[Age]]&lt;=34,"Young Adults",IF(CAPSTONE_PROJECT[[#This Row],[Age]]&lt;=59,"Adults","Elders"))</f>
        <v>Adults</v>
      </c>
      <c r="AC289" s="3" t="str">
        <f>_xlfn.XLOOKUP(CAPSTONE_PROJECT[[#This Row],[Patient ID]],'Lookup table'!A:A,'Lookup table'!B:B,,0)</f>
        <v>Mia L Brown</v>
      </c>
      <c r="AD289" s="3" t="str">
        <f>_xlfn.XLOOKUP(CAPSTONE_PROJECT[[#This Row],[Patient ID]],'Lookup table'!A:A,'Lookup table'!C:C,,0)</f>
        <v>Female</v>
      </c>
      <c r="AE289" s="3" t="str">
        <f>IF(CAPSTONE_PROJECT[[#This Row],[Length of Stay]]&lt;=3,"Short Stay",IF(CAPSTONE_PROJECT[[#This Row],[Length of Stay]]&lt;=7,"Moderate Stay",IF(CAPSTONE_PROJECT[[#This Row],[Length of Stay]]&lt;=14,"Long Stay","Extended Stay")))</f>
        <v>Extended Stay</v>
      </c>
    </row>
    <row r="290" spans="1:31" x14ac:dyDescent="0.3">
      <c r="A290" s="3" t="s">
        <v>637</v>
      </c>
      <c r="B290" s="4">
        <v>45425</v>
      </c>
      <c r="C290" s="4">
        <v>45440</v>
      </c>
      <c r="D290" s="4">
        <v>17160</v>
      </c>
      <c r="E290" s="3">
        <v>79</v>
      </c>
      <c r="F290" s="3" t="s">
        <v>8</v>
      </c>
      <c r="G290" s="3" t="s">
        <v>9</v>
      </c>
      <c r="H290" s="3" t="s">
        <v>29</v>
      </c>
      <c r="I290" s="3" t="s">
        <v>37</v>
      </c>
      <c r="J290" s="3" t="s">
        <v>14</v>
      </c>
      <c r="K290" s="3" t="s">
        <v>65</v>
      </c>
      <c r="L290" s="6">
        <v>2335.46</v>
      </c>
      <c r="M290" s="6">
        <v>213.87</v>
      </c>
      <c r="N290" s="6">
        <v>1285.3800000000001</v>
      </c>
      <c r="O290" s="6">
        <v>2395.84</v>
      </c>
      <c r="P290" s="3" t="s">
        <v>51</v>
      </c>
      <c r="Q290" s="3" t="s">
        <v>1082</v>
      </c>
      <c r="R290" s="3" t="s">
        <v>58</v>
      </c>
      <c r="S290" s="3" t="s">
        <v>638</v>
      </c>
      <c r="T290" s="3">
        <v>4</v>
      </c>
      <c r="U290" s="3">
        <f>CAPSTONE_PROJECT[[#This Row],[Discharge Date]]-CAPSTONE_PROJECT[[#This Row],[Admission Date]]</f>
        <v>15</v>
      </c>
      <c r="V290" s="6">
        <f>SUM(CAPSTONE_PROJECT[[#This Row],[Room Cost]:[Treatment Cost]])</f>
        <v>6230.55</v>
      </c>
      <c r="W290" s="6">
        <f t="shared" si="4"/>
        <v>415.37</v>
      </c>
      <c r="X290" s="3" t="str">
        <f>TEXT(CAPSTONE_PROJECT[[#This Row],[Admission Date]],"mmmm")</f>
        <v>May</v>
      </c>
      <c r="Y290" s="3" t="str">
        <f>TEXT(CAPSTONE_PROJECT[[#This Row],[Admission Date]],"yyyy")</f>
        <v>2024</v>
      </c>
      <c r="Z290" s="3" t="str">
        <f>TEXT(CAPSTONE_PROJECT[[#This Row],[Admission Date]],"mmm yyyy")</f>
        <v>May 2024</v>
      </c>
      <c r="AA290" s="3" t="str">
        <f>TEXT(CAPSTONE_PROJECT[[#This Row],[Admission Date]],"dddd")</f>
        <v>Monday</v>
      </c>
      <c r="AB290" s="3" t="str">
        <f>IF(CAPSTONE_PROJECT[[#This Row],[Age]]&lt;=34,"Young Adults",IF(CAPSTONE_PROJECT[[#This Row],[Age]]&lt;=59,"Adults","Elders"))</f>
        <v>Elders</v>
      </c>
      <c r="AC290" s="3" t="str">
        <f>_xlfn.XLOOKUP(CAPSTONE_PROJECT[[#This Row],[Patient ID]],'Lookup table'!A:A,'Lookup table'!B:B,,0)</f>
        <v>Daniel Green</v>
      </c>
      <c r="AD290" s="3" t="str">
        <f>_xlfn.XLOOKUP(CAPSTONE_PROJECT[[#This Row],[Patient ID]],'Lookup table'!A:A,'Lookup table'!C:C,,0)</f>
        <v>Male</v>
      </c>
      <c r="AE290" s="3" t="str">
        <f>IF(CAPSTONE_PROJECT[[#This Row],[Length of Stay]]&lt;=3,"Short Stay",IF(CAPSTONE_PROJECT[[#This Row],[Length of Stay]]&lt;=7,"Moderate Stay",IF(CAPSTONE_PROJECT[[#This Row],[Length of Stay]]&lt;=14,"Long Stay","Extended Stay")))</f>
        <v>Extended Stay</v>
      </c>
    </row>
    <row r="291" spans="1:31" x14ac:dyDescent="0.3">
      <c r="A291" s="3" t="s">
        <v>639</v>
      </c>
      <c r="B291" s="4">
        <v>45314</v>
      </c>
      <c r="C291" s="4">
        <v>45328</v>
      </c>
      <c r="D291" s="4">
        <v>25615</v>
      </c>
      <c r="E291" s="3">
        <v>56</v>
      </c>
      <c r="F291" s="3" t="s">
        <v>8</v>
      </c>
      <c r="G291" s="3" t="s">
        <v>126</v>
      </c>
      <c r="H291" s="3" t="s">
        <v>100</v>
      </c>
      <c r="I291" s="3" t="s">
        <v>22</v>
      </c>
      <c r="J291" s="3" t="s">
        <v>38</v>
      </c>
      <c r="K291" s="3" t="s">
        <v>65</v>
      </c>
      <c r="L291" s="6">
        <v>2276.66</v>
      </c>
      <c r="M291" s="6">
        <v>444.31</v>
      </c>
      <c r="N291" s="6">
        <v>2906.99</v>
      </c>
      <c r="O291" s="6">
        <v>3616.75</v>
      </c>
      <c r="P291" s="3" t="s">
        <v>51</v>
      </c>
      <c r="Q291" s="3" t="s">
        <v>1078</v>
      </c>
      <c r="R291" s="3" t="s">
        <v>41</v>
      </c>
      <c r="S291" s="3" t="s">
        <v>640</v>
      </c>
      <c r="T291" s="3">
        <v>6</v>
      </c>
      <c r="U291" s="3">
        <f>CAPSTONE_PROJECT[[#This Row],[Discharge Date]]-CAPSTONE_PROJECT[[#This Row],[Admission Date]]</f>
        <v>14</v>
      </c>
      <c r="V291" s="6">
        <f>SUM(CAPSTONE_PROJECT[[#This Row],[Room Cost]:[Treatment Cost]])</f>
        <v>9244.7099999999991</v>
      </c>
      <c r="W291" s="6">
        <f t="shared" si="4"/>
        <v>660.33642857142854</v>
      </c>
      <c r="X291" s="3" t="str">
        <f>TEXT(CAPSTONE_PROJECT[[#This Row],[Admission Date]],"mmmm")</f>
        <v>January</v>
      </c>
      <c r="Y291" s="3" t="str">
        <f>TEXT(CAPSTONE_PROJECT[[#This Row],[Admission Date]],"yyyy")</f>
        <v>2024</v>
      </c>
      <c r="Z291" s="3" t="str">
        <f>TEXT(CAPSTONE_PROJECT[[#This Row],[Admission Date]],"mmm yyyy")</f>
        <v>Jan 2024</v>
      </c>
      <c r="AA291" s="3" t="str">
        <f>TEXT(CAPSTONE_PROJECT[[#This Row],[Admission Date]],"dddd")</f>
        <v>Tuesday</v>
      </c>
      <c r="AB291" s="3" t="str">
        <f>IF(CAPSTONE_PROJECT[[#This Row],[Age]]&lt;=34,"Young Adults",IF(CAPSTONE_PROJECT[[#This Row],[Age]]&lt;=59,"Adults","Elders"))</f>
        <v>Adults</v>
      </c>
      <c r="AC291" s="3" t="str">
        <f>_xlfn.XLOOKUP(CAPSTONE_PROJECT[[#This Row],[Patient ID]],'Lookup table'!A:A,'Lookup table'!B:B,,0)</f>
        <v>Chloe Hall</v>
      </c>
      <c r="AD291" s="3" t="str">
        <f>_xlfn.XLOOKUP(CAPSTONE_PROJECT[[#This Row],[Patient ID]],'Lookup table'!A:A,'Lookup table'!C:C,,0)</f>
        <v>Female</v>
      </c>
      <c r="AE291" s="3" t="str">
        <f>IF(CAPSTONE_PROJECT[[#This Row],[Length of Stay]]&lt;=3,"Short Stay",IF(CAPSTONE_PROJECT[[#This Row],[Length of Stay]]&lt;=7,"Moderate Stay",IF(CAPSTONE_PROJECT[[#This Row],[Length of Stay]]&lt;=14,"Long Stay","Extended Stay")))</f>
        <v>Long Stay</v>
      </c>
    </row>
    <row r="292" spans="1:31" x14ac:dyDescent="0.3">
      <c r="A292" s="3" t="s">
        <v>641</v>
      </c>
      <c r="B292" s="4">
        <v>45514</v>
      </c>
      <c r="C292" s="4">
        <v>45515</v>
      </c>
      <c r="D292" s="4">
        <v>21340</v>
      </c>
      <c r="E292" s="3">
        <v>68</v>
      </c>
      <c r="F292" s="3" t="s">
        <v>8</v>
      </c>
      <c r="G292" s="3" t="s">
        <v>139</v>
      </c>
      <c r="H292" s="3" t="s">
        <v>29</v>
      </c>
      <c r="I292" s="3" t="s">
        <v>44</v>
      </c>
      <c r="J292" s="3" t="s">
        <v>45</v>
      </c>
      <c r="K292" s="3" t="s">
        <v>15</v>
      </c>
      <c r="L292" s="6">
        <v>4944.16</v>
      </c>
      <c r="M292" s="6">
        <v>1656.29</v>
      </c>
      <c r="N292" s="6">
        <v>1173.3699999999999</v>
      </c>
      <c r="O292" s="6">
        <v>2768.65</v>
      </c>
      <c r="P292" s="3" t="s">
        <v>51</v>
      </c>
      <c r="Q292" s="3" t="s">
        <v>1085</v>
      </c>
      <c r="R292" s="3" t="s">
        <v>68</v>
      </c>
      <c r="S292" s="3" t="s">
        <v>642</v>
      </c>
      <c r="T292" s="3">
        <v>4</v>
      </c>
      <c r="U292" s="3">
        <f>CAPSTONE_PROJECT[[#This Row],[Discharge Date]]-CAPSTONE_PROJECT[[#This Row],[Admission Date]]</f>
        <v>1</v>
      </c>
      <c r="V292" s="6">
        <f>SUM(CAPSTONE_PROJECT[[#This Row],[Room Cost]:[Treatment Cost]])</f>
        <v>10542.47</v>
      </c>
      <c r="W292" s="6">
        <f t="shared" si="4"/>
        <v>10542.47</v>
      </c>
      <c r="X292" s="3" t="str">
        <f>TEXT(CAPSTONE_PROJECT[[#This Row],[Admission Date]],"mmmm")</f>
        <v>August</v>
      </c>
      <c r="Y292" s="3" t="str">
        <f>TEXT(CAPSTONE_PROJECT[[#This Row],[Admission Date]],"yyyy")</f>
        <v>2024</v>
      </c>
      <c r="Z292" s="3" t="str">
        <f>TEXT(CAPSTONE_PROJECT[[#This Row],[Admission Date]],"mmm yyyy")</f>
        <v>Aug 2024</v>
      </c>
      <c r="AA292" s="3" t="str">
        <f>TEXT(CAPSTONE_PROJECT[[#This Row],[Admission Date]],"dddd")</f>
        <v>Saturday</v>
      </c>
      <c r="AB292" s="3" t="str">
        <f>IF(CAPSTONE_PROJECT[[#This Row],[Age]]&lt;=34,"Young Adults",IF(CAPSTONE_PROJECT[[#This Row],[Age]]&lt;=59,"Adults","Elders"))</f>
        <v>Elders</v>
      </c>
      <c r="AC292" s="3" t="str">
        <f>_xlfn.XLOOKUP(CAPSTONE_PROJECT[[#This Row],[Patient ID]],'Lookup table'!A:A,'Lookup table'!B:B,,0)</f>
        <v>Samuel P Jones</v>
      </c>
      <c r="AD292" s="3" t="str">
        <f>_xlfn.XLOOKUP(CAPSTONE_PROJECT[[#This Row],[Patient ID]],'Lookup table'!A:A,'Lookup table'!C:C,,0)</f>
        <v>Male</v>
      </c>
      <c r="AE292" s="3" t="str">
        <f>IF(CAPSTONE_PROJECT[[#This Row],[Length of Stay]]&lt;=3,"Short Stay",IF(CAPSTONE_PROJECT[[#This Row],[Length of Stay]]&lt;=7,"Moderate Stay",IF(CAPSTONE_PROJECT[[#This Row],[Length of Stay]]&lt;=14,"Long Stay","Extended Stay")))</f>
        <v>Short Stay</v>
      </c>
    </row>
    <row r="293" spans="1:31" x14ac:dyDescent="0.3">
      <c r="A293" s="3" t="s">
        <v>643</v>
      </c>
      <c r="B293" s="4">
        <v>45902</v>
      </c>
      <c r="C293" s="4">
        <v>45911</v>
      </c>
      <c r="D293" s="4">
        <v>37117</v>
      </c>
      <c r="E293" s="3">
        <v>24</v>
      </c>
      <c r="F293" s="3" t="s">
        <v>47</v>
      </c>
      <c r="G293" s="3" t="s">
        <v>57</v>
      </c>
      <c r="H293" s="3" t="s">
        <v>29</v>
      </c>
      <c r="I293" s="3" t="s">
        <v>22</v>
      </c>
      <c r="J293" s="3" t="s">
        <v>15</v>
      </c>
      <c r="K293" s="3" t="s">
        <v>65</v>
      </c>
      <c r="L293" s="6">
        <v>3696.09</v>
      </c>
      <c r="M293" s="6">
        <v>764.27</v>
      </c>
      <c r="N293" s="6">
        <v>924.71</v>
      </c>
      <c r="O293" s="6">
        <v>4256.04</v>
      </c>
      <c r="P293" s="3" t="s">
        <v>16</v>
      </c>
      <c r="Q293" s="3" t="s">
        <v>1084</v>
      </c>
      <c r="R293" s="3" t="s">
        <v>62</v>
      </c>
      <c r="S293" s="3" t="s">
        <v>644</v>
      </c>
      <c r="T293" s="3">
        <v>6</v>
      </c>
      <c r="U293" s="3">
        <f>CAPSTONE_PROJECT[[#This Row],[Discharge Date]]-CAPSTONE_PROJECT[[#This Row],[Admission Date]]</f>
        <v>9</v>
      </c>
      <c r="V293" s="6">
        <f>SUM(CAPSTONE_PROJECT[[#This Row],[Room Cost]:[Treatment Cost]])</f>
        <v>9641.11</v>
      </c>
      <c r="W293" s="6">
        <f t="shared" si="4"/>
        <v>1071.2344444444445</v>
      </c>
      <c r="X293" s="3" t="str">
        <f>TEXT(CAPSTONE_PROJECT[[#This Row],[Admission Date]],"mmmm")</f>
        <v>September</v>
      </c>
      <c r="Y293" s="3" t="str">
        <f>TEXT(CAPSTONE_PROJECT[[#This Row],[Admission Date]],"yyyy")</f>
        <v>2025</v>
      </c>
      <c r="Z293" s="3" t="str">
        <f>TEXT(CAPSTONE_PROJECT[[#This Row],[Admission Date]],"mmm yyyy")</f>
        <v>Sep 2025</v>
      </c>
      <c r="AA293" s="3" t="str">
        <f>TEXT(CAPSTONE_PROJECT[[#This Row],[Admission Date]],"dddd")</f>
        <v>Tuesday</v>
      </c>
      <c r="AB293" s="3" t="str">
        <f>IF(CAPSTONE_PROJECT[[#This Row],[Age]]&lt;=34,"Young Adults",IF(CAPSTONE_PROJECT[[#This Row],[Age]]&lt;=59,"Adults","Elders"))</f>
        <v>Young Adults</v>
      </c>
      <c r="AC293" s="3" t="str">
        <f>_xlfn.XLOOKUP(CAPSTONE_PROJECT[[#This Row],[Patient ID]],'Lookup table'!A:A,'Lookup table'!B:B,,0)</f>
        <v>Olivia N Walker</v>
      </c>
      <c r="AD293" s="3" t="str">
        <f>_xlfn.XLOOKUP(CAPSTONE_PROJECT[[#This Row],[Patient ID]],'Lookup table'!A:A,'Lookup table'!C:C,,0)</f>
        <v>Female</v>
      </c>
      <c r="AE293" s="3" t="str">
        <f>IF(CAPSTONE_PROJECT[[#This Row],[Length of Stay]]&lt;=3,"Short Stay",IF(CAPSTONE_PROJECT[[#This Row],[Length of Stay]]&lt;=7,"Moderate Stay",IF(CAPSTONE_PROJECT[[#This Row],[Length of Stay]]&lt;=14,"Long Stay","Extended Stay")))</f>
        <v>Long Stay</v>
      </c>
    </row>
    <row r="294" spans="1:31" x14ac:dyDescent="0.3">
      <c r="A294" s="3" t="s">
        <v>645</v>
      </c>
      <c r="B294" s="4">
        <v>45613</v>
      </c>
      <c r="C294" s="4">
        <v>45617</v>
      </c>
      <c r="D294" s="4">
        <v>24922</v>
      </c>
      <c r="E294" s="3">
        <v>58</v>
      </c>
      <c r="F294" s="3" t="s">
        <v>18</v>
      </c>
      <c r="G294" s="3" t="s">
        <v>57</v>
      </c>
      <c r="H294" s="3" t="s">
        <v>43</v>
      </c>
      <c r="I294" s="3" t="s">
        <v>37</v>
      </c>
      <c r="J294" s="3" t="s">
        <v>15</v>
      </c>
      <c r="K294" s="3" t="s">
        <v>24</v>
      </c>
      <c r="L294" s="6">
        <v>1718.97</v>
      </c>
      <c r="M294" s="6">
        <v>1055.93</v>
      </c>
      <c r="N294" s="6">
        <v>971.54</v>
      </c>
      <c r="O294" s="6">
        <v>14146.12</v>
      </c>
      <c r="P294" s="3" t="s">
        <v>25</v>
      </c>
      <c r="Q294" s="3" t="s">
        <v>1087</v>
      </c>
      <c r="R294" s="3" t="s">
        <v>102</v>
      </c>
      <c r="S294" s="3" t="s">
        <v>646</v>
      </c>
      <c r="T294" s="3">
        <v>6</v>
      </c>
      <c r="U294" s="3">
        <f>CAPSTONE_PROJECT[[#This Row],[Discharge Date]]-CAPSTONE_PROJECT[[#This Row],[Admission Date]]</f>
        <v>4</v>
      </c>
      <c r="V294" s="6">
        <f>SUM(CAPSTONE_PROJECT[[#This Row],[Room Cost]:[Treatment Cost]])</f>
        <v>17892.560000000001</v>
      </c>
      <c r="W294" s="6">
        <f t="shared" si="4"/>
        <v>4473.1400000000003</v>
      </c>
      <c r="X294" s="3" t="str">
        <f>TEXT(CAPSTONE_PROJECT[[#This Row],[Admission Date]],"mmmm")</f>
        <v>November</v>
      </c>
      <c r="Y294" s="3" t="str">
        <f>TEXT(CAPSTONE_PROJECT[[#This Row],[Admission Date]],"yyyy")</f>
        <v>2024</v>
      </c>
      <c r="Z294" s="3" t="str">
        <f>TEXT(CAPSTONE_PROJECT[[#This Row],[Admission Date]],"mmm yyyy")</f>
        <v>Nov 2024</v>
      </c>
      <c r="AA294" s="3" t="str">
        <f>TEXT(CAPSTONE_PROJECT[[#This Row],[Admission Date]],"dddd")</f>
        <v>Sunday</v>
      </c>
      <c r="AB294" s="3" t="str">
        <f>IF(CAPSTONE_PROJECT[[#This Row],[Age]]&lt;=34,"Young Adults",IF(CAPSTONE_PROJECT[[#This Row],[Age]]&lt;=59,"Adults","Elders"))</f>
        <v>Adults</v>
      </c>
      <c r="AC294" s="3" t="str">
        <f>_xlfn.XLOOKUP(CAPSTONE_PROJECT[[#This Row],[Patient ID]],'Lookup table'!A:A,'Lookup table'!B:B,,0)</f>
        <v>George Brown</v>
      </c>
      <c r="AD294" s="3" t="str">
        <f>_xlfn.XLOOKUP(CAPSTONE_PROJECT[[#This Row],[Patient ID]],'Lookup table'!A:A,'Lookup table'!C:C,,0)</f>
        <v>Male</v>
      </c>
      <c r="AE294" s="3" t="str">
        <f>IF(CAPSTONE_PROJECT[[#This Row],[Length of Stay]]&lt;=3,"Short Stay",IF(CAPSTONE_PROJECT[[#This Row],[Length of Stay]]&lt;=7,"Moderate Stay",IF(CAPSTONE_PROJECT[[#This Row],[Length of Stay]]&lt;=14,"Long Stay","Extended Stay")))</f>
        <v>Moderate Stay</v>
      </c>
    </row>
    <row r="295" spans="1:31" x14ac:dyDescent="0.3">
      <c r="A295" s="3" t="s">
        <v>647</v>
      </c>
      <c r="B295" s="4">
        <v>45467</v>
      </c>
      <c r="C295" s="4">
        <v>45487</v>
      </c>
      <c r="D295" s="4">
        <v>19039</v>
      </c>
      <c r="E295" s="3">
        <v>74</v>
      </c>
      <c r="F295" s="3" t="s">
        <v>33</v>
      </c>
      <c r="G295" s="3" t="s">
        <v>126</v>
      </c>
      <c r="H295" s="3" t="s">
        <v>29</v>
      </c>
      <c r="I295" s="3" t="s">
        <v>37</v>
      </c>
      <c r="J295" s="3" t="s">
        <v>38</v>
      </c>
      <c r="K295" s="3" t="s">
        <v>15</v>
      </c>
      <c r="L295" s="6">
        <v>2773.37</v>
      </c>
      <c r="M295" s="6">
        <v>842.99</v>
      </c>
      <c r="N295" s="6">
        <v>1218.78</v>
      </c>
      <c r="O295" s="6">
        <v>12650</v>
      </c>
      <c r="P295" s="3" t="s">
        <v>31</v>
      </c>
      <c r="Q295" s="3" t="s">
        <v>1077</v>
      </c>
      <c r="R295" s="3" t="s">
        <v>35</v>
      </c>
      <c r="S295" s="3" t="s">
        <v>648</v>
      </c>
      <c r="T295" s="3">
        <v>10</v>
      </c>
      <c r="U295" s="3">
        <f>CAPSTONE_PROJECT[[#This Row],[Discharge Date]]-CAPSTONE_PROJECT[[#This Row],[Admission Date]]</f>
        <v>20</v>
      </c>
      <c r="V295" s="6">
        <f>SUM(CAPSTONE_PROJECT[[#This Row],[Room Cost]:[Treatment Cost]])</f>
        <v>17485.14</v>
      </c>
      <c r="W295" s="6">
        <f t="shared" si="4"/>
        <v>874.25699999999995</v>
      </c>
      <c r="X295" s="3" t="str">
        <f>TEXT(CAPSTONE_PROJECT[[#This Row],[Admission Date]],"mmmm")</f>
        <v>June</v>
      </c>
      <c r="Y295" s="3" t="str">
        <f>TEXT(CAPSTONE_PROJECT[[#This Row],[Admission Date]],"yyyy")</f>
        <v>2024</v>
      </c>
      <c r="Z295" s="3" t="str">
        <f>TEXT(CAPSTONE_PROJECT[[#This Row],[Admission Date]],"mmm yyyy")</f>
        <v>Jun 2024</v>
      </c>
      <c r="AA295" s="3" t="str">
        <f>TEXT(CAPSTONE_PROJECT[[#This Row],[Admission Date]],"dddd")</f>
        <v>Monday</v>
      </c>
      <c r="AB295" s="3" t="str">
        <f>IF(CAPSTONE_PROJECT[[#This Row],[Age]]&lt;=34,"Young Adults",IF(CAPSTONE_PROJECT[[#This Row],[Age]]&lt;=59,"Adults","Elders"))</f>
        <v>Elders</v>
      </c>
      <c r="AC295" s="3" t="str">
        <f>_xlfn.XLOOKUP(CAPSTONE_PROJECT[[#This Row],[Patient ID]],'Lookup table'!A:A,'Lookup table'!B:B,,0)</f>
        <v>Isabella Thompson</v>
      </c>
      <c r="AD295" s="3" t="str">
        <f>_xlfn.XLOOKUP(CAPSTONE_PROJECT[[#This Row],[Patient ID]],'Lookup table'!A:A,'Lookup table'!C:C,,0)</f>
        <v>Female</v>
      </c>
      <c r="AE295" s="3" t="str">
        <f>IF(CAPSTONE_PROJECT[[#This Row],[Length of Stay]]&lt;=3,"Short Stay",IF(CAPSTONE_PROJECT[[#This Row],[Length of Stay]]&lt;=7,"Moderate Stay",IF(CAPSTONE_PROJECT[[#This Row],[Length of Stay]]&lt;=14,"Long Stay","Extended Stay")))</f>
        <v>Extended Stay</v>
      </c>
    </row>
    <row r="296" spans="1:31" x14ac:dyDescent="0.3">
      <c r="A296" s="3" t="s">
        <v>649</v>
      </c>
      <c r="B296" s="4">
        <v>45597</v>
      </c>
      <c r="C296" s="4">
        <v>45612</v>
      </c>
      <c r="D296" s="4">
        <v>30694</v>
      </c>
      <c r="E296" s="3">
        <v>42</v>
      </c>
      <c r="F296" s="3" t="s">
        <v>47</v>
      </c>
      <c r="G296" s="3" t="s">
        <v>34</v>
      </c>
      <c r="H296" s="3" t="s">
        <v>1080</v>
      </c>
      <c r="I296" s="3" t="s">
        <v>37</v>
      </c>
      <c r="J296" s="3" t="s">
        <v>73</v>
      </c>
      <c r="K296" s="3" t="s">
        <v>24</v>
      </c>
      <c r="L296" s="6">
        <v>1011.8</v>
      </c>
      <c r="M296" s="6">
        <v>646.75</v>
      </c>
      <c r="N296" s="6">
        <v>0</v>
      </c>
      <c r="O296" s="6">
        <v>0</v>
      </c>
      <c r="P296" s="3" t="s">
        <v>1083</v>
      </c>
      <c r="Q296" s="3" t="s">
        <v>1084</v>
      </c>
      <c r="R296" s="3" t="s">
        <v>10</v>
      </c>
      <c r="S296" s="3" t="s">
        <v>650</v>
      </c>
      <c r="T296" s="3">
        <v>8</v>
      </c>
      <c r="U296" s="3">
        <f>CAPSTONE_PROJECT[[#This Row],[Discharge Date]]-CAPSTONE_PROJECT[[#This Row],[Admission Date]]</f>
        <v>15</v>
      </c>
      <c r="V296" s="6">
        <f>SUM(CAPSTONE_PROJECT[[#This Row],[Room Cost]:[Treatment Cost]])</f>
        <v>1658.55</v>
      </c>
      <c r="W296" s="6">
        <f t="shared" si="4"/>
        <v>110.57</v>
      </c>
      <c r="X296" s="3" t="str">
        <f>TEXT(CAPSTONE_PROJECT[[#This Row],[Admission Date]],"mmmm")</f>
        <v>November</v>
      </c>
      <c r="Y296" s="3" t="str">
        <f>TEXT(CAPSTONE_PROJECT[[#This Row],[Admission Date]],"yyyy")</f>
        <v>2024</v>
      </c>
      <c r="Z296" s="3" t="str">
        <f>TEXT(CAPSTONE_PROJECT[[#This Row],[Admission Date]],"mmm yyyy")</f>
        <v>Nov 2024</v>
      </c>
      <c r="AA296" s="3" t="str">
        <f>TEXT(CAPSTONE_PROJECT[[#This Row],[Admission Date]],"dddd")</f>
        <v>Friday</v>
      </c>
      <c r="AB296" s="3" t="str">
        <f>IF(CAPSTONE_PROJECT[[#This Row],[Age]]&lt;=34,"Young Adults",IF(CAPSTONE_PROJECT[[#This Row],[Age]]&lt;=59,"Adults","Elders"))</f>
        <v>Adults</v>
      </c>
      <c r="AC296" s="3" t="str">
        <f>_xlfn.XLOOKUP(CAPSTONE_PROJECT[[#This Row],[Patient ID]],'Lookup table'!A:A,'Lookup table'!B:B,,0)</f>
        <v>Ethan X Green</v>
      </c>
      <c r="AD296" s="3" t="str">
        <f>_xlfn.XLOOKUP(CAPSTONE_PROJECT[[#This Row],[Patient ID]],'Lookup table'!A:A,'Lookup table'!C:C,,0)</f>
        <v>Male</v>
      </c>
      <c r="AE296" s="3" t="str">
        <f>IF(CAPSTONE_PROJECT[[#This Row],[Length of Stay]]&lt;=3,"Short Stay",IF(CAPSTONE_PROJECT[[#This Row],[Length of Stay]]&lt;=7,"Moderate Stay",IF(CAPSTONE_PROJECT[[#This Row],[Length of Stay]]&lt;=14,"Long Stay","Extended Stay")))</f>
        <v>Extended Stay</v>
      </c>
    </row>
    <row r="297" spans="1:31" x14ac:dyDescent="0.3">
      <c r="A297" s="3" t="s">
        <v>651</v>
      </c>
      <c r="B297" s="4">
        <v>45433</v>
      </c>
      <c r="C297" s="4">
        <v>45452</v>
      </c>
      <c r="D297" s="4">
        <v>22986</v>
      </c>
      <c r="E297" s="3">
        <v>63</v>
      </c>
      <c r="F297" s="3" t="s">
        <v>18</v>
      </c>
      <c r="G297" s="3" t="s">
        <v>61</v>
      </c>
      <c r="H297" s="3" t="s">
        <v>1080</v>
      </c>
      <c r="I297" s="3" t="s">
        <v>13</v>
      </c>
      <c r="J297" s="3" t="s">
        <v>45</v>
      </c>
      <c r="K297" s="3" t="s">
        <v>24</v>
      </c>
      <c r="L297" s="6">
        <v>813.3</v>
      </c>
      <c r="M297" s="6">
        <v>1774.64</v>
      </c>
      <c r="N297" s="6">
        <v>2530.7800000000002</v>
      </c>
      <c r="O297" s="6">
        <v>13349.23</v>
      </c>
      <c r="P297" s="3" t="s">
        <v>51</v>
      </c>
      <c r="Q297" s="3" t="s">
        <v>1077</v>
      </c>
      <c r="R297" s="3" t="s">
        <v>68</v>
      </c>
      <c r="S297" s="3" t="s">
        <v>652</v>
      </c>
      <c r="T297" s="3">
        <v>7</v>
      </c>
      <c r="U297" s="3">
        <f>CAPSTONE_PROJECT[[#This Row],[Discharge Date]]-CAPSTONE_PROJECT[[#This Row],[Admission Date]]</f>
        <v>19</v>
      </c>
      <c r="V297" s="6">
        <f>SUM(CAPSTONE_PROJECT[[#This Row],[Room Cost]:[Treatment Cost]])</f>
        <v>18467.95</v>
      </c>
      <c r="W297" s="6">
        <f t="shared" si="4"/>
        <v>971.99736842105267</v>
      </c>
      <c r="X297" s="3" t="str">
        <f>TEXT(CAPSTONE_PROJECT[[#This Row],[Admission Date]],"mmmm")</f>
        <v>May</v>
      </c>
      <c r="Y297" s="3" t="str">
        <f>TEXT(CAPSTONE_PROJECT[[#This Row],[Admission Date]],"yyyy")</f>
        <v>2024</v>
      </c>
      <c r="Z297" s="3" t="str">
        <f>TEXT(CAPSTONE_PROJECT[[#This Row],[Admission Date]],"mmm yyyy")</f>
        <v>May 2024</v>
      </c>
      <c r="AA297" s="3" t="str">
        <f>TEXT(CAPSTONE_PROJECT[[#This Row],[Admission Date]],"dddd")</f>
        <v>Tuesday</v>
      </c>
      <c r="AB297" s="3" t="str">
        <f>IF(CAPSTONE_PROJECT[[#This Row],[Age]]&lt;=34,"Young Adults",IF(CAPSTONE_PROJECT[[#This Row],[Age]]&lt;=59,"Adults","Elders"))</f>
        <v>Elders</v>
      </c>
      <c r="AC297" s="3" t="str">
        <f>_xlfn.XLOOKUP(CAPSTONE_PROJECT[[#This Row],[Patient ID]],'Lookup table'!A:A,'Lookup table'!B:B,,0)</f>
        <v>Sophia E Wood</v>
      </c>
      <c r="AD297" s="3" t="str">
        <f>_xlfn.XLOOKUP(CAPSTONE_PROJECT[[#This Row],[Patient ID]],'Lookup table'!A:A,'Lookup table'!C:C,,0)</f>
        <v>Female</v>
      </c>
      <c r="AE297" s="3" t="str">
        <f>IF(CAPSTONE_PROJECT[[#This Row],[Length of Stay]]&lt;=3,"Short Stay",IF(CAPSTONE_PROJECT[[#This Row],[Length of Stay]]&lt;=7,"Moderate Stay",IF(CAPSTONE_PROJECT[[#This Row],[Length of Stay]]&lt;=14,"Long Stay","Extended Stay")))</f>
        <v>Extended Stay</v>
      </c>
    </row>
    <row r="298" spans="1:31" x14ac:dyDescent="0.3">
      <c r="A298" s="3" t="s">
        <v>653</v>
      </c>
      <c r="B298" s="4">
        <v>45509</v>
      </c>
      <c r="C298" s="4">
        <v>45510</v>
      </c>
      <c r="D298" s="4">
        <v>18112</v>
      </c>
      <c r="E298" s="3">
        <v>76</v>
      </c>
      <c r="F298" s="3" t="s">
        <v>8</v>
      </c>
      <c r="G298" s="3" t="s">
        <v>48</v>
      </c>
      <c r="H298" s="3" t="s">
        <v>72</v>
      </c>
      <c r="I298" s="3" t="s">
        <v>22</v>
      </c>
      <c r="J298" s="3" t="s">
        <v>15</v>
      </c>
      <c r="K298" s="3" t="s">
        <v>50</v>
      </c>
      <c r="L298" s="6">
        <v>689.78</v>
      </c>
      <c r="M298" s="6">
        <v>390.31</v>
      </c>
      <c r="N298" s="6">
        <v>512.04999999999995</v>
      </c>
      <c r="O298" s="6">
        <v>13679.2</v>
      </c>
      <c r="P298" s="3" t="s">
        <v>16</v>
      </c>
      <c r="Q298" s="3" t="s">
        <v>1082</v>
      </c>
      <c r="R298" s="3" t="s">
        <v>68</v>
      </c>
      <c r="S298" s="3" t="s">
        <v>654</v>
      </c>
      <c r="T298" s="3">
        <v>10</v>
      </c>
      <c r="U298" s="3">
        <f>CAPSTONE_PROJECT[[#This Row],[Discharge Date]]-CAPSTONE_PROJECT[[#This Row],[Admission Date]]</f>
        <v>1</v>
      </c>
      <c r="V298" s="6">
        <f>SUM(CAPSTONE_PROJECT[[#This Row],[Room Cost]:[Treatment Cost]])</f>
        <v>15271.34</v>
      </c>
      <c r="W298" s="6">
        <f t="shared" si="4"/>
        <v>15271.34</v>
      </c>
      <c r="X298" s="3" t="str">
        <f>TEXT(CAPSTONE_PROJECT[[#This Row],[Admission Date]],"mmmm")</f>
        <v>August</v>
      </c>
      <c r="Y298" s="3" t="str">
        <f>TEXT(CAPSTONE_PROJECT[[#This Row],[Admission Date]],"yyyy")</f>
        <v>2024</v>
      </c>
      <c r="Z298" s="3" t="str">
        <f>TEXT(CAPSTONE_PROJECT[[#This Row],[Admission Date]],"mmm yyyy")</f>
        <v>Aug 2024</v>
      </c>
      <c r="AA298" s="3" t="str">
        <f>TEXT(CAPSTONE_PROJECT[[#This Row],[Admission Date]],"dddd")</f>
        <v>Monday</v>
      </c>
      <c r="AB298" s="3" t="str">
        <f>IF(CAPSTONE_PROJECT[[#This Row],[Age]]&lt;=34,"Young Adults",IF(CAPSTONE_PROJECT[[#This Row],[Age]]&lt;=59,"Adults","Elders"))</f>
        <v>Elders</v>
      </c>
      <c r="AC298" s="3" t="str">
        <f>_xlfn.XLOOKUP(CAPSTONE_PROJECT[[#This Row],[Patient ID]],'Lookup table'!A:A,'Lookup table'!B:B,,0)</f>
        <v>Benjamin Brown</v>
      </c>
      <c r="AD298" s="3" t="str">
        <f>_xlfn.XLOOKUP(CAPSTONE_PROJECT[[#This Row],[Patient ID]],'Lookup table'!A:A,'Lookup table'!C:C,,0)</f>
        <v>Male</v>
      </c>
      <c r="AE298" s="3" t="str">
        <f>IF(CAPSTONE_PROJECT[[#This Row],[Length of Stay]]&lt;=3,"Short Stay",IF(CAPSTONE_PROJECT[[#This Row],[Length of Stay]]&lt;=7,"Moderate Stay",IF(CAPSTONE_PROJECT[[#This Row],[Length of Stay]]&lt;=14,"Long Stay","Extended Stay")))</f>
        <v>Short Stay</v>
      </c>
    </row>
    <row r="299" spans="1:31" x14ac:dyDescent="0.3">
      <c r="A299" s="3" t="s">
        <v>655</v>
      </c>
      <c r="B299" s="4">
        <v>45404</v>
      </c>
      <c r="C299" s="4">
        <v>45412</v>
      </c>
      <c r="D299" s="4">
        <v>27084</v>
      </c>
      <c r="E299" s="3">
        <v>52</v>
      </c>
      <c r="F299" s="3" t="s">
        <v>8</v>
      </c>
      <c r="G299" s="3" t="s">
        <v>53</v>
      </c>
      <c r="H299" s="3" t="s">
        <v>43</v>
      </c>
      <c r="I299" s="3" t="s">
        <v>22</v>
      </c>
      <c r="J299" s="3" t="s">
        <v>73</v>
      </c>
      <c r="K299" s="3" t="s">
        <v>24</v>
      </c>
      <c r="L299" s="6">
        <v>3306.2</v>
      </c>
      <c r="M299" s="6">
        <v>894.7</v>
      </c>
      <c r="N299" s="6">
        <v>2066.19</v>
      </c>
      <c r="O299" s="6">
        <v>6655.81</v>
      </c>
      <c r="P299" s="3" t="s">
        <v>31</v>
      </c>
      <c r="Q299" s="3" t="s">
        <v>1082</v>
      </c>
      <c r="R299" s="3" t="s">
        <v>102</v>
      </c>
      <c r="S299" s="3" t="s">
        <v>656</v>
      </c>
      <c r="T299" s="3">
        <v>8</v>
      </c>
      <c r="U299" s="3">
        <f>CAPSTONE_PROJECT[[#This Row],[Discharge Date]]-CAPSTONE_PROJECT[[#This Row],[Admission Date]]</f>
        <v>8</v>
      </c>
      <c r="V299" s="6">
        <f>SUM(CAPSTONE_PROJECT[[#This Row],[Room Cost]:[Treatment Cost]])</f>
        <v>12922.900000000001</v>
      </c>
      <c r="W299" s="6">
        <f t="shared" si="4"/>
        <v>1615.3625000000002</v>
      </c>
      <c r="X299" s="3" t="str">
        <f>TEXT(CAPSTONE_PROJECT[[#This Row],[Admission Date]],"mmmm")</f>
        <v>April</v>
      </c>
      <c r="Y299" s="3" t="str">
        <f>TEXT(CAPSTONE_PROJECT[[#This Row],[Admission Date]],"yyyy")</f>
        <v>2024</v>
      </c>
      <c r="Z299" s="3" t="str">
        <f>TEXT(CAPSTONE_PROJECT[[#This Row],[Admission Date]],"mmm yyyy")</f>
        <v>Apr 2024</v>
      </c>
      <c r="AA299" s="3" t="str">
        <f>TEXT(CAPSTONE_PROJECT[[#This Row],[Admission Date]],"dddd")</f>
        <v>Monday</v>
      </c>
      <c r="AB299" s="3" t="str">
        <f>IF(CAPSTONE_PROJECT[[#This Row],[Age]]&lt;=34,"Young Adults",IF(CAPSTONE_PROJECT[[#This Row],[Age]]&lt;=59,"Adults","Elders"))</f>
        <v>Adults</v>
      </c>
      <c r="AC299" s="3" t="str">
        <f>_xlfn.XLOOKUP(CAPSTONE_PROJECT[[#This Row],[Patient ID]],'Lookup table'!A:A,'Lookup table'!B:B,,0)</f>
        <v>Freya S Green</v>
      </c>
      <c r="AD299" s="3" t="str">
        <f>_xlfn.XLOOKUP(CAPSTONE_PROJECT[[#This Row],[Patient ID]],'Lookup table'!A:A,'Lookup table'!C:C,,0)</f>
        <v>Female</v>
      </c>
      <c r="AE299" s="3" t="str">
        <f>IF(CAPSTONE_PROJECT[[#This Row],[Length of Stay]]&lt;=3,"Short Stay",IF(CAPSTONE_PROJECT[[#This Row],[Length of Stay]]&lt;=7,"Moderate Stay",IF(CAPSTONE_PROJECT[[#This Row],[Length of Stay]]&lt;=14,"Long Stay","Extended Stay")))</f>
        <v>Long Stay</v>
      </c>
    </row>
    <row r="300" spans="1:31" x14ac:dyDescent="0.3">
      <c r="A300" s="3" t="s">
        <v>657</v>
      </c>
      <c r="B300" s="4">
        <v>45834</v>
      </c>
      <c r="C300" s="4">
        <v>45854</v>
      </c>
      <c r="D300" s="4">
        <v>20737</v>
      </c>
      <c r="E300" s="3">
        <v>69</v>
      </c>
      <c r="F300" s="3" t="s">
        <v>8</v>
      </c>
      <c r="G300" s="3" t="s">
        <v>40</v>
      </c>
      <c r="H300" s="3" t="s">
        <v>1080</v>
      </c>
      <c r="I300" s="3" t="s">
        <v>37</v>
      </c>
      <c r="J300" s="3" t="s">
        <v>15</v>
      </c>
      <c r="K300" s="3" t="s">
        <v>65</v>
      </c>
      <c r="L300" s="6">
        <v>2346.52</v>
      </c>
      <c r="M300" s="6">
        <v>409.29</v>
      </c>
      <c r="N300" s="6">
        <v>0</v>
      </c>
      <c r="O300" s="6">
        <v>0</v>
      </c>
      <c r="P300" s="3" t="s">
        <v>31</v>
      </c>
      <c r="Q300" s="3" t="s">
        <v>1087</v>
      </c>
      <c r="R300" s="3" t="s">
        <v>19</v>
      </c>
      <c r="S300" s="3" t="s">
        <v>658</v>
      </c>
      <c r="T300" s="3">
        <v>2</v>
      </c>
      <c r="U300" s="3">
        <f>CAPSTONE_PROJECT[[#This Row],[Discharge Date]]-CAPSTONE_PROJECT[[#This Row],[Admission Date]]</f>
        <v>20</v>
      </c>
      <c r="V300" s="6">
        <f>SUM(CAPSTONE_PROJECT[[#This Row],[Room Cost]:[Treatment Cost]])</f>
        <v>2755.81</v>
      </c>
      <c r="W300" s="6">
        <f t="shared" si="4"/>
        <v>137.79050000000001</v>
      </c>
      <c r="X300" s="3" t="str">
        <f>TEXT(CAPSTONE_PROJECT[[#This Row],[Admission Date]],"mmmm")</f>
        <v>June</v>
      </c>
      <c r="Y300" s="3" t="str">
        <f>TEXT(CAPSTONE_PROJECT[[#This Row],[Admission Date]],"yyyy")</f>
        <v>2025</v>
      </c>
      <c r="Z300" s="3" t="str">
        <f>TEXT(CAPSTONE_PROJECT[[#This Row],[Admission Date]],"mmm yyyy")</f>
        <v>Jun 2025</v>
      </c>
      <c r="AA300" s="3" t="str">
        <f>TEXT(CAPSTONE_PROJECT[[#This Row],[Admission Date]],"dddd")</f>
        <v>Thursday</v>
      </c>
      <c r="AB300" s="3" t="str">
        <f>IF(CAPSTONE_PROJECT[[#This Row],[Age]]&lt;=34,"Young Adults",IF(CAPSTONE_PROJECT[[#This Row],[Age]]&lt;=59,"Adults","Elders"))</f>
        <v>Elders</v>
      </c>
      <c r="AC300" s="3" t="str">
        <f>_xlfn.XLOOKUP(CAPSTONE_PROJECT[[#This Row],[Patient ID]],'Lookup table'!A:A,'Lookup table'!B:B,,0)</f>
        <v>Benjamin C Brown</v>
      </c>
      <c r="AD300" s="3" t="str">
        <f>_xlfn.XLOOKUP(CAPSTONE_PROJECT[[#This Row],[Patient ID]],'Lookup table'!A:A,'Lookup table'!C:C,,0)</f>
        <v>Male</v>
      </c>
      <c r="AE300" s="3" t="str">
        <f>IF(CAPSTONE_PROJECT[[#This Row],[Length of Stay]]&lt;=3,"Short Stay",IF(CAPSTONE_PROJECT[[#This Row],[Length of Stay]]&lt;=7,"Moderate Stay",IF(CAPSTONE_PROJECT[[#This Row],[Length of Stay]]&lt;=14,"Long Stay","Extended Stay")))</f>
        <v>Extended Stay</v>
      </c>
    </row>
    <row r="301" spans="1:31" x14ac:dyDescent="0.3">
      <c r="A301" s="3" t="s">
        <v>659</v>
      </c>
      <c r="B301" s="4">
        <v>45295</v>
      </c>
      <c r="C301" s="4">
        <v>45299</v>
      </c>
      <c r="D301" s="4">
        <v>33156</v>
      </c>
      <c r="E301" s="3">
        <v>35</v>
      </c>
      <c r="F301" s="3" t="s">
        <v>8</v>
      </c>
      <c r="G301" s="3" t="s">
        <v>139</v>
      </c>
      <c r="H301" s="3" t="s">
        <v>114</v>
      </c>
      <c r="I301" s="3" t="s">
        <v>37</v>
      </c>
      <c r="J301" s="3" t="s">
        <v>23</v>
      </c>
      <c r="K301" s="3" t="s">
        <v>65</v>
      </c>
      <c r="L301" s="6">
        <v>238.4</v>
      </c>
      <c r="M301" s="6">
        <v>1019.16</v>
      </c>
      <c r="N301" s="6">
        <v>1385.26</v>
      </c>
      <c r="O301" s="6">
        <v>3976.2</v>
      </c>
      <c r="P301" s="3" t="s">
        <v>16</v>
      </c>
      <c r="Q301" s="3" t="s">
        <v>1085</v>
      </c>
      <c r="R301" s="3" t="s">
        <v>41</v>
      </c>
      <c r="S301" s="3" t="s">
        <v>660</v>
      </c>
      <c r="T301" s="3">
        <v>4</v>
      </c>
      <c r="U301" s="3">
        <f>CAPSTONE_PROJECT[[#This Row],[Discharge Date]]-CAPSTONE_PROJECT[[#This Row],[Admission Date]]</f>
        <v>4</v>
      </c>
      <c r="V301" s="6">
        <f>SUM(CAPSTONE_PROJECT[[#This Row],[Room Cost]:[Treatment Cost]])</f>
        <v>6619.0199999999995</v>
      </c>
      <c r="W301" s="6">
        <f t="shared" si="4"/>
        <v>1654.7549999999999</v>
      </c>
      <c r="X301" s="3" t="str">
        <f>TEXT(CAPSTONE_PROJECT[[#This Row],[Admission Date]],"mmmm")</f>
        <v>January</v>
      </c>
      <c r="Y301" s="3" t="str">
        <f>TEXT(CAPSTONE_PROJECT[[#This Row],[Admission Date]],"yyyy")</f>
        <v>2024</v>
      </c>
      <c r="Z301" s="3" t="str">
        <f>TEXT(CAPSTONE_PROJECT[[#This Row],[Admission Date]],"mmm yyyy")</f>
        <v>Jan 2024</v>
      </c>
      <c r="AA301" s="3" t="str">
        <f>TEXT(CAPSTONE_PROJECT[[#This Row],[Admission Date]],"dddd")</f>
        <v>Thursday</v>
      </c>
      <c r="AB301" s="3" t="str">
        <f>IF(CAPSTONE_PROJECT[[#This Row],[Age]]&lt;=34,"Young Adults",IF(CAPSTONE_PROJECT[[#This Row],[Age]]&lt;=59,"Adults","Elders"))</f>
        <v>Adults</v>
      </c>
      <c r="AC301" s="3" t="str">
        <f>_xlfn.XLOOKUP(CAPSTONE_PROJECT[[#This Row],[Patient ID]],'Lookup table'!A:A,'Lookup table'!B:B,,0)</f>
        <v>Amelia E Hall</v>
      </c>
      <c r="AD301" s="3" t="str">
        <f>_xlfn.XLOOKUP(CAPSTONE_PROJECT[[#This Row],[Patient ID]],'Lookup table'!A:A,'Lookup table'!C:C,,0)</f>
        <v>Female</v>
      </c>
      <c r="AE301" s="3" t="str">
        <f>IF(CAPSTONE_PROJECT[[#This Row],[Length of Stay]]&lt;=3,"Short Stay",IF(CAPSTONE_PROJECT[[#This Row],[Length of Stay]]&lt;=7,"Moderate Stay",IF(CAPSTONE_PROJECT[[#This Row],[Length of Stay]]&lt;=14,"Long Stay","Extended Stay")))</f>
        <v>Moderate Stay</v>
      </c>
    </row>
    <row r="302" spans="1:31" x14ac:dyDescent="0.3">
      <c r="A302" s="3" t="s">
        <v>661</v>
      </c>
      <c r="B302" s="4">
        <v>45309</v>
      </c>
      <c r="C302" s="4">
        <v>45328</v>
      </c>
      <c r="D302" s="4">
        <v>27427</v>
      </c>
      <c r="E302" s="3">
        <v>51</v>
      </c>
      <c r="F302" s="3" t="s">
        <v>8</v>
      </c>
      <c r="G302" s="3" t="s">
        <v>57</v>
      </c>
      <c r="H302" s="3" t="s">
        <v>12</v>
      </c>
      <c r="I302" s="3" t="s">
        <v>22</v>
      </c>
      <c r="J302" s="3" t="s">
        <v>30</v>
      </c>
      <c r="K302" s="3" t="s">
        <v>15</v>
      </c>
      <c r="L302" s="6">
        <v>4426.82</v>
      </c>
      <c r="M302" s="6">
        <v>69.400000000000006</v>
      </c>
      <c r="N302" s="6">
        <v>727.53</v>
      </c>
      <c r="O302" s="6">
        <v>2616.94</v>
      </c>
      <c r="P302" s="3" t="s">
        <v>51</v>
      </c>
      <c r="Q302" s="3" t="s">
        <v>1081</v>
      </c>
      <c r="R302" s="3" t="s">
        <v>62</v>
      </c>
      <c r="S302" s="3" t="s">
        <v>662</v>
      </c>
      <c r="T302" s="3">
        <v>2</v>
      </c>
      <c r="U302" s="3">
        <f>CAPSTONE_PROJECT[[#This Row],[Discharge Date]]-CAPSTONE_PROJECT[[#This Row],[Admission Date]]</f>
        <v>19</v>
      </c>
      <c r="V302" s="6">
        <f>SUM(CAPSTONE_PROJECT[[#This Row],[Room Cost]:[Treatment Cost]])</f>
        <v>7840.6899999999987</v>
      </c>
      <c r="W302" s="6">
        <f t="shared" si="4"/>
        <v>412.66789473684202</v>
      </c>
      <c r="X302" s="3" t="str">
        <f>TEXT(CAPSTONE_PROJECT[[#This Row],[Admission Date]],"mmmm")</f>
        <v>January</v>
      </c>
      <c r="Y302" s="3" t="str">
        <f>TEXT(CAPSTONE_PROJECT[[#This Row],[Admission Date]],"yyyy")</f>
        <v>2024</v>
      </c>
      <c r="Z302" s="3" t="str">
        <f>TEXT(CAPSTONE_PROJECT[[#This Row],[Admission Date]],"mmm yyyy")</f>
        <v>Jan 2024</v>
      </c>
      <c r="AA302" s="3" t="str">
        <f>TEXT(CAPSTONE_PROJECT[[#This Row],[Admission Date]],"dddd")</f>
        <v>Thursday</v>
      </c>
      <c r="AB302" s="3" t="str">
        <f>IF(CAPSTONE_PROJECT[[#This Row],[Age]]&lt;=34,"Young Adults",IF(CAPSTONE_PROJECT[[#This Row],[Age]]&lt;=59,"Adults","Elders"))</f>
        <v>Adults</v>
      </c>
      <c r="AC302" s="3" t="str">
        <f>_xlfn.XLOOKUP(CAPSTONE_PROJECT[[#This Row],[Patient ID]],'Lookup table'!A:A,'Lookup table'!B:B,,0)</f>
        <v>Leo Wood</v>
      </c>
      <c r="AD302" s="3" t="str">
        <f>_xlfn.XLOOKUP(CAPSTONE_PROJECT[[#This Row],[Patient ID]],'Lookup table'!A:A,'Lookup table'!C:C,,0)</f>
        <v>Male</v>
      </c>
      <c r="AE302" s="3" t="str">
        <f>IF(CAPSTONE_PROJECT[[#This Row],[Length of Stay]]&lt;=3,"Short Stay",IF(CAPSTONE_PROJECT[[#This Row],[Length of Stay]]&lt;=7,"Moderate Stay",IF(CAPSTONE_PROJECT[[#This Row],[Length of Stay]]&lt;=14,"Long Stay","Extended Stay")))</f>
        <v>Extended Stay</v>
      </c>
    </row>
    <row r="303" spans="1:31" x14ac:dyDescent="0.3">
      <c r="A303" s="3" t="s">
        <v>663</v>
      </c>
      <c r="B303" s="4">
        <v>45801</v>
      </c>
      <c r="C303" s="4">
        <v>45802</v>
      </c>
      <c r="D303" s="4">
        <v>31848</v>
      </c>
      <c r="E303" s="3">
        <v>39</v>
      </c>
      <c r="F303" s="3" t="s">
        <v>8</v>
      </c>
      <c r="G303" s="3" t="s">
        <v>9</v>
      </c>
      <c r="H303" s="3" t="s">
        <v>72</v>
      </c>
      <c r="I303" s="3" t="s">
        <v>22</v>
      </c>
      <c r="J303" s="3" t="s">
        <v>64</v>
      </c>
      <c r="K303" s="3" t="s">
        <v>15</v>
      </c>
      <c r="L303" s="6">
        <v>493.95</v>
      </c>
      <c r="M303" s="6">
        <v>1474.16</v>
      </c>
      <c r="N303" s="6">
        <v>1542.63</v>
      </c>
      <c r="O303" s="6">
        <v>5335.32</v>
      </c>
      <c r="P303" s="3" t="s">
        <v>16</v>
      </c>
      <c r="Q303" s="3" t="s">
        <v>1087</v>
      </c>
      <c r="R303" s="3" t="s">
        <v>35</v>
      </c>
      <c r="S303" s="3" t="s">
        <v>664</v>
      </c>
      <c r="T303" s="3">
        <v>2</v>
      </c>
      <c r="U303" s="3">
        <f>CAPSTONE_PROJECT[[#This Row],[Discharge Date]]-CAPSTONE_PROJECT[[#This Row],[Admission Date]]</f>
        <v>1</v>
      </c>
      <c r="V303" s="6">
        <f>SUM(CAPSTONE_PROJECT[[#This Row],[Room Cost]:[Treatment Cost]])</f>
        <v>8846.06</v>
      </c>
      <c r="W303" s="6">
        <f t="shared" si="4"/>
        <v>8846.06</v>
      </c>
      <c r="X303" s="3" t="str">
        <f>TEXT(CAPSTONE_PROJECT[[#This Row],[Admission Date]],"mmmm")</f>
        <v>May</v>
      </c>
      <c r="Y303" s="3" t="str">
        <f>TEXT(CAPSTONE_PROJECT[[#This Row],[Admission Date]],"yyyy")</f>
        <v>2025</v>
      </c>
      <c r="Z303" s="3" t="str">
        <f>TEXT(CAPSTONE_PROJECT[[#This Row],[Admission Date]],"mmm yyyy")</f>
        <v>May 2025</v>
      </c>
      <c r="AA303" s="3" t="str">
        <f>TEXT(CAPSTONE_PROJECT[[#This Row],[Admission Date]],"dddd")</f>
        <v>Saturday</v>
      </c>
      <c r="AB303" s="3" t="str">
        <f>IF(CAPSTONE_PROJECT[[#This Row],[Age]]&lt;=34,"Young Adults",IF(CAPSTONE_PROJECT[[#This Row],[Age]]&lt;=59,"Adults","Elders"))</f>
        <v>Adults</v>
      </c>
      <c r="AC303" s="3" t="str">
        <f>_xlfn.XLOOKUP(CAPSTONE_PROJECT[[#This Row],[Patient ID]],'Lookup table'!A:A,'Lookup table'!B:B,,0)</f>
        <v>Sophia Smith</v>
      </c>
      <c r="AD303" s="3" t="str">
        <f>_xlfn.XLOOKUP(CAPSTONE_PROJECT[[#This Row],[Patient ID]],'Lookup table'!A:A,'Lookup table'!C:C,,0)</f>
        <v>Female</v>
      </c>
      <c r="AE303" s="3" t="str">
        <f>IF(CAPSTONE_PROJECT[[#This Row],[Length of Stay]]&lt;=3,"Short Stay",IF(CAPSTONE_PROJECT[[#This Row],[Length of Stay]]&lt;=7,"Moderate Stay",IF(CAPSTONE_PROJECT[[#This Row],[Length of Stay]]&lt;=14,"Long Stay","Extended Stay")))</f>
        <v>Short Stay</v>
      </c>
    </row>
    <row r="304" spans="1:31" x14ac:dyDescent="0.3">
      <c r="A304" s="3" t="s">
        <v>665</v>
      </c>
      <c r="B304" s="4">
        <v>45647</v>
      </c>
      <c r="C304" s="4">
        <v>45657</v>
      </c>
      <c r="D304" s="4">
        <v>34930</v>
      </c>
      <c r="E304" s="3">
        <v>30</v>
      </c>
      <c r="F304" s="3" t="s">
        <v>8</v>
      </c>
      <c r="G304" s="3" t="s">
        <v>139</v>
      </c>
      <c r="H304" s="3" t="s">
        <v>100</v>
      </c>
      <c r="I304" s="3" t="s">
        <v>44</v>
      </c>
      <c r="J304" s="3" t="s">
        <v>30</v>
      </c>
      <c r="K304" s="3" t="s">
        <v>65</v>
      </c>
      <c r="L304" s="6">
        <v>184.03</v>
      </c>
      <c r="M304" s="6">
        <v>1413.71</v>
      </c>
      <c r="N304" s="6">
        <v>2028.09</v>
      </c>
      <c r="O304" s="6">
        <v>1859.37</v>
      </c>
      <c r="P304" s="3" t="s">
        <v>51</v>
      </c>
      <c r="Q304" s="3" t="s">
        <v>1078</v>
      </c>
      <c r="R304" s="3" t="s">
        <v>62</v>
      </c>
      <c r="S304" s="3" t="s">
        <v>666</v>
      </c>
      <c r="T304" s="3">
        <v>9</v>
      </c>
      <c r="U304" s="3">
        <f>CAPSTONE_PROJECT[[#This Row],[Discharge Date]]-CAPSTONE_PROJECT[[#This Row],[Admission Date]]</f>
        <v>10</v>
      </c>
      <c r="V304" s="6">
        <f>SUM(CAPSTONE_PROJECT[[#This Row],[Room Cost]:[Treatment Cost]])</f>
        <v>5485.2</v>
      </c>
      <c r="W304" s="6">
        <f t="shared" si="4"/>
        <v>548.52</v>
      </c>
      <c r="X304" s="3" t="str">
        <f>TEXT(CAPSTONE_PROJECT[[#This Row],[Admission Date]],"mmmm")</f>
        <v>December</v>
      </c>
      <c r="Y304" s="3" t="str">
        <f>TEXT(CAPSTONE_PROJECT[[#This Row],[Admission Date]],"yyyy")</f>
        <v>2024</v>
      </c>
      <c r="Z304" s="3" t="str">
        <f>TEXT(CAPSTONE_PROJECT[[#This Row],[Admission Date]],"mmm yyyy")</f>
        <v>Dec 2024</v>
      </c>
      <c r="AA304" s="3" t="str">
        <f>TEXT(CAPSTONE_PROJECT[[#This Row],[Admission Date]],"dddd")</f>
        <v>Saturday</v>
      </c>
      <c r="AB304" s="3" t="str">
        <f>IF(CAPSTONE_PROJECT[[#This Row],[Age]]&lt;=34,"Young Adults",IF(CAPSTONE_PROJECT[[#This Row],[Age]]&lt;=59,"Adults","Elders"))</f>
        <v>Young Adults</v>
      </c>
      <c r="AC304" s="3" t="str">
        <f>_xlfn.XLOOKUP(CAPSTONE_PROJECT[[#This Row],[Patient ID]],'Lookup table'!A:A,'Lookup table'!B:B,,0)</f>
        <v>Daniel K Green</v>
      </c>
      <c r="AD304" s="3" t="str">
        <f>_xlfn.XLOOKUP(CAPSTONE_PROJECT[[#This Row],[Patient ID]],'Lookup table'!A:A,'Lookup table'!C:C,,0)</f>
        <v>Male</v>
      </c>
      <c r="AE304" s="3" t="str">
        <f>IF(CAPSTONE_PROJECT[[#This Row],[Length of Stay]]&lt;=3,"Short Stay",IF(CAPSTONE_PROJECT[[#This Row],[Length of Stay]]&lt;=7,"Moderate Stay",IF(CAPSTONE_PROJECT[[#This Row],[Length of Stay]]&lt;=14,"Long Stay","Extended Stay")))</f>
        <v>Long Stay</v>
      </c>
    </row>
    <row r="305" spans="1:31" x14ac:dyDescent="0.3">
      <c r="A305" s="3" t="s">
        <v>667</v>
      </c>
      <c r="B305" s="4">
        <v>45806</v>
      </c>
      <c r="C305" s="4">
        <v>45824</v>
      </c>
      <c r="D305" s="4">
        <v>19520</v>
      </c>
      <c r="E305" s="3">
        <v>73</v>
      </c>
      <c r="F305" s="3" t="s">
        <v>18</v>
      </c>
      <c r="G305" s="3" t="s">
        <v>9</v>
      </c>
      <c r="H305" s="3" t="s">
        <v>114</v>
      </c>
      <c r="I305" s="3" t="s">
        <v>22</v>
      </c>
      <c r="J305" s="3" t="s">
        <v>23</v>
      </c>
      <c r="K305" s="3" t="s">
        <v>15</v>
      </c>
      <c r="L305" s="6">
        <v>4849.92</v>
      </c>
      <c r="M305" s="6">
        <v>1601.98</v>
      </c>
      <c r="N305" s="6">
        <v>898.21</v>
      </c>
      <c r="O305" s="6">
        <v>12498.93</v>
      </c>
      <c r="P305" s="3" t="s">
        <v>51</v>
      </c>
      <c r="Q305" s="3" t="s">
        <v>1078</v>
      </c>
      <c r="R305" s="3" t="s">
        <v>10</v>
      </c>
      <c r="S305" s="3" t="s">
        <v>668</v>
      </c>
      <c r="T305" s="3">
        <v>1</v>
      </c>
      <c r="U305" s="3">
        <f>CAPSTONE_PROJECT[[#This Row],[Discharge Date]]-CAPSTONE_PROJECT[[#This Row],[Admission Date]]</f>
        <v>18</v>
      </c>
      <c r="V305" s="6">
        <f>SUM(CAPSTONE_PROJECT[[#This Row],[Room Cost]:[Treatment Cost]])</f>
        <v>19849.04</v>
      </c>
      <c r="W305" s="6">
        <f t="shared" si="4"/>
        <v>1102.7244444444445</v>
      </c>
      <c r="X305" s="3" t="str">
        <f>TEXT(CAPSTONE_PROJECT[[#This Row],[Admission Date]],"mmmm")</f>
        <v>May</v>
      </c>
      <c r="Y305" s="3" t="str">
        <f>TEXT(CAPSTONE_PROJECT[[#This Row],[Admission Date]],"yyyy")</f>
        <v>2025</v>
      </c>
      <c r="Z305" s="3" t="str">
        <f>TEXT(CAPSTONE_PROJECT[[#This Row],[Admission Date]],"mmm yyyy")</f>
        <v>May 2025</v>
      </c>
      <c r="AA305" s="3" t="str">
        <f>TEXT(CAPSTONE_PROJECT[[#This Row],[Admission Date]],"dddd")</f>
        <v>Thursday</v>
      </c>
      <c r="AB305" s="3" t="str">
        <f>IF(CAPSTONE_PROJECT[[#This Row],[Age]]&lt;=34,"Young Adults",IF(CAPSTONE_PROJECT[[#This Row],[Age]]&lt;=59,"Adults","Elders"))</f>
        <v>Elders</v>
      </c>
      <c r="AC305" s="3" t="str">
        <f>_xlfn.XLOOKUP(CAPSTONE_PROJECT[[#This Row],[Patient ID]],'Lookup table'!A:A,'Lookup table'!B:B,,0)</f>
        <v>Olivia K Wood</v>
      </c>
      <c r="AD305" s="3" t="str">
        <f>_xlfn.XLOOKUP(CAPSTONE_PROJECT[[#This Row],[Patient ID]],'Lookup table'!A:A,'Lookup table'!C:C,,0)</f>
        <v>Female</v>
      </c>
      <c r="AE305" s="3" t="str">
        <f>IF(CAPSTONE_PROJECT[[#This Row],[Length of Stay]]&lt;=3,"Short Stay",IF(CAPSTONE_PROJECT[[#This Row],[Length of Stay]]&lt;=7,"Moderate Stay",IF(CAPSTONE_PROJECT[[#This Row],[Length of Stay]]&lt;=14,"Long Stay","Extended Stay")))</f>
        <v>Extended Stay</v>
      </c>
    </row>
    <row r="306" spans="1:31" x14ac:dyDescent="0.3">
      <c r="A306" s="3" t="s">
        <v>669</v>
      </c>
      <c r="B306" s="4">
        <v>45604</v>
      </c>
      <c r="C306" s="4">
        <v>45607</v>
      </c>
      <c r="D306" s="4">
        <v>29321</v>
      </c>
      <c r="E306" s="3">
        <v>46</v>
      </c>
      <c r="F306" s="3" t="s">
        <v>8</v>
      </c>
      <c r="G306" s="3" t="s">
        <v>139</v>
      </c>
      <c r="H306" s="3" t="s">
        <v>12</v>
      </c>
      <c r="I306" s="3" t="s">
        <v>37</v>
      </c>
      <c r="J306" s="3" t="s">
        <v>73</v>
      </c>
      <c r="K306" s="3" t="s">
        <v>65</v>
      </c>
      <c r="L306" s="6">
        <v>2655.66</v>
      </c>
      <c r="M306" s="6">
        <v>1233.6099999999999</v>
      </c>
      <c r="N306" s="6">
        <v>1667.24</v>
      </c>
      <c r="O306" s="6">
        <v>13023.59</v>
      </c>
      <c r="P306" s="3" t="s">
        <v>51</v>
      </c>
      <c r="Q306" s="3" t="s">
        <v>1087</v>
      </c>
      <c r="R306" s="3" t="s">
        <v>75</v>
      </c>
      <c r="S306" s="3" t="s">
        <v>670</v>
      </c>
      <c r="T306" s="3">
        <v>7</v>
      </c>
      <c r="U306" s="3">
        <f>CAPSTONE_PROJECT[[#This Row],[Discharge Date]]-CAPSTONE_PROJECT[[#This Row],[Admission Date]]</f>
        <v>3</v>
      </c>
      <c r="V306" s="6">
        <f>SUM(CAPSTONE_PROJECT[[#This Row],[Room Cost]:[Treatment Cost]])</f>
        <v>18580.099999999999</v>
      </c>
      <c r="W306" s="6">
        <f t="shared" si="4"/>
        <v>6193.3666666666659</v>
      </c>
      <c r="X306" s="3" t="str">
        <f>TEXT(CAPSTONE_PROJECT[[#This Row],[Admission Date]],"mmmm")</f>
        <v>November</v>
      </c>
      <c r="Y306" s="3" t="str">
        <f>TEXT(CAPSTONE_PROJECT[[#This Row],[Admission Date]],"yyyy")</f>
        <v>2024</v>
      </c>
      <c r="Z306" s="3" t="str">
        <f>TEXT(CAPSTONE_PROJECT[[#This Row],[Admission Date]],"mmm yyyy")</f>
        <v>Nov 2024</v>
      </c>
      <c r="AA306" s="3" t="str">
        <f>TEXT(CAPSTONE_PROJECT[[#This Row],[Admission Date]],"dddd")</f>
        <v>Friday</v>
      </c>
      <c r="AB306" s="3" t="str">
        <f>IF(CAPSTONE_PROJECT[[#This Row],[Age]]&lt;=34,"Young Adults",IF(CAPSTONE_PROJECT[[#This Row],[Age]]&lt;=59,"Adults","Elders"))</f>
        <v>Adults</v>
      </c>
      <c r="AC306" s="3" t="str">
        <f>_xlfn.XLOOKUP(CAPSTONE_PROJECT[[#This Row],[Patient ID]],'Lookup table'!A:A,'Lookup table'!B:B,,0)</f>
        <v>Noah I Green</v>
      </c>
      <c r="AD306" s="3" t="str">
        <f>_xlfn.XLOOKUP(CAPSTONE_PROJECT[[#This Row],[Patient ID]],'Lookup table'!A:A,'Lookup table'!C:C,,0)</f>
        <v>Male</v>
      </c>
      <c r="AE306" s="3" t="str">
        <f>IF(CAPSTONE_PROJECT[[#This Row],[Length of Stay]]&lt;=3,"Short Stay",IF(CAPSTONE_PROJECT[[#This Row],[Length of Stay]]&lt;=7,"Moderate Stay",IF(CAPSTONE_PROJECT[[#This Row],[Length of Stay]]&lt;=14,"Long Stay","Extended Stay")))</f>
        <v>Short Stay</v>
      </c>
    </row>
    <row r="307" spans="1:31" x14ac:dyDescent="0.3">
      <c r="A307" s="3" t="s">
        <v>671</v>
      </c>
      <c r="B307" s="4">
        <v>45704</v>
      </c>
      <c r="C307" s="4">
        <v>45705</v>
      </c>
      <c r="D307" s="4">
        <v>17719</v>
      </c>
      <c r="E307" s="3">
        <v>77</v>
      </c>
      <c r="F307" s="3" t="s">
        <v>47</v>
      </c>
      <c r="G307" s="3" t="s">
        <v>67</v>
      </c>
      <c r="H307" s="3" t="s">
        <v>1080</v>
      </c>
      <c r="I307" s="3" t="s">
        <v>37</v>
      </c>
      <c r="J307" s="3" t="s">
        <v>45</v>
      </c>
      <c r="K307" s="3" t="s">
        <v>50</v>
      </c>
      <c r="L307" s="6">
        <v>4170.6400000000003</v>
      </c>
      <c r="M307" s="6">
        <v>1886.78</v>
      </c>
      <c r="N307" s="6">
        <v>280.47000000000003</v>
      </c>
      <c r="O307" s="6">
        <v>10448.42</v>
      </c>
      <c r="P307" s="3" t="s">
        <v>16</v>
      </c>
      <c r="Q307" s="3" t="s">
        <v>1079</v>
      </c>
      <c r="R307" s="3" t="s">
        <v>54</v>
      </c>
      <c r="S307" s="3" t="s">
        <v>672</v>
      </c>
      <c r="T307" s="3">
        <v>5</v>
      </c>
      <c r="U307" s="3">
        <f>CAPSTONE_PROJECT[[#This Row],[Discharge Date]]-CAPSTONE_PROJECT[[#This Row],[Admission Date]]</f>
        <v>1</v>
      </c>
      <c r="V307" s="6">
        <f>SUM(CAPSTONE_PROJECT[[#This Row],[Room Cost]:[Treatment Cost]])</f>
        <v>16786.310000000001</v>
      </c>
      <c r="W307" s="6">
        <f t="shared" si="4"/>
        <v>16786.310000000001</v>
      </c>
      <c r="X307" s="3" t="str">
        <f>TEXT(CAPSTONE_PROJECT[[#This Row],[Admission Date]],"mmmm")</f>
        <v>February</v>
      </c>
      <c r="Y307" s="3" t="str">
        <f>TEXT(CAPSTONE_PROJECT[[#This Row],[Admission Date]],"yyyy")</f>
        <v>2025</v>
      </c>
      <c r="Z307" s="3" t="str">
        <f>TEXT(CAPSTONE_PROJECT[[#This Row],[Admission Date]],"mmm yyyy")</f>
        <v>Feb 2025</v>
      </c>
      <c r="AA307" s="3" t="str">
        <f>TEXT(CAPSTONE_PROJECT[[#This Row],[Admission Date]],"dddd")</f>
        <v>Sunday</v>
      </c>
      <c r="AB307" s="3" t="str">
        <f>IF(CAPSTONE_PROJECT[[#This Row],[Age]]&lt;=34,"Young Adults",IF(CAPSTONE_PROJECT[[#This Row],[Age]]&lt;=59,"Adults","Elders"))</f>
        <v>Elders</v>
      </c>
      <c r="AC307" s="3" t="str">
        <f>_xlfn.XLOOKUP(CAPSTONE_PROJECT[[#This Row],[Patient ID]],'Lookup table'!A:A,'Lookup table'!B:B,,0)</f>
        <v>Lily Hall</v>
      </c>
      <c r="AD307" s="3" t="str">
        <f>_xlfn.XLOOKUP(CAPSTONE_PROJECT[[#This Row],[Patient ID]],'Lookup table'!A:A,'Lookup table'!C:C,,0)</f>
        <v>Female</v>
      </c>
      <c r="AE307" s="3" t="str">
        <f>IF(CAPSTONE_PROJECT[[#This Row],[Length of Stay]]&lt;=3,"Short Stay",IF(CAPSTONE_PROJECT[[#This Row],[Length of Stay]]&lt;=7,"Moderate Stay",IF(CAPSTONE_PROJECT[[#This Row],[Length of Stay]]&lt;=14,"Long Stay","Extended Stay")))</f>
        <v>Short Stay</v>
      </c>
    </row>
    <row r="308" spans="1:31" x14ac:dyDescent="0.3">
      <c r="A308" s="3" t="s">
        <v>673</v>
      </c>
      <c r="B308" s="4">
        <v>45298</v>
      </c>
      <c r="C308" s="4">
        <v>45314</v>
      </c>
      <c r="D308" s="4">
        <v>31191</v>
      </c>
      <c r="E308" s="3">
        <v>41</v>
      </c>
      <c r="F308" s="3" t="s">
        <v>47</v>
      </c>
      <c r="G308" s="3" t="s">
        <v>57</v>
      </c>
      <c r="H308" s="3" t="s">
        <v>21</v>
      </c>
      <c r="I308" s="3" t="s">
        <v>13</v>
      </c>
      <c r="J308" s="3" t="s">
        <v>23</v>
      </c>
      <c r="K308" s="3" t="s">
        <v>24</v>
      </c>
      <c r="L308" s="6">
        <v>3782.93</v>
      </c>
      <c r="M308" s="6">
        <v>1289.1600000000001</v>
      </c>
      <c r="N308" s="6">
        <v>736.38</v>
      </c>
      <c r="O308" s="6">
        <v>14574.76</v>
      </c>
      <c r="P308" s="3" t="s">
        <v>31</v>
      </c>
      <c r="Q308" s="3" t="s">
        <v>1076</v>
      </c>
      <c r="R308" s="3" t="s">
        <v>68</v>
      </c>
      <c r="S308" s="3" t="s">
        <v>674</v>
      </c>
      <c r="T308" s="3">
        <v>2</v>
      </c>
      <c r="U308" s="3">
        <f>CAPSTONE_PROJECT[[#This Row],[Discharge Date]]-CAPSTONE_PROJECT[[#This Row],[Admission Date]]</f>
        <v>16</v>
      </c>
      <c r="V308" s="6">
        <f>SUM(CAPSTONE_PROJECT[[#This Row],[Room Cost]:[Treatment Cost]])</f>
        <v>20383.23</v>
      </c>
      <c r="W308" s="6">
        <f t="shared" si="4"/>
        <v>1273.951875</v>
      </c>
      <c r="X308" s="3" t="str">
        <f>TEXT(CAPSTONE_PROJECT[[#This Row],[Admission Date]],"mmmm")</f>
        <v>January</v>
      </c>
      <c r="Y308" s="3" t="str">
        <f>TEXT(CAPSTONE_PROJECT[[#This Row],[Admission Date]],"yyyy")</f>
        <v>2024</v>
      </c>
      <c r="Z308" s="3" t="str">
        <f>TEXT(CAPSTONE_PROJECT[[#This Row],[Admission Date]],"mmm yyyy")</f>
        <v>Jan 2024</v>
      </c>
      <c r="AA308" s="3" t="str">
        <f>TEXT(CAPSTONE_PROJECT[[#This Row],[Admission Date]],"dddd")</f>
        <v>Sunday</v>
      </c>
      <c r="AB308" s="3" t="str">
        <f>IF(CAPSTONE_PROJECT[[#This Row],[Age]]&lt;=34,"Young Adults",IF(CAPSTONE_PROJECT[[#This Row],[Age]]&lt;=59,"Adults","Elders"))</f>
        <v>Adults</v>
      </c>
      <c r="AC308" s="3" t="str">
        <f>_xlfn.XLOOKUP(CAPSTONE_PROJECT[[#This Row],[Patient ID]],'Lookup table'!A:A,'Lookup table'!B:B,,0)</f>
        <v>Daniel Taylor</v>
      </c>
      <c r="AD308" s="3" t="str">
        <f>_xlfn.XLOOKUP(CAPSTONE_PROJECT[[#This Row],[Patient ID]],'Lookup table'!A:A,'Lookup table'!C:C,,0)</f>
        <v>Male</v>
      </c>
      <c r="AE308" s="3" t="str">
        <f>IF(CAPSTONE_PROJECT[[#This Row],[Length of Stay]]&lt;=3,"Short Stay",IF(CAPSTONE_PROJECT[[#This Row],[Length of Stay]]&lt;=7,"Moderate Stay",IF(CAPSTONE_PROJECT[[#This Row],[Length of Stay]]&lt;=14,"Long Stay","Extended Stay")))</f>
        <v>Extended Stay</v>
      </c>
    </row>
    <row r="309" spans="1:31" x14ac:dyDescent="0.3">
      <c r="A309" s="3" t="s">
        <v>675</v>
      </c>
      <c r="B309" s="4">
        <v>45965</v>
      </c>
      <c r="C309" s="4">
        <v>45973</v>
      </c>
      <c r="D309" s="4">
        <v>20541</v>
      </c>
      <c r="E309" s="3">
        <v>70</v>
      </c>
      <c r="F309" s="3" t="s">
        <v>8</v>
      </c>
      <c r="G309" s="3" t="s">
        <v>53</v>
      </c>
      <c r="H309" s="3" t="s">
        <v>114</v>
      </c>
      <c r="I309" s="3" t="s">
        <v>37</v>
      </c>
      <c r="J309" s="3" t="s">
        <v>30</v>
      </c>
      <c r="K309" s="3" t="s">
        <v>65</v>
      </c>
      <c r="L309" s="6">
        <v>4885.28</v>
      </c>
      <c r="M309" s="6">
        <v>1373.52</v>
      </c>
      <c r="N309" s="6">
        <v>2048.0500000000002</v>
      </c>
      <c r="O309" s="6">
        <v>10133.43</v>
      </c>
      <c r="P309" s="3" t="s">
        <v>51</v>
      </c>
      <c r="Q309" s="3" t="s">
        <v>1082</v>
      </c>
      <c r="R309" s="3" t="s">
        <v>10</v>
      </c>
      <c r="S309" s="3" t="s">
        <v>676</v>
      </c>
      <c r="T309" s="3">
        <v>5</v>
      </c>
      <c r="U309" s="3">
        <f>CAPSTONE_PROJECT[[#This Row],[Discharge Date]]-CAPSTONE_PROJECT[[#This Row],[Admission Date]]</f>
        <v>8</v>
      </c>
      <c r="V309" s="6">
        <f>SUM(CAPSTONE_PROJECT[[#This Row],[Room Cost]:[Treatment Cost]])</f>
        <v>18440.28</v>
      </c>
      <c r="W309" s="6">
        <f t="shared" si="4"/>
        <v>2305.0349999999999</v>
      </c>
      <c r="X309" s="3" t="str">
        <f>TEXT(CAPSTONE_PROJECT[[#This Row],[Admission Date]],"mmmm")</f>
        <v>November</v>
      </c>
      <c r="Y309" s="3" t="str">
        <f>TEXT(CAPSTONE_PROJECT[[#This Row],[Admission Date]],"yyyy")</f>
        <v>2025</v>
      </c>
      <c r="Z309" s="3" t="str">
        <f>TEXT(CAPSTONE_PROJECT[[#This Row],[Admission Date]],"mmm yyyy")</f>
        <v>Nov 2025</v>
      </c>
      <c r="AA309" s="3" t="str">
        <f>TEXT(CAPSTONE_PROJECT[[#This Row],[Admission Date]],"dddd")</f>
        <v>Tuesday</v>
      </c>
      <c r="AB309" s="3" t="str">
        <f>IF(CAPSTONE_PROJECT[[#This Row],[Age]]&lt;=34,"Young Adults",IF(CAPSTONE_PROJECT[[#This Row],[Age]]&lt;=59,"Adults","Elders"))</f>
        <v>Elders</v>
      </c>
      <c r="AC309" s="3" t="str">
        <f>_xlfn.XLOOKUP(CAPSTONE_PROJECT[[#This Row],[Patient ID]],'Lookup table'!A:A,'Lookup table'!B:B,,0)</f>
        <v>Mia X Brown</v>
      </c>
      <c r="AD309" s="3" t="str">
        <f>_xlfn.XLOOKUP(CAPSTONE_PROJECT[[#This Row],[Patient ID]],'Lookup table'!A:A,'Lookup table'!C:C,,0)</f>
        <v>Female</v>
      </c>
      <c r="AE309" s="3" t="str">
        <f>IF(CAPSTONE_PROJECT[[#This Row],[Length of Stay]]&lt;=3,"Short Stay",IF(CAPSTONE_PROJECT[[#This Row],[Length of Stay]]&lt;=7,"Moderate Stay",IF(CAPSTONE_PROJECT[[#This Row],[Length of Stay]]&lt;=14,"Long Stay","Extended Stay")))</f>
        <v>Long Stay</v>
      </c>
    </row>
    <row r="310" spans="1:31" x14ac:dyDescent="0.3">
      <c r="A310" s="3" t="s">
        <v>677</v>
      </c>
      <c r="B310" s="4">
        <v>45771</v>
      </c>
      <c r="C310" s="4">
        <v>45786</v>
      </c>
      <c r="D310" s="4">
        <v>37777</v>
      </c>
      <c r="E310" s="3">
        <v>23</v>
      </c>
      <c r="F310" s="3" t="s">
        <v>47</v>
      </c>
      <c r="G310" s="3" t="s">
        <v>78</v>
      </c>
      <c r="H310" s="3" t="s">
        <v>12</v>
      </c>
      <c r="I310" s="3" t="s">
        <v>44</v>
      </c>
      <c r="J310" s="3" t="s">
        <v>30</v>
      </c>
      <c r="K310" s="3" t="s">
        <v>15</v>
      </c>
      <c r="L310" s="6">
        <v>4099.6499999999996</v>
      </c>
      <c r="M310" s="6">
        <v>1016.29</v>
      </c>
      <c r="N310" s="6">
        <v>1565.06</v>
      </c>
      <c r="O310" s="6">
        <v>2533.16</v>
      </c>
      <c r="P310" s="3" t="s">
        <v>51</v>
      </c>
      <c r="Q310" s="3" t="s">
        <v>1085</v>
      </c>
      <c r="R310" s="3" t="s">
        <v>41</v>
      </c>
      <c r="S310" s="3" t="s">
        <v>678</v>
      </c>
      <c r="T310" s="3">
        <v>9</v>
      </c>
      <c r="U310" s="3">
        <f>CAPSTONE_PROJECT[[#This Row],[Discharge Date]]-CAPSTONE_PROJECT[[#This Row],[Admission Date]]</f>
        <v>15</v>
      </c>
      <c r="V310" s="6">
        <f>SUM(CAPSTONE_PROJECT[[#This Row],[Room Cost]:[Treatment Cost]])</f>
        <v>9214.16</v>
      </c>
      <c r="W310" s="6">
        <f t="shared" si="4"/>
        <v>614.27733333333333</v>
      </c>
      <c r="X310" s="3" t="str">
        <f>TEXT(CAPSTONE_PROJECT[[#This Row],[Admission Date]],"mmmm")</f>
        <v>April</v>
      </c>
      <c r="Y310" s="3" t="str">
        <f>TEXT(CAPSTONE_PROJECT[[#This Row],[Admission Date]],"yyyy")</f>
        <v>2025</v>
      </c>
      <c r="Z310" s="3" t="str">
        <f>TEXT(CAPSTONE_PROJECT[[#This Row],[Admission Date]],"mmm yyyy")</f>
        <v>Apr 2025</v>
      </c>
      <c r="AA310" s="3" t="str">
        <f>TEXT(CAPSTONE_PROJECT[[#This Row],[Admission Date]],"dddd")</f>
        <v>Thursday</v>
      </c>
      <c r="AB310" s="3" t="str">
        <f>IF(CAPSTONE_PROJECT[[#This Row],[Age]]&lt;=34,"Young Adults",IF(CAPSTONE_PROJECT[[#This Row],[Age]]&lt;=59,"Adults","Elders"))</f>
        <v>Young Adults</v>
      </c>
      <c r="AC310" s="3" t="str">
        <f>_xlfn.XLOOKUP(CAPSTONE_PROJECT[[#This Row],[Patient ID]],'Lookup table'!A:A,'Lookup table'!B:B,,0)</f>
        <v>Samuel Smith</v>
      </c>
      <c r="AD310" s="3" t="str">
        <f>_xlfn.XLOOKUP(CAPSTONE_PROJECT[[#This Row],[Patient ID]],'Lookup table'!A:A,'Lookup table'!C:C,,0)</f>
        <v>Male</v>
      </c>
      <c r="AE310" s="3" t="str">
        <f>IF(CAPSTONE_PROJECT[[#This Row],[Length of Stay]]&lt;=3,"Short Stay",IF(CAPSTONE_PROJECT[[#This Row],[Length of Stay]]&lt;=7,"Moderate Stay",IF(CAPSTONE_PROJECT[[#This Row],[Length of Stay]]&lt;=14,"Long Stay","Extended Stay")))</f>
        <v>Extended Stay</v>
      </c>
    </row>
    <row r="311" spans="1:31" x14ac:dyDescent="0.3">
      <c r="A311" s="3" t="s">
        <v>679</v>
      </c>
      <c r="B311" s="4">
        <v>45894</v>
      </c>
      <c r="C311" s="4">
        <v>45913</v>
      </c>
      <c r="D311" s="4">
        <v>19704</v>
      </c>
      <c r="E311" s="3">
        <v>72</v>
      </c>
      <c r="F311" s="3" t="s">
        <v>33</v>
      </c>
      <c r="G311" s="3" t="s">
        <v>34</v>
      </c>
      <c r="H311" s="3" t="s">
        <v>29</v>
      </c>
      <c r="I311" s="3" t="s">
        <v>13</v>
      </c>
      <c r="J311" s="3" t="s">
        <v>14</v>
      </c>
      <c r="K311" s="3" t="s">
        <v>24</v>
      </c>
      <c r="L311" s="6">
        <v>741.15</v>
      </c>
      <c r="M311" s="6">
        <v>816.33</v>
      </c>
      <c r="N311" s="6">
        <v>236.95</v>
      </c>
      <c r="O311" s="6">
        <v>2412.42</v>
      </c>
      <c r="P311" s="3" t="s">
        <v>31</v>
      </c>
      <c r="Q311" s="3" t="s">
        <v>1084</v>
      </c>
      <c r="R311" s="3" t="s">
        <v>102</v>
      </c>
      <c r="S311" s="3" t="s">
        <v>680</v>
      </c>
      <c r="T311" s="3">
        <v>3</v>
      </c>
      <c r="U311" s="3">
        <f>CAPSTONE_PROJECT[[#This Row],[Discharge Date]]-CAPSTONE_PROJECT[[#This Row],[Admission Date]]</f>
        <v>19</v>
      </c>
      <c r="V311" s="6">
        <f>SUM(CAPSTONE_PROJECT[[#This Row],[Room Cost]:[Treatment Cost]])</f>
        <v>4206.8500000000004</v>
      </c>
      <c r="W311" s="6">
        <f t="shared" si="4"/>
        <v>221.41315789473686</v>
      </c>
      <c r="X311" s="3" t="str">
        <f>TEXT(CAPSTONE_PROJECT[[#This Row],[Admission Date]],"mmmm")</f>
        <v>August</v>
      </c>
      <c r="Y311" s="3" t="str">
        <f>TEXT(CAPSTONE_PROJECT[[#This Row],[Admission Date]],"yyyy")</f>
        <v>2025</v>
      </c>
      <c r="Z311" s="3" t="str">
        <f>TEXT(CAPSTONE_PROJECT[[#This Row],[Admission Date]],"mmm yyyy")</f>
        <v>Aug 2025</v>
      </c>
      <c r="AA311" s="3" t="str">
        <f>TEXT(CAPSTONE_PROJECT[[#This Row],[Admission Date]],"dddd")</f>
        <v>Monday</v>
      </c>
      <c r="AB311" s="3" t="str">
        <f>IF(CAPSTONE_PROJECT[[#This Row],[Age]]&lt;=34,"Young Adults",IF(CAPSTONE_PROJECT[[#This Row],[Age]]&lt;=59,"Adults","Elders"))</f>
        <v>Elders</v>
      </c>
      <c r="AC311" s="3" t="str">
        <f>_xlfn.XLOOKUP(CAPSTONE_PROJECT[[#This Row],[Patient ID]],'Lookup table'!A:A,'Lookup table'!B:B,,0)</f>
        <v>Grace Jones</v>
      </c>
      <c r="AD311" s="3" t="str">
        <f>_xlfn.XLOOKUP(CAPSTONE_PROJECT[[#This Row],[Patient ID]],'Lookup table'!A:A,'Lookup table'!C:C,,0)</f>
        <v>Female</v>
      </c>
      <c r="AE311" s="3" t="str">
        <f>IF(CAPSTONE_PROJECT[[#This Row],[Length of Stay]]&lt;=3,"Short Stay",IF(CAPSTONE_PROJECT[[#This Row],[Length of Stay]]&lt;=7,"Moderate Stay",IF(CAPSTONE_PROJECT[[#This Row],[Length of Stay]]&lt;=14,"Long Stay","Extended Stay")))</f>
        <v>Extended Stay</v>
      </c>
    </row>
    <row r="312" spans="1:31" x14ac:dyDescent="0.3">
      <c r="A312" s="3" t="s">
        <v>681</v>
      </c>
      <c r="B312" s="4">
        <v>45752</v>
      </c>
      <c r="C312" s="4">
        <v>45765</v>
      </c>
      <c r="D312" s="4">
        <v>23796</v>
      </c>
      <c r="E312" s="3">
        <v>61</v>
      </c>
      <c r="F312" s="3" t="s">
        <v>33</v>
      </c>
      <c r="G312" s="3" t="s">
        <v>57</v>
      </c>
      <c r="H312" s="3" t="s">
        <v>114</v>
      </c>
      <c r="I312" s="3" t="s">
        <v>37</v>
      </c>
      <c r="J312" s="3" t="s">
        <v>45</v>
      </c>
      <c r="K312" s="3" t="s">
        <v>50</v>
      </c>
      <c r="L312" s="6">
        <v>3498.83</v>
      </c>
      <c r="M312" s="6">
        <v>1793.6</v>
      </c>
      <c r="N312" s="6">
        <v>876.25</v>
      </c>
      <c r="O312" s="6">
        <v>944.56</v>
      </c>
      <c r="P312" s="3" t="s">
        <v>51</v>
      </c>
      <c r="Q312" s="3" t="s">
        <v>1084</v>
      </c>
      <c r="R312" s="3" t="s">
        <v>102</v>
      </c>
      <c r="S312" s="3" t="s">
        <v>682</v>
      </c>
      <c r="T312" s="3">
        <v>8</v>
      </c>
      <c r="U312" s="3">
        <f>CAPSTONE_PROJECT[[#This Row],[Discharge Date]]-CAPSTONE_PROJECT[[#This Row],[Admission Date]]</f>
        <v>13</v>
      </c>
      <c r="V312" s="6">
        <f>SUM(CAPSTONE_PROJECT[[#This Row],[Room Cost]:[Treatment Cost]])</f>
        <v>7113.24</v>
      </c>
      <c r="W312" s="6">
        <f t="shared" si="4"/>
        <v>547.17230769230764</v>
      </c>
      <c r="X312" s="3" t="str">
        <f>TEXT(CAPSTONE_PROJECT[[#This Row],[Admission Date]],"mmmm")</f>
        <v>April</v>
      </c>
      <c r="Y312" s="3" t="str">
        <f>TEXT(CAPSTONE_PROJECT[[#This Row],[Admission Date]],"yyyy")</f>
        <v>2025</v>
      </c>
      <c r="Z312" s="3" t="str">
        <f>TEXT(CAPSTONE_PROJECT[[#This Row],[Admission Date]],"mmm yyyy")</f>
        <v>Apr 2025</v>
      </c>
      <c r="AA312" s="3" t="str">
        <f>TEXT(CAPSTONE_PROJECT[[#This Row],[Admission Date]],"dddd")</f>
        <v>Saturday</v>
      </c>
      <c r="AB312" s="3" t="str">
        <f>IF(CAPSTONE_PROJECT[[#This Row],[Age]]&lt;=34,"Young Adults",IF(CAPSTONE_PROJECT[[#This Row],[Age]]&lt;=59,"Adults","Elders"))</f>
        <v>Elders</v>
      </c>
      <c r="AC312" s="3" t="str">
        <f>_xlfn.XLOOKUP(CAPSTONE_PROJECT[[#This Row],[Patient ID]],'Lookup table'!A:A,'Lookup table'!B:B,,0)</f>
        <v>Ethan Y Taylor</v>
      </c>
      <c r="AD312" s="3" t="str">
        <f>_xlfn.XLOOKUP(CAPSTONE_PROJECT[[#This Row],[Patient ID]],'Lookup table'!A:A,'Lookup table'!C:C,,0)</f>
        <v>Male</v>
      </c>
      <c r="AE312" s="3" t="str">
        <f>IF(CAPSTONE_PROJECT[[#This Row],[Length of Stay]]&lt;=3,"Short Stay",IF(CAPSTONE_PROJECT[[#This Row],[Length of Stay]]&lt;=7,"Moderate Stay",IF(CAPSTONE_PROJECT[[#This Row],[Length of Stay]]&lt;=14,"Long Stay","Extended Stay")))</f>
        <v>Long Stay</v>
      </c>
    </row>
    <row r="313" spans="1:31" x14ac:dyDescent="0.3">
      <c r="A313" s="3" t="s">
        <v>683</v>
      </c>
      <c r="B313" s="4">
        <v>45777</v>
      </c>
      <c r="C313" s="4">
        <v>45794</v>
      </c>
      <c r="D313" s="4">
        <v>20929</v>
      </c>
      <c r="E313" s="3">
        <v>69</v>
      </c>
      <c r="F313" s="3" t="s">
        <v>8</v>
      </c>
      <c r="G313" s="3" t="s">
        <v>27</v>
      </c>
      <c r="H313" s="3" t="s">
        <v>29</v>
      </c>
      <c r="I313" s="3" t="s">
        <v>22</v>
      </c>
      <c r="J313" s="3" t="s">
        <v>73</v>
      </c>
      <c r="K313" s="3" t="s">
        <v>24</v>
      </c>
      <c r="L313" s="6">
        <v>3037.8</v>
      </c>
      <c r="M313" s="6">
        <v>1811.89</v>
      </c>
      <c r="N313" s="6">
        <v>368.89</v>
      </c>
      <c r="O313" s="6">
        <v>14319.38</v>
      </c>
      <c r="P313" s="3" t="s">
        <v>51</v>
      </c>
      <c r="Q313" s="3" t="s">
        <v>1076</v>
      </c>
      <c r="R313" s="3" t="s">
        <v>19</v>
      </c>
      <c r="S313" s="3" t="s">
        <v>684</v>
      </c>
      <c r="T313" s="3">
        <v>7</v>
      </c>
      <c r="U313" s="3">
        <f>CAPSTONE_PROJECT[[#This Row],[Discharge Date]]-CAPSTONE_PROJECT[[#This Row],[Admission Date]]</f>
        <v>17</v>
      </c>
      <c r="V313" s="6">
        <f>SUM(CAPSTONE_PROJECT[[#This Row],[Room Cost]:[Treatment Cost]])</f>
        <v>19537.96</v>
      </c>
      <c r="W313" s="6">
        <f t="shared" si="4"/>
        <v>1149.2917647058823</v>
      </c>
      <c r="X313" s="3" t="str">
        <f>TEXT(CAPSTONE_PROJECT[[#This Row],[Admission Date]],"mmmm")</f>
        <v>April</v>
      </c>
      <c r="Y313" s="3" t="str">
        <f>TEXT(CAPSTONE_PROJECT[[#This Row],[Admission Date]],"yyyy")</f>
        <v>2025</v>
      </c>
      <c r="Z313" s="3" t="str">
        <f>TEXT(CAPSTONE_PROJECT[[#This Row],[Admission Date]],"mmm yyyy")</f>
        <v>Apr 2025</v>
      </c>
      <c r="AA313" s="3" t="str">
        <f>TEXT(CAPSTONE_PROJECT[[#This Row],[Admission Date]],"dddd")</f>
        <v>Wednesday</v>
      </c>
      <c r="AB313" s="3" t="str">
        <f>IF(CAPSTONE_PROJECT[[#This Row],[Age]]&lt;=34,"Young Adults",IF(CAPSTONE_PROJECT[[#This Row],[Age]]&lt;=59,"Adults","Elders"))</f>
        <v>Elders</v>
      </c>
      <c r="AC313" s="3" t="str">
        <f>_xlfn.XLOOKUP(CAPSTONE_PROJECT[[#This Row],[Patient ID]],'Lookup table'!A:A,'Lookup table'!B:B,,0)</f>
        <v>Amelia Smith</v>
      </c>
      <c r="AD313" s="3" t="str">
        <f>_xlfn.XLOOKUP(CAPSTONE_PROJECT[[#This Row],[Patient ID]],'Lookup table'!A:A,'Lookup table'!C:C,,0)</f>
        <v>Female</v>
      </c>
      <c r="AE313" s="3" t="str">
        <f>IF(CAPSTONE_PROJECT[[#This Row],[Length of Stay]]&lt;=3,"Short Stay",IF(CAPSTONE_PROJECT[[#This Row],[Length of Stay]]&lt;=7,"Moderate Stay",IF(CAPSTONE_PROJECT[[#This Row],[Length of Stay]]&lt;=14,"Long Stay","Extended Stay")))</f>
        <v>Extended Stay</v>
      </c>
    </row>
    <row r="314" spans="1:31" x14ac:dyDescent="0.3">
      <c r="A314" s="3" t="s">
        <v>685</v>
      </c>
      <c r="B314" s="4">
        <v>45822</v>
      </c>
      <c r="C314" s="4">
        <v>45842</v>
      </c>
      <c r="D314" s="4">
        <v>29136</v>
      </c>
      <c r="E314" s="3">
        <v>46</v>
      </c>
      <c r="F314" s="3" t="s">
        <v>18</v>
      </c>
      <c r="G314" s="3" t="s">
        <v>34</v>
      </c>
      <c r="H314" s="3" t="s">
        <v>104</v>
      </c>
      <c r="I314" s="3" t="s">
        <v>37</v>
      </c>
      <c r="J314" s="3" t="s">
        <v>45</v>
      </c>
      <c r="K314" s="3" t="s">
        <v>65</v>
      </c>
      <c r="L314" s="6">
        <v>423.58</v>
      </c>
      <c r="M314" s="6">
        <v>211.5</v>
      </c>
      <c r="N314" s="6">
        <v>2484.1</v>
      </c>
      <c r="O314" s="6">
        <v>14647</v>
      </c>
      <c r="P314" s="3" t="s">
        <v>31</v>
      </c>
      <c r="Q314" s="3" t="s">
        <v>1082</v>
      </c>
      <c r="R314" s="3" t="s">
        <v>58</v>
      </c>
      <c r="S314" s="3" t="s">
        <v>686</v>
      </c>
      <c r="T314" s="3">
        <v>0</v>
      </c>
      <c r="U314" s="3">
        <f>CAPSTONE_PROJECT[[#This Row],[Discharge Date]]-CAPSTONE_PROJECT[[#This Row],[Admission Date]]</f>
        <v>20</v>
      </c>
      <c r="V314" s="6">
        <f>SUM(CAPSTONE_PROJECT[[#This Row],[Room Cost]:[Treatment Cost]])</f>
        <v>17766.18</v>
      </c>
      <c r="W314" s="6">
        <f t="shared" si="4"/>
        <v>888.30899999999997</v>
      </c>
      <c r="X314" s="3" t="str">
        <f>TEXT(CAPSTONE_PROJECT[[#This Row],[Admission Date]],"mmmm")</f>
        <v>June</v>
      </c>
      <c r="Y314" s="3" t="str">
        <f>TEXT(CAPSTONE_PROJECT[[#This Row],[Admission Date]],"yyyy")</f>
        <v>2025</v>
      </c>
      <c r="Z314" s="3" t="str">
        <f>TEXT(CAPSTONE_PROJECT[[#This Row],[Admission Date]],"mmm yyyy")</f>
        <v>Jun 2025</v>
      </c>
      <c r="AA314" s="3" t="str">
        <f>TEXT(CAPSTONE_PROJECT[[#This Row],[Admission Date]],"dddd")</f>
        <v>Saturday</v>
      </c>
      <c r="AB314" s="3" t="str">
        <f>IF(CAPSTONE_PROJECT[[#This Row],[Age]]&lt;=34,"Young Adults",IF(CAPSTONE_PROJECT[[#This Row],[Age]]&lt;=59,"Adults","Elders"))</f>
        <v>Adults</v>
      </c>
      <c r="AC314" s="3" t="str">
        <f>_xlfn.XLOOKUP(CAPSTONE_PROJECT[[#This Row],[Patient ID]],'Lookup table'!A:A,'Lookup table'!B:B,,0)</f>
        <v>Henry H Brown</v>
      </c>
      <c r="AD314" s="3" t="str">
        <f>_xlfn.XLOOKUP(CAPSTONE_PROJECT[[#This Row],[Patient ID]],'Lookup table'!A:A,'Lookup table'!C:C,,0)</f>
        <v>Male</v>
      </c>
      <c r="AE314" s="3" t="str">
        <f>IF(CAPSTONE_PROJECT[[#This Row],[Length of Stay]]&lt;=3,"Short Stay",IF(CAPSTONE_PROJECT[[#This Row],[Length of Stay]]&lt;=7,"Moderate Stay",IF(CAPSTONE_PROJECT[[#This Row],[Length of Stay]]&lt;=14,"Long Stay","Extended Stay")))</f>
        <v>Extended Stay</v>
      </c>
    </row>
    <row r="315" spans="1:31" x14ac:dyDescent="0.3">
      <c r="A315" s="3" t="s">
        <v>687</v>
      </c>
      <c r="B315" s="4">
        <v>45334</v>
      </c>
      <c r="C315" s="4">
        <v>45338</v>
      </c>
      <c r="D315" s="4">
        <v>38420</v>
      </c>
      <c r="E315" s="3">
        <v>21</v>
      </c>
      <c r="F315" s="3" t="s">
        <v>18</v>
      </c>
      <c r="G315" s="3" t="s">
        <v>57</v>
      </c>
      <c r="H315" s="3" t="s">
        <v>43</v>
      </c>
      <c r="I315" s="3" t="s">
        <v>37</v>
      </c>
      <c r="J315" s="3" t="s">
        <v>15</v>
      </c>
      <c r="K315" s="3" t="s">
        <v>50</v>
      </c>
      <c r="L315" s="6">
        <v>4614.78</v>
      </c>
      <c r="M315" s="6">
        <v>921.9</v>
      </c>
      <c r="N315" s="6">
        <v>1864.76</v>
      </c>
      <c r="O315" s="6">
        <v>8241.34</v>
      </c>
      <c r="P315" s="3" t="s">
        <v>1083</v>
      </c>
      <c r="Q315" s="3" t="s">
        <v>1087</v>
      </c>
      <c r="R315" s="3" t="s">
        <v>54</v>
      </c>
      <c r="S315" s="3" t="s">
        <v>688</v>
      </c>
      <c r="T315" s="3">
        <v>4</v>
      </c>
      <c r="U315" s="3">
        <f>CAPSTONE_PROJECT[[#This Row],[Discharge Date]]-CAPSTONE_PROJECT[[#This Row],[Admission Date]]</f>
        <v>4</v>
      </c>
      <c r="V315" s="6">
        <f>SUM(CAPSTONE_PROJECT[[#This Row],[Room Cost]:[Treatment Cost]])</f>
        <v>15642.779999999999</v>
      </c>
      <c r="W315" s="6">
        <f t="shared" si="4"/>
        <v>3910.6949999999997</v>
      </c>
      <c r="X315" s="3" t="str">
        <f>TEXT(CAPSTONE_PROJECT[[#This Row],[Admission Date]],"mmmm")</f>
        <v>February</v>
      </c>
      <c r="Y315" s="3" t="str">
        <f>TEXT(CAPSTONE_PROJECT[[#This Row],[Admission Date]],"yyyy")</f>
        <v>2024</v>
      </c>
      <c r="Z315" s="3" t="str">
        <f>TEXT(CAPSTONE_PROJECT[[#This Row],[Admission Date]],"mmm yyyy")</f>
        <v>Feb 2024</v>
      </c>
      <c r="AA315" s="3" t="str">
        <f>TEXT(CAPSTONE_PROJECT[[#This Row],[Admission Date]],"dddd")</f>
        <v>Monday</v>
      </c>
      <c r="AB315" s="3" t="str">
        <f>IF(CAPSTONE_PROJECT[[#This Row],[Age]]&lt;=34,"Young Adults",IF(CAPSTONE_PROJECT[[#This Row],[Age]]&lt;=59,"Adults","Elders"))</f>
        <v>Young Adults</v>
      </c>
      <c r="AC315" s="3" t="str">
        <f>_xlfn.XLOOKUP(CAPSTONE_PROJECT[[#This Row],[Patient ID]],'Lookup table'!A:A,'Lookup table'!B:B,,0)</f>
        <v>Olivia T Brown</v>
      </c>
      <c r="AD315" s="3" t="str">
        <f>_xlfn.XLOOKUP(CAPSTONE_PROJECT[[#This Row],[Patient ID]],'Lookup table'!A:A,'Lookup table'!C:C,,0)</f>
        <v>Female</v>
      </c>
      <c r="AE315" s="3" t="str">
        <f>IF(CAPSTONE_PROJECT[[#This Row],[Length of Stay]]&lt;=3,"Short Stay",IF(CAPSTONE_PROJECT[[#This Row],[Length of Stay]]&lt;=7,"Moderate Stay",IF(CAPSTONE_PROJECT[[#This Row],[Length of Stay]]&lt;=14,"Long Stay","Extended Stay")))</f>
        <v>Moderate Stay</v>
      </c>
    </row>
    <row r="316" spans="1:31" x14ac:dyDescent="0.3">
      <c r="A316" s="3" t="s">
        <v>689</v>
      </c>
      <c r="B316" s="4">
        <v>45351</v>
      </c>
      <c r="C316" s="4">
        <v>45359</v>
      </c>
      <c r="D316" s="4">
        <v>20985</v>
      </c>
      <c r="E316" s="3">
        <v>68</v>
      </c>
      <c r="F316" s="3" t="s">
        <v>18</v>
      </c>
      <c r="G316" s="3" t="s">
        <v>126</v>
      </c>
      <c r="H316" s="3" t="s">
        <v>72</v>
      </c>
      <c r="I316" s="3" t="s">
        <v>37</v>
      </c>
      <c r="J316" s="3" t="s">
        <v>64</v>
      </c>
      <c r="K316" s="3" t="s">
        <v>50</v>
      </c>
      <c r="L316" s="6">
        <v>3405.87</v>
      </c>
      <c r="M316" s="6">
        <v>302.83</v>
      </c>
      <c r="N316" s="6">
        <v>0</v>
      </c>
      <c r="O316" s="6">
        <v>0</v>
      </c>
      <c r="P316" s="3" t="s">
        <v>31</v>
      </c>
      <c r="Q316" s="3" t="s">
        <v>1081</v>
      </c>
      <c r="R316" s="3" t="s">
        <v>19</v>
      </c>
      <c r="S316" s="3" t="s">
        <v>690</v>
      </c>
      <c r="T316" s="3">
        <v>9</v>
      </c>
      <c r="U316" s="3">
        <f>CAPSTONE_PROJECT[[#This Row],[Discharge Date]]-CAPSTONE_PROJECT[[#This Row],[Admission Date]]</f>
        <v>8</v>
      </c>
      <c r="V316" s="6">
        <f>SUM(CAPSTONE_PROJECT[[#This Row],[Room Cost]:[Treatment Cost]])</f>
        <v>3708.7</v>
      </c>
      <c r="W316" s="6">
        <f t="shared" si="4"/>
        <v>463.58749999999998</v>
      </c>
      <c r="X316" s="3" t="str">
        <f>TEXT(CAPSTONE_PROJECT[[#This Row],[Admission Date]],"mmmm")</f>
        <v>February</v>
      </c>
      <c r="Y316" s="3" t="str">
        <f>TEXT(CAPSTONE_PROJECT[[#This Row],[Admission Date]],"yyyy")</f>
        <v>2024</v>
      </c>
      <c r="Z316" s="3" t="str">
        <f>TEXT(CAPSTONE_PROJECT[[#This Row],[Admission Date]],"mmm yyyy")</f>
        <v>Feb 2024</v>
      </c>
      <c r="AA316" s="3" t="str">
        <f>TEXT(CAPSTONE_PROJECT[[#This Row],[Admission Date]],"dddd")</f>
        <v>Thursday</v>
      </c>
      <c r="AB316" s="3" t="str">
        <f>IF(CAPSTONE_PROJECT[[#This Row],[Age]]&lt;=34,"Young Adults",IF(CAPSTONE_PROJECT[[#This Row],[Age]]&lt;=59,"Adults","Elders"))</f>
        <v>Elders</v>
      </c>
      <c r="AC316" s="3" t="str">
        <f>_xlfn.XLOOKUP(CAPSTONE_PROJECT[[#This Row],[Patient ID]],'Lookup table'!A:A,'Lookup table'!B:B,,0)</f>
        <v>David E Jones</v>
      </c>
      <c r="AD316" s="3" t="str">
        <f>_xlfn.XLOOKUP(CAPSTONE_PROJECT[[#This Row],[Patient ID]],'Lookup table'!A:A,'Lookup table'!C:C,,0)</f>
        <v>Male</v>
      </c>
      <c r="AE316" s="3" t="str">
        <f>IF(CAPSTONE_PROJECT[[#This Row],[Length of Stay]]&lt;=3,"Short Stay",IF(CAPSTONE_PROJECT[[#This Row],[Length of Stay]]&lt;=7,"Moderate Stay",IF(CAPSTONE_PROJECT[[#This Row],[Length of Stay]]&lt;=14,"Long Stay","Extended Stay")))</f>
        <v>Long Stay</v>
      </c>
    </row>
    <row r="317" spans="1:31" x14ac:dyDescent="0.3">
      <c r="A317" s="3" t="s">
        <v>691</v>
      </c>
      <c r="B317" s="4">
        <v>45798</v>
      </c>
      <c r="C317" s="4">
        <v>45810</v>
      </c>
      <c r="D317" s="4">
        <v>38602</v>
      </c>
      <c r="E317" s="3">
        <v>20</v>
      </c>
      <c r="F317" s="3" t="s">
        <v>47</v>
      </c>
      <c r="G317" s="3" t="s">
        <v>126</v>
      </c>
      <c r="H317" s="3" t="s">
        <v>72</v>
      </c>
      <c r="I317" s="3" t="s">
        <v>44</v>
      </c>
      <c r="J317" s="3" t="s">
        <v>23</v>
      </c>
      <c r="K317" s="3" t="s">
        <v>50</v>
      </c>
      <c r="L317" s="6">
        <v>1838.27</v>
      </c>
      <c r="M317" s="6">
        <v>1544.82</v>
      </c>
      <c r="N317" s="6">
        <v>2337.27</v>
      </c>
      <c r="O317" s="6">
        <v>6237.91</v>
      </c>
      <c r="P317" s="3" t="s">
        <v>25</v>
      </c>
      <c r="Q317" s="3" t="s">
        <v>1079</v>
      </c>
      <c r="R317" s="3" t="s">
        <v>75</v>
      </c>
      <c r="S317" s="3" t="s">
        <v>692</v>
      </c>
      <c r="T317" s="3">
        <v>4</v>
      </c>
      <c r="U317" s="3">
        <f>CAPSTONE_PROJECT[[#This Row],[Discharge Date]]-CAPSTONE_PROJECT[[#This Row],[Admission Date]]</f>
        <v>12</v>
      </c>
      <c r="V317" s="6">
        <f>SUM(CAPSTONE_PROJECT[[#This Row],[Room Cost]:[Treatment Cost]])</f>
        <v>11958.27</v>
      </c>
      <c r="W317" s="6">
        <f t="shared" si="4"/>
        <v>996.52250000000004</v>
      </c>
      <c r="X317" s="3" t="str">
        <f>TEXT(CAPSTONE_PROJECT[[#This Row],[Admission Date]],"mmmm")</f>
        <v>May</v>
      </c>
      <c r="Y317" s="3" t="str">
        <f>TEXT(CAPSTONE_PROJECT[[#This Row],[Admission Date]],"yyyy")</f>
        <v>2025</v>
      </c>
      <c r="Z317" s="3" t="str">
        <f>TEXT(CAPSTONE_PROJECT[[#This Row],[Admission Date]],"mmm yyyy")</f>
        <v>May 2025</v>
      </c>
      <c r="AA317" s="3" t="str">
        <f>TEXT(CAPSTONE_PROJECT[[#This Row],[Admission Date]],"dddd")</f>
        <v>Wednesday</v>
      </c>
      <c r="AB317" s="3" t="str">
        <f>IF(CAPSTONE_PROJECT[[#This Row],[Age]]&lt;=34,"Young Adults",IF(CAPSTONE_PROJECT[[#This Row],[Age]]&lt;=59,"Adults","Elders"))</f>
        <v>Young Adults</v>
      </c>
      <c r="AC317" s="3" t="str">
        <f>_xlfn.XLOOKUP(CAPSTONE_PROJECT[[#This Row],[Patient ID]],'Lookup table'!A:A,'Lookup table'!B:B,,0)</f>
        <v>Mia S Wilson</v>
      </c>
      <c r="AD317" s="3" t="str">
        <f>_xlfn.XLOOKUP(CAPSTONE_PROJECT[[#This Row],[Patient ID]],'Lookup table'!A:A,'Lookup table'!C:C,,0)</f>
        <v>Female</v>
      </c>
      <c r="AE317" s="3" t="str">
        <f>IF(CAPSTONE_PROJECT[[#This Row],[Length of Stay]]&lt;=3,"Short Stay",IF(CAPSTONE_PROJECT[[#This Row],[Length of Stay]]&lt;=7,"Moderate Stay",IF(CAPSTONE_PROJECT[[#This Row],[Length of Stay]]&lt;=14,"Long Stay","Extended Stay")))</f>
        <v>Long Stay</v>
      </c>
    </row>
    <row r="318" spans="1:31" x14ac:dyDescent="0.3">
      <c r="A318" s="3" t="s">
        <v>693</v>
      </c>
      <c r="B318" s="4">
        <v>45957</v>
      </c>
      <c r="C318" s="4">
        <v>45972</v>
      </c>
      <c r="D318" s="4">
        <v>22265</v>
      </c>
      <c r="E318" s="3">
        <v>65</v>
      </c>
      <c r="F318" s="3" t="s">
        <v>33</v>
      </c>
      <c r="G318" s="3" t="s">
        <v>139</v>
      </c>
      <c r="H318" s="3" t="s">
        <v>100</v>
      </c>
      <c r="I318" s="3" t="s">
        <v>44</v>
      </c>
      <c r="J318" s="3" t="s">
        <v>15</v>
      </c>
      <c r="K318" s="3" t="s">
        <v>15</v>
      </c>
      <c r="L318" s="6">
        <v>2602.13</v>
      </c>
      <c r="M318" s="6">
        <v>1599.39</v>
      </c>
      <c r="N318" s="6">
        <v>1184.8</v>
      </c>
      <c r="O318" s="6">
        <v>9276.26</v>
      </c>
      <c r="P318" s="3" t="s">
        <v>31</v>
      </c>
      <c r="Q318" s="3" t="s">
        <v>1086</v>
      </c>
      <c r="R318" s="3" t="s">
        <v>58</v>
      </c>
      <c r="S318" s="3" t="s">
        <v>694</v>
      </c>
      <c r="T318" s="3">
        <v>7</v>
      </c>
      <c r="U318" s="3">
        <f>CAPSTONE_PROJECT[[#This Row],[Discharge Date]]-CAPSTONE_PROJECT[[#This Row],[Admission Date]]</f>
        <v>15</v>
      </c>
      <c r="V318" s="6">
        <f>SUM(CAPSTONE_PROJECT[[#This Row],[Room Cost]:[Treatment Cost]])</f>
        <v>14662.580000000002</v>
      </c>
      <c r="W318" s="6">
        <f t="shared" si="4"/>
        <v>977.5053333333334</v>
      </c>
      <c r="X318" s="3" t="str">
        <f>TEXT(CAPSTONE_PROJECT[[#This Row],[Admission Date]],"mmmm")</f>
        <v>October</v>
      </c>
      <c r="Y318" s="3" t="str">
        <f>TEXT(CAPSTONE_PROJECT[[#This Row],[Admission Date]],"yyyy")</f>
        <v>2025</v>
      </c>
      <c r="Z318" s="3" t="str">
        <f>TEXT(CAPSTONE_PROJECT[[#This Row],[Admission Date]],"mmm yyyy")</f>
        <v>Oct 2025</v>
      </c>
      <c r="AA318" s="3" t="str">
        <f>TEXT(CAPSTONE_PROJECT[[#This Row],[Admission Date]],"dddd")</f>
        <v>Monday</v>
      </c>
      <c r="AB318" s="3" t="str">
        <f>IF(CAPSTONE_PROJECT[[#This Row],[Age]]&lt;=34,"Young Adults",IF(CAPSTONE_PROJECT[[#This Row],[Age]]&lt;=59,"Adults","Elders"))</f>
        <v>Elders</v>
      </c>
      <c r="AC318" s="3" t="str">
        <f>_xlfn.XLOOKUP(CAPSTONE_PROJECT[[#This Row],[Patient ID]],'Lookup table'!A:A,'Lookup table'!B:B,,0)</f>
        <v>James W Wood</v>
      </c>
      <c r="AD318" s="3" t="str">
        <f>_xlfn.XLOOKUP(CAPSTONE_PROJECT[[#This Row],[Patient ID]],'Lookup table'!A:A,'Lookup table'!C:C,,0)</f>
        <v>Male</v>
      </c>
      <c r="AE318" s="3" t="str">
        <f>IF(CAPSTONE_PROJECT[[#This Row],[Length of Stay]]&lt;=3,"Short Stay",IF(CAPSTONE_PROJECT[[#This Row],[Length of Stay]]&lt;=7,"Moderate Stay",IF(CAPSTONE_PROJECT[[#This Row],[Length of Stay]]&lt;=14,"Long Stay","Extended Stay")))</f>
        <v>Extended Stay</v>
      </c>
    </row>
    <row r="319" spans="1:31" x14ac:dyDescent="0.3">
      <c r="A319" s="3" t="s">
        <v>695</v>
      </c>
      <c r="B319" s="4">
        <v>45897</v>
      </c>
      <c r="C319" s="4">
        <v>45904</v>
      </c>
      <c r="D319" s="4">
        <v>38133</v>
      </c>
      <c r="E319" s="3">
        <v>22</v>
      </c>
      <c r="F319" s="3" t="s">
        <v>8</v>
      </c>
      <c r="G319" s="3" t="s">
        <v>57</v>
      </c>
      <c r="H319" s="3" t="s">
        <v>43</v>
      </c>
      <c r="I319" s="3" t="s">
        <v>13</v>
      </c>
      <c r="J319" s="3" t="s">
        <v>38</v>
      </c>
      <c r="K319" s="3" t="s">
        <v>50</v>
      </c>
      <c r="L319" s="6">
        <v>2355.5500000000002</v>
      </c>
      <c r="M319" s="6">
        <v>569.57000000000005</v>
      </c>
      <c r="N319" s="6">
        <v>1879.26</v>
      </c>
      <c r="O319" s="6">
        <v>1028.7</v>
      </c>
      <c r="P319" s="3" t="s">
        <v>16</v>
      </c>
      <c r="Q319" s="3" t="s">
        <v>1076</v>
      </c>
      <c r="R319" s="3" t="s">
        <v>68</v>
      </c>
      <c r="S319" s="3" t="s">
        <v>696</v>
      </c>
      <c r="T319" s="3">
        <v>1</v>
      </c>
      <c r="U319" s="3">
        <f>CAPSTONE_PROJECT[[#This Row],[Discharge Date]]-CAPSTONE_PROJECT[[#This Row],[Admission Date]]</f>
        <v>7</v>
      </c>
      <c r="V319" s="6">
        <f>SUM(CAPSTONE_PROJECT[[#This Row],[Room Cost]:[Treatment Cost]])</f>
        <v>5833.08</v>
      </c>
      <c r="W319" s="6">
        <f t="shared" si="4"/>
        <v>833.29714285714283</v>
      </c>
      <c r="X319" s="3" t="str">
        <f>TEXT(CAPSTONE_PROJECT[[#This Row],[Admission Date]],"mmmm")</f>
        <v>August</v>
      </c>
      <c r="Y319" s="3" t="str">
        <f>TEXT(CAPSTONE_PROJECT[[#This Row],[Admission Date]],"yyyy")</f>
        <v>2025</v>
      </c>
      <c r="Z319" s="3" t="str">
        <f>TEXT(CAPSTONE_PROJECT[[#This Row],[Admission Date]],"mmm yyyy")</f>
        <v>Aug 2025</v>
      </c>
      <c r="AA319" s="3" t="str">
        <f>TEXT(CAPSTONE_PROJECT[[#This Row],[Admission Date]],"dddd")</f>
        <v>Thursday</v>
      </c>
      <c r="AB319" s="3" t="str">
        <f>IF(CAPSTONE_PROJECT[[#This Row],[Age]]&lt;=34,"Young Adults",IF(CAPSTONE_PROJECT[[#This Row],[Age]]&lt;=59,"Adults","Elders"))</f>
        <v>Young Adults</v>
      </c>
      <c r="AC319" s="3" t="str">
        <f>_xlfn.XLOOKUP(CAPSTONE_PROJECT[[#This Row],[Patient ID]],'Lookup table'!A:A,'Lookup table'!B:B,,0)</f>
        <v>Ava Evans</v>
      </c>
      <c r="AD319" s="3" t="str">
        <f>_xlfn.XLOOKUP(CAPSTONE_PROJECT[[#This Row],[Patient ID]],'Lookup table'!A:A,'Lookup table'!C:C,,0)</f>
        <v>Female</v>
      </c>
      <c r="AE319" s="3" t="str">
        <f>IF(CAPSTONE_PROJECT[[#This Row],[Length of Stay]]&lt;=3,"Short Stay",IF(CAPSTONE_PROJECT[[#This Row],[Length of Stay]]&lt;=7,"Moderate Stay",IF(CAPSTONE_PROJECT[[#This Row],[Length of Stay]]&lt;=14,"Long Stay","Extended Stay")))</f>
        <v>Moderate Stay</v>
      </c>
    </row>
    <row r="320" spans="1:31" x14ac:dyDescent="0.3">
      <c r="A320" s="3" t="s">
        <v>697</v>
      </c>
      <c r="B320" s="4">
        <v>45922</v>
      </c>
      <c r="C320" s="4">
        <v>45931</v>
      </c>
      <c r="D320" s="4">
        <v>29769</v>
      </c>
      <c r="E320" s="3">
        <v>44</v>
      </c>
      <c r="F320" s="3" t="s">
        <v>47</v>
      </c>
      <c r="G320" s="3" t="s">
        <v>139</v>
      </c>
      <c r="H320" s="3" t="s">
        <v>29</v>
      </c>
      <c r="I320" s="3" t="s">
        <v>44</v>
      </c>
      <c r="J320" s="3" t="s">
        <v>15</v>
      </c>
      <c r="K320" s="3" t="s">
        <v>65</v>
      </c>
      <c r="L320" s="6">
        <v>4648.3999999999996</v>
      </c>
      <c r="M320" s="6">
        <v>173.02</v>
      </c>
      <c r="N320" s="6">
        <v>589.69000000000005</v>
      </c>
      <c r="O320" s="6">
        <v>5926.04</v>
      </c>
      <c r="P320" s="3" t="s">
        <v>31</v>
      </c>
      <c r="Q320" s="3" t="s">
        <v>1084</v>
      </c>
      <c r="R320" s="3" t="s">
        <v>58</v>
      </c>
      <c r="S320" s="3" t="s">
        <v>698</v>
      </c>
      <c r="T320" s="3">
        <v>6</v>
      </c>
      <c r="U320" s="3">
        <f>CAPSTONE_PROJECT[[#This Row],[Discharge Date]]-CAPSTONE_PROJECT[[#This Row],[Admission Date]]</f>
        <v>9</v>
      </c>
      <c r="V320" s="6">
        <f>SUM(CAPSTONE_PROJECT[[#This Row],[Room Cost]:[Treatment Cost]])</f>
        <v>11337.150000000001</v>
      </c>
      <c r="W320" s="6">
        <f t="shared" si="4"/>
        <v>1259.6833333333334</v>
      </c>
      <c r="X320" s="3" t="str">
        <f>TEXT(CAPSTONE_PROJECT[[#This Row],[Admission Date]],"mmmm")</f>
        <v>September</v>
      </c>
      <c r="Y320" s="3" t="str">
        <f>TEXT(CAPSTONE_PROJECT[[#This Row],[Admission Date]],"yyyy")</f>
        <v>2025</v>
      </c>
      <c r="Z320" s="3" t="str">
        <f>TEXT(CAPSTONE_PROJECT[[#This Row],[Admission Date]],"mmm yyyy")</f>
        <v>Sep 2025</v>
      </c>
      <c r="AA320" s="3" t="str">
        <f>TEXT(CAPSTONE_PROJECT[[#This Row],[Admission Date]],"dddd")</f>
        <v>Monday</v>
      </c>
      <c r="AB320" s="3" t="str">
        <f>IF(CAPSTONE_PROJECT[[#This Row],[Age]]&lt;=34,"Young Adults",IF(CAPSTONE_PROJECT[[#This Row],[Age]]&lt;=59,"Adults","Elders"))</f>
        <v>Adults</v>
      </c>
      <c r="AC320" s="3" t="str">
        <f>_xlfn.XLOOKUP(CAPSTONE_PROJECT[[#This Row],[Patient ID]],'Lookup table'!A:A,'Lookup table'!B:B,,0)</f>
        <v>David Wilson</v>
      </c>
      <c r="AD320" s="3" t="str">
        <f>_xlfn.XLOOKUP(CAPSTONE_PROJECT[[#This Row],[Patient ID]],'Lookup table'!A:A,'Lookup table'!C:C,,0)</f>
        <v>Male</v>
      </c>
      <c r="AE320" s="3" t="str">
        <f>IF(CAPSTONE_PROJECT[[#This Row],[Length of Stay]]&lt;=3,"Short Stay",IF(CAPSTONE_PROJECT[[#This Row],[Length of Stay]]&lt;=7,"Moderate Stay",IF(CAPSTONE_PROJECT[[#This Row],[Length of Stay]]&lt;=14,"Long Stay","Extended Stay")))</f>
        <v>Long Stay</v>
      </c>
    </row>
    <row r="321" spans="1:31" x14ac:dyDescent="0.3">
      <c r="A321" s="3" t="s">
        <v>699</v>
      </c>
      <c r="B321" s="4">
        <v>45524</v>
      </c>
      <c r="C321" s="4">
        <v>45530</v>
      </c>
      <c r="D321" s="4">
        <v>22498</v>
      </c>
      <c r="E321" s="3">
        <v>64</v>
      </c>
      <c r="F321" s="3" t="s">
        <v>47</v>
      </c>
      <c r="G321" s="3" t="s">
        <v>57</v>
      </c>
      <c r="H321" s="3" t="s">
        <v>114</v>
      </c>
      <c r="I321" s="3" t="s">
        <v>22</v>
      </c>
      <c r="J321" s="3" t="s">
        <v>73</v>
      </c>
      <c r="K321" s="3" t="s">
        <v>50</v>
      </c>
      <c r="L321" s="6">
        <v>4296.38</v>
      </c>
      <c r="M321" s="6">
        <v>1069.8699999999999</v>
      </c>
      <c r="N321" s="6">
        <v>583.46</v>
      </c>
      <c r="O321" s="6">
        <v>6338.16</v>
      </c>
      <c r="P321" s="3" t="s">
        <v>51</v>
      </c>
      <c r="Q321" s="3" t="s">
        <v>1078</v>
      </c>
      <c r="R321" s="3" t="s">
        <v>102</v>
      </c>
      <c r="S321" s="3" t="s">
        <v>700</v>
      </c>
      <c r="T321" s="3">
        <v>3</v>
      </c>
      <c r="U321" s="3">
        <f>CAPSTONE_PROJECT[[#This Row],[Discharge Date]]-CAPSTONE_PROJECT[[#This Row],[Admission Date]]</f>
        <v>6</v>
      </c>
      <c r="V321" s="6">
        <f>SUM(CAPSTONE_PROJECT[[#This Row],[Room Cost]:[Treatment Cost]])</f>
        <v>12287.869999999999</v>
      </c>
      <c r="W321" s="6">
        <f t="shared" si="4"/>
        <v>2047.9783333333332</v>
      </c>
      <c r="X321" s="3" t="str">
        <f>TEXT(CAPSTONE_PROJECT[[#This Row],[Admission Date]],"mmmm")</f>
        <v>August</v>
      </c>
      <c r="Y321" s="3" t="str">
        <f>TEXT(CAPSTONE_PROJECT[[#This Row],[Admission Date]],"yyyy")</f>
        <v>2024</v>
      </c>
      <c r="Z321" s="3" t="str">
        <f>TEXT(CAPSTONE_PROJECT[[#This Row],[Admission Date]],"mmm yyyy")</f>
        <v>Aug 2024</v>
      </c>
      <c r="AA321" s="3" t="str">
        <f>TEXT(CAPSTONE_PROJECT[[#This Row],[Admission Date]],"dddd")</f>
        <v>Tuesday</v>
      </c>
      <c r="AB321" s="3" t="str">
        <f>IF(CAPSTONE_PROJECT[[#This Row],[Age]]&lt;=34,"Young Adults",IF(CAPSTONE_PROJECT[[#This Row],[Age]]&lt;=59,"Adults","Elders"))</f>
        <v>Elders</v>
      </c>
      <c r="AC321" s="3" t="str">
        <f>_xlfn.XLOOKUP(CAPSTONE_PROJECT[[#This Row],[Patient ID]],'Lookup table'!A:A,'Lookup table'!B:B,,0)</f>
        <v>Lily J White</v>
      </c>
      <c r="AD321" s="3" t="str">
        <f>_xlfn.XLOOKUP(CAPSTONE_PROJECT[[#This Row],[Patient ID]],'Lookup table'!A:A,'Lookup table'!C:C,,0)</f>
        <v>Female</v>
      </c>
      <c r="AE321" s="3" t="str">
        <f>IF(CAPSTONE_PROJECT[[#This Row],[Length of Stay]]&lt;=3,"Short Stay",IF(CAPSTONE_PROJECT[[#This Row],[Length of Stay]]&lt;=7,"Moderate Stay",IF(CAPSTONE_PROJECT[[#This Row],[Length of Stay]]&lt;=14,"Long Stay","Extended Stay")))</f>
        <v>Moderate Stay</v>
      </c>
    </row>
    <row r="322" spans="1:31" x14ac:dyDescent="0.3">
      <c r="A322" s="3" t="s">
        <v>701</v>
      </c>
      <c r="B322" s="4">
        <v>45989</v>
      </c>
      <c r="C322" s="4">
        <v>46003</v>
      </c>
      <c r="D322" s="4">
        <v>29764</v>
      </c>
      <c r="E322" s="3">
        <v>44</v>
      </c>
      <c r="F322" s="3" t="s">
        <v>33</v>
      </c>
      <c r="G322" s="3" t="s">
        <v>67</v>
      </c>
      <c r="H322" s="3" t="s">
        <v>100</v>
      </c>
      <c r="I322" s="3" t="s">
        <v>44</v>
      </c>
      <c r="J322" s="3" t="s">
        <v>73</v>
      </c>
      <c r="K322" s="3" t="s">
        <v>50</v>
      </c>
      <c r="L322" s="6">
        <v>4341.3500000000004</v>
      </c>
      <c r="M322" s="6">
        <v>1496.2</v>
      </c>
      <c r="N322" s="6">
        <v>183.65</v>
      </c>
      <c r="O322" s="6">
        <v>14051.11</v>
      </c>
      <c r="P322" s="3" t="s">
        <v>51</v>
      </c>
      <c r="Q322" s="3" t="s">
        <v>1077</v>
      </c>
      <c r="R322" s="3" t="s">
        <v>54</v>
      </c>
      <c r="S322" s="3" t="s">
        <v>702</v>
      </c>
      <c r="T322" s="3">
        <v>6</v>
      </c>
      <c r="U322" s="3">
        <f>CAPSTONE_PROJECT[[#This Row],[Discharge Date]]-CAPSTONE_PROJECT[[#This Row],[Admission Date]]</f>
        <v>14</v>
      </c>
      <c r="V322" s="6">
        <f>SUM(CAPSTONE_PROJECT[[#This Row],[Room Cost]:[Treatment Cost]])</f>
        <v>20072.310000000001</v>
      </c>
      <c r="W322" s="6">
        <f t="shared" ref="W322:W385" si="5">V322/U322</f>
        <v>1433.7364285714286</v>
      </c>
      <c r="X322" s="3" t="str">
        <f>TEXT(CAPSTONE_PROJECT[[#This Row],[Admission Date]],"mmmm")</f>
        <v>November</v>
      </c>
      <c r="Y322" s="3" t="str">
        <f>TEXT(CAPSTONE_PROJECT[[#This Row],[Admission Date]],"yyyy")</f>
        <v>2025</v>
      </c>
      <c r="Z322" s="3" t="str">
        <f>TEXT(CAPSTONE_PROJECT[[#This Row],[Admission Date]],"mmm yyyy")</f>
        <v>Nov 2025</v>
      </c>
      <c r="AA322" s="3" t="str">
        <f>TEXT(CAPSTONE_PROJECT[[#This Row],[Admission Date]],"dddd")</f>
        <v>Friday</v>
      </c>
      <c r="AB322" s="3" t="str">
        <f>IF(CAPSTONE_PROJECT[[#This Row],[Age]]&lt;=34,"Young Adults",IF(CAPSTONE_PROJECT[[#This Row],[Age]]&lt;=59,"Adults","Elders"))</f>
        <v>Adults</v>
      </c>
      <c r="AC322" s="3" t="str">
        <f>_xlfn.XLOOKUP(CAPSTONE_PROJECT[[#This Row],[Patient ID]],'Lookup table'!A:A,'Lookup table'!B:B,,0)</f>
        <v>Michael Brown</v>
      </c>
      <c r="AD322" s="3" t="str">
        <f>_xlfn.XLOOKUP(CAPSTONE_PROJECT[[#This Row],[Patient ID]],'Lookup table'!A:A,'Lookup table'!C:C,,0)</f>
        <v>Male</v>
      </c>
      <c r="AE322" s="3" t="str">
        <f>IF(CAPSTONE_PROJECT[[#This Row],[Length of Stay]]&lt;=3,"Short Stay",IF(CAPSTONE_PROJECT[[#This Row],[Length of Stay]]&lt;=7,"Moderate Stay",IF(CAPSTONE_PROJECT[[#This Row],[Length of Stay]]&lt;=14,"Long Stay","Extended Stay")))</f>
        <v>Long Stay</v>
      </c>
    </row>
    <row r="323" spans="1:31" x14ac:dyDescent="0.3">
      <c r="A323" s="3" t="s">
        <v>703</v>
      </c>
      <c r="B323" s="4">
        <v>45964</v>
      </c>
      <c r="C323" s="4">
        <v>45969</v>
      </c>
      <c r="D323" s="4">
        <v>36070</v>
      </c>
      <c r="E323" s="3">
        <v>27</v>
      </c>
      <c r="F323" s="3" t="s">
        <v>47</v>
      </c>
      <c r="G323" s="3" t="s">
        <v>57</v>
      </c>
      <c r="H323" s="3" t="s">
        <v>111</v>
      </c>
      <c r="I323" s="3" t="s">
        <v>22</v>
      </c>
      <c r="J323" s="3" t="s">
        <v>30</v>
      </c>
      <c r="K323" s="3" t="s">
        <v>24</v>
      </c>
      <c r="L323" s="6">
        <v>3088.09</v>
      </c>
      <c r="M323" s="6">
        <v>701.41</v>
      </c>
      <c r="N323" s="6">
        <v>1025.54</v>
      </c>
      <c r="O323" s="6">
        <v>4826.68</v>
      </c>
      <c r="P323" s="3" t="s">
        <v>31</v>
      </c>
      <c r="Q323" s="3" t="s">
        <v>1076</v>
      </c>
      <c r="R323" s="3" t="s">
        <v>58</v>
      </c>
      <c r="S323" s="3" t="s">
        <v>704</v>
      </c>
      <c r="T323" s="3">
        <v>10</v>
      </c>
      <c r="U323" s="3">
        <f>CAPSTONE_PROJECT[[#This Row],[Discharge Date]]-CAPSTONE_PROJECT[[#This Row],[Admission Date]]</f>
        <v>5</v>
      </c>
      <c r="V323" s="6">
        <f>SUM(CAPSTONE_PROJECT[[#This Row],[Room Cost]:[Treatment Cost]])</f>
        <v>9641.7200000000012</v>
      </c>
      <c r="W323" s="6">
        <f t="shared" si="5"/>
        <v>1928.3440000000003</v>
      </c>
      <c r="X323" s="3" t="str">
        <f>TEXT(CAPSTONE_PROJECT[[#This Row],[Admission Date]],"mmmm")</f>
        <v>November</v>
      </c>
      <c r="Y323" s="3" t="str">
        <f>TEXT(CAPSTONE_PROJECT[[#This Row],[Admission Date]],"yyyy")</f>
        <v>2025</v>
      </c>
      <c r="Z323" s="3" t="str">
        <f>TEXT(CAPSTONE_PROJECT[[#This Row],[Admission Date]],"mmm yyyy")</f>
        <v>Nov 2025</v>
      </c>
      <c r="AA323" s="3" t="str">
        <f>TEXT(CAPSTONE_PROJECT[[#This Row],[Admission Date]],"dddd")</f>
        <v>Monday</v>
      </c>
      <c r="AB323" s="3" t="str">
        <f>IF(CAPSTONE_PROJECT[[#This Row],[Age]]&lt;=34,"Young Adults",IF(CAPSTONE_PROJECT[[#This Row],[Age]]&lt;=59,"Adults","Elders"))</f>
        <v>Young Adults</v>
      </c>
      <c r="AC323" s="3" t="str">
        <f>_xlfn.XLOOKUP(CAPSTONE_PROJECT[[#This Row],[Patient ID]],'Lookup table'!A:A,'Lookup table'!B:B,,0)</f>
        <v>Freya S Robinson</v>
      </c>
      <c r="AD323" s="3" t="str">
        <f>_xlfn.XLOOKUP(CAPSTONE_PROJECT[[#This Row],[Patient ID]],'Lookup table'!A:A,'Lookup table'!C:C,,0)</f>
        <v>Female</v>
      </c>
      <c r="AE323" s="3" t="str">
        <f>IF(CAPSTONE_PROJECT[[#This Row],[Length of Stay]]&lt;=3,"Short Stay",IF(CAPSTONE_PROJECT[[#This Row],[Length of Stay]]&lt;=7,"Moderate Stay",IF(CAPSTONE_PROJECT[[#This Row],[Length of Stay]]&lt;=14,"Long Stay","Extended Stay")))</f>
        <v>Moderate Stay</v>
      </c>
    </row>
    <row r="324" spans="1:31" x14ac:dyDescent="0.3">
      <c r="A324" s="3" t="s">
        <v>705</v>
      </c>
      <c r="B324" s="4">
        <v>45662</v>
      </c>
      <c r="C324" s="4">
        <v>45665</v>
      </c>
      <c r="D324" s="4">
        <v>27012</v>
      </c>
      <c r="E324" s="3">
        <v>52</v>
      </c>
      <c r="F324" s="3" t="s">
        <v>18</v>
      </c>
      <c r="G324" s="3" t="s">
        <v>57</v>
      </c>
      <c r="H324" s="3" t="s">
        <v>29</v>
      </c>
      <c r="I324" s="3" t="s">
        <v>22</v>
      </c>
      <c r="J324" s="3" t="s">
        <v>64</v>
      </c>
      <c r="K324" s="3" t="s">
        <v>65</v>
      </c>
      <c r="L324" s="6">
        <v>4335.32</v>
      </c>
      <c r="M324" s="6">
        <v>1223.71</v>
      </c>
      <c r="N324" s="6">
        <v>2774.42</v>
      </c>
      <c r="O324" s="6">
        <v>2243.5</v>
      </c>
      <c r="P324" s="3" t="s">
        <v>25</v>
      </c>
      <c r="Q324" s="3" t="s">
        <v>1081</v>
      </c>
      <c r="R324" s="3" t="s">
        <v>102</v>
      </c>
      <c r="S324" s="3" t="s">
        <v>706</v>
      </c>
      <c r="T324" s="3">
        <v>4</v>
      </c>
      <c r="U324" s="3">
        <f>CAPSTONE_PROJECT[[#This Row],[Discharge Date]]-CAPSTONE_PROJECT[[#This Row],[Admission Date]]</f>
        <v>3</v>
      </c>
      <c r="V324" s="6">
        <f>SUM(CAPSTONE_PROJECT[[#This Row],[Room Cost]:[Treatment Cost]])</f>
        <v>10576.95</v>
      </c>
      <c r="W324" s="6">
        <f t="shared" si="5"/>
        <v>3525.65</v>
      </c>
      <c r="X324" s="3" t="str">
        <f>TEXT(CAPSTONE_PROJECT[[#This Row],[Admission Date]],"mmmm")</f>
        <v>January</v>
      </c>
      <c r="Y324" s="3" t="str">
        <f>TEXT(CAPSTONE_PROJECT[[#This Row],[Admission Date]],"yyyy")</f>
        <v>2025</v>
      </c>
      <c r="Z324" s="3" t="str">
        <f>TEXT(CAPSTONE_PROJECT[[#This Row],[Admission Date]],"mmm yyyy")</f>
        <v>Jan 2025</v>
      </c>
      <c r="AA324" s="3" t="str">
        <f>TEXT(CAPSTONE_PROJECT[[#This Row],[Admission Date]],"dddd")</f>
        <v>Sunday</v>
      </c>
      <c r="AB324" s="3" t="str">
        <f>IF(CAPSTONE_PROJECT[[#This Row],[Age]]&lt;=34,"Young Adults",IF(CAPSTONE_PROJECT[[#This Row],[Age]]&lt;=59,"Adults","Elders"))</f>
        <v>Adults</v>
      </c>
      <c r="AC324" s="3" t="str">
        <f>_xlfn.XLOOKUP(CAPSTONE_PROJECT[[#This Row],[Patient ID]],'Lookup table'!A:A,'Lookup table'!B:B,,0)</f>
        <v>Ethan M Green</v>
      </c>
      <c r="AD324" s="3" t="str">
        <f>_xlfn.XLOOKUP(CAPSTONE_PROJECT[[#This Row],[Patient ID]],'Lookup table'!A:A,'Lookup table'!C:C,,0)</f>
        <v>Male</v>
      </c>
      <c r="AE324" s="3" t="str">
        <f>IF(CAPSTONE_PROJECT[[#This Row],[Length of Stay]]&lt;=3,"Short Stay",IF(CAPSTONE_PROJECT[[#This Row],[Length of Stay]]&lt;=7,"Moderate Stay",IF(CAPSTONE_PROJECT[[#This Row],[Length of Stay]]&lt;=14,"Long Stay","Extended Stay")))</f>
        <v>Short Stay</v>
      </c>
    </row>
    <row r="325" spans="1:31" x14ac:dyDescent="0.3">
      <c r="A325" s="3" t="s">
        <v>707</v>
      </c>
      <c r="B325" s="4">
        <v>45462</v>
      </c>
      <c r="C325" s="4">
        <v>45466</v>
      </c>
      <c r="D325" s="4">
        <v>37104</v>
      </c>
      <c r="E325" s="3">
        <v>24</v>
      </c>
      <c r="F325" s="3" t="s">
        <v>47</v>
      </c>
      <c r="G325" s="3" t="s">
        <v>78</v>
      </c>
      <c r="H325" s="3" t="s">
        <v>111</v>
      </c>
      <c r="I325" s="3" t="s">
        <v>13</v>
      </c>
      <c r="J325" s="3" t="s">
        <v>45</v>
      </c>
      <c r="K325" s="3" t="s">
        <v>65</v>
      </c>
      <c r="L325" s="6">
        <v>2916.15</v>
      </c>
      <c r="M325" s="6">
        <v>1287.3900000000001</v>
      </c>
      <c r="N325" s="6">
        <v>475.64</v>
      </c>
      <c r="O325" s="6">
        <v>6915.43</v>
      </c>
      <c r="P325" s="3" t="s">
        <v>16</v>
      </c>
      <c r="Q325" s="3" t="s">
        <v>1085</v>
      </c>
      <c r="R325" s="3" t="s">
        <v>35</v>
      </c>
      <c r="S325" s="3" t="s">
        <v>708</v>
      </c>
      <c r="T325" s="3">
        <v>0</v>
      </c>
      <c r="U325" s="3">
        <f>CAPSTONE_PROJECT[[#This Row],[Discharge Date]]-CAPSTONE_PROJECT[[#This Row],[Admission Date]]</f>
        <v>4</v>
      </c>
      <c r="V325" s="6">
        <f>SUM(CAPSTONE_PROJECT[[#This Row],[Room Cost]:[Treatment Cost]])</f>
        <v>11594.61</v>
      </c>
      <c r="W325" s="6">
        <f t="shared" si="5"/>
        <v>2898.6525000000001</v>
      </c>
      <c r="X325" s="3" t="str">
        <f>TEXT(CAPSTONE_PROJECT[[#This Row],[Admission Date]],"mmmm")</f>
        <v>June</v>
      </c>
      <c r="Y325" s="3" t="str">
        <f>TEXT(CAPSTONE_PROJECT[[#This Row],[Admission Date]],"yyyy")</f>
        <v>2024</v>
      </c>
      <c r="Z325" s="3" t="str">
        <f>TEXT(CAPSTONE_PROJECT[[#This Row],[Admission Date]],"mmm yyyy")</f>
        <v>Jun 2024</v>
      </c>
      <c r="AA325" s="3" t="str">
        <f>TEXT(CAPSTONE_PROJECT[[#This Row],[Admission Date]],"dddd")</f>
        <v>Wednesday</v>
      </c>
      <c r="AB325" s="3" t="str">
        <f>IF(CAPSTONE_PROJECT[[#This Row],[Age]]&lt;=34,"Young Adults",IF(CAPSTONE_PROJECT[[#This Row],[Age]]&lt;=59,"Adults","Elders"))</f>
        <v>Young Adults</v>
      </c>
      <c r="AC325" s="3" t="str">
        <f>_xlfn.XLOOKUP(CAPSTONE_PROJECT[[#This Row],[Patient ID]],'Lookup table'!A:A,'Lookup table'!B:B,,0)</f>
        <v>Ella Martin</v>
      </c>
      <c r="AD325" s="3" t="str">
        <f>_xlfn.XLOOKUP(CAPSTONE_PROJECT[[#This Row],[Patient ID]],'Lookup table'!A:A,'Lookup table'!C:C,,0)</f>
        <v>Female</v>
      </c>
      <c r="AE325" s="3" t="str">
        <f>IF(CAPSTONE_PROJECT[[#This Row],[Length of Stay]]&lt;=3,"Short Stay",IF(CAPSTONE_PROJECT[[#This Row],[Length of Stay]]&lt;=7,"Moderate Stay",IF(CAPSTONE_PROJECT[[#This Row],[Length of Stay]]&lt;=14,"Long Stay","Extended Stay")))</f>
        <v>Moderate Stay</v>
      </c>
    </row>
    <row r="326" spans="1:31" x14ac:dyDescent="0.3">
      <c r="A326" s="3" t="s">
        <v>709</v>
      </c>
      <c r="B326" s="4">
        <v>45710</v>
      </c>
      <c r="C326" s="4">
        <v>45725</v>
      </c>
      <c r="D326" s="4">
        <v>33770</v>
      </c>
      <c r="E326" s="3">
        <v>33</v>
      </c>
      <c r="F326" s="3" t="s">
        <v>47</v>
      </c>
      <c r="G326" s="3" t="s">
        <v>61</v>
      </c>
      <c r="H326" s="3" t="s">
        <v>111</v>
      </c>
      <c r="I326" s="3" t="s">
        <v>13</v>
      </c>
      <c r="J326" s="3" t="s">
        <v>23</v>
      </c>
      <c r="K326" s="3" t="s">
        <v>24</v>
      </c>
      <c r="L326" s="6">
        <v>2584.33</v>
      </c>
      <c r="M326" s="6">
        <v>146.21</v>
      </c>
      <c r="N326" s="6">
        <v>873.37</v>
      </c>
      <c r="O326" s="6">
        <v>13260.9</v>
      </c>
      <c r="P326" s="3" t="s">
        <v>51</v>
      </c>
      <c r="Q326" s="3" t="s">
        <v>1079</v>
      </c>
      <c r="R326" s="3" t="s">
        <v>54</v>
      </c>
      <c r="S326" s="3" t="s">
        <v>710</v>
      </c>
      <c r="T326" s="3">
        <v>10</v>
      </c>
      <c r="U326" s="3">
        <f>CAPSTONE_PROJECT[[#This Row],[Discharge Date]]-CAPSTONE_PROJECT[[#This Row],[Admission Date]]</f>
        <v>15</v>
      </c>
      <c r="V326" s="6">
        <f>SUM(CAPSTONE_PROJECT[[#This Row],[Room Cost]:[Treatment Cost]])</f>
        <v>16864.809999999998</v>
      </c>
      <c r="W326" s="6">
        <f t="shared" si="5"/>
        <v>1124.3206666666665</v>
      </c>
      <c r="X326" s="3" t="str">
        <f>TEXT(CAPSTONE_PROJECT[[#This Row],[Admission Date]],"mmmm")</f>
        <v>February</v>
      </c>
      <c r="Y326" s="3" t="str">
        <f>TEXT(CAPSTONE_PROJECT[[#This Row],[Admission Date]],"yyyy")</f>
        <v>2025</v>
      </c>
      <c r="Z326" s="3" t="str">
        <f>TEXT(CAPSTONE_PROJECT[[#This Row],[Admission Date]],"mmm yyyy")</f>
        <v>Feb 2025</v>
      </c>
      <c r="AA326" s="3" t="str">
        <f>TEXT(CAPSTONE_PROJECT[[#This Row],[Admission Date]],"dddd")</f>
        <v>Saturday</v>
      </c>
      <c r="AB326" s="3" t="str">
        <f>IF(CAPSTONE_PROJECT[[#This Row],[Age]]&lt;=34,"Young Adults",IF(CAPSTONE_PROJECT[[#This Row],[Age]]&lt;=59,"Adults","Elders"))</f>
        <v>Young Adults</v>
      </c>
      <c r="AC326" s="3" t="str">
        <f>_xlfn.XLOOKUP(CAPSTONE_PROJECT[[#This Row],[Patient ID]],'Lookup table'!A:A,'Lookup table'!B:B,,0)</f>
        <v>Michael D Jones</v>
      </c>
      <c r="AD326" s="3" t="str">
        <f>_xlfn.XLOOKUP(CAPSTONE_PROJECT[[#This Row],[Patient ID]],'Lookup table'!A:A,'Lookup table'!C:C,,0)</f>
        <v>Male</v>
      </c>
      <c r="AE326" s="3" t="str">
        <f>IF(CAPSTONE_PROJECT[[#This Row],[Length of Stay]]&lt;=3,"Short Stay",IF(CAPSTONE_PROJECT[[#This Row],[Length of Stay]]&lt;=7,"Moderate Stay",IF(CAPSTONE_PROJECT[[#This Row],[Length of Stay]]&lt;=14,"Long Stay","Extended Stay")))</f>
        <v>Extended Stay</v>
      </c>
    </row>
    <row r="327" spans="1:31" x14ac:dyDescent="0.3">
      <c r="A327" s="3" t="s">
        <v>711</v>
      </c>
      <c r="B327" s="4">
        <v>45474</v>
      </c>
      <c r="C327" s="4">
        <v>45479</v>
      </c>
      <c r="D327" s="4">
        <v>23934</v>
      </c>
      <c r="E327" s="3">
        <v>60</v>
      </c>
      <c r="F327" s="3" t="s">
        <v>18</v>
      </c>
      <c r="G327" s="3" t="s">
        <v>27</v>
      </c>
      <c r="H327" s="3" t="s">
        <v>43</v>
      </c>
      <c r="I327" s="3" t="s">
        <v>22</v>
      </c>
      <c r="J327" s="3" t="s">
        <v>30</v>
      </c>
      <c r="K327" s="3" t="s">
        <v>65</v>
      </c>
      <c r="L327" s="6">
        <v>1264.5999999999999</v>
      </c>
      <c r="M327" s="6">
        <v>1191.94</v>
      </c>
      <c r="N327" s="6">
        <v>1864.91</v>
      </c>
      <c r="O327" s="6">
        <v>4961.43</v>
      </c>
      <c r="P327" s="3" t="s">
        <v>51</v>
      </c>
      <c r="Q327" s="3" t="s">
        <v>1078</v>
      </c>
      <c r="R327" s="3" t="s">
        <v>62</v>
      </c>
      <c r="S327" s="3" t="s">
        <v>712</v>
      </c>
      <c r="T327" s="3">
        <v>10</v>
      </c>
      <c r="U327" s="3">
        <f>CAPSTONE_PROJECT[[#This Row],[Discharge Date]]-CAPSTONE_PROJECT[[#This Row],[Admission Date]]</f>
        <v>5</v>
      </c>
      <c r="V327" s="6">
        <f>SUM(CAPSTONE_PROJECT[[#This Row],[Room Cost]:[Treatment Cost]])</f>
        <v>9282.880000000001</v>
      </c>
      <c r="W327" s="6">
        <f t="shared" si="5"/>
        <v>1856.5760000000002</v>
      </c>
      <c r="X327" s="3" t="str">
        <f>TEXT(CAPSTONE_PROJECT[[#This Row],[Admission Date]],"mmmm")</f>
        <v>July</v>
      </c>
      <c r="Y327" s="3" t="str">
        <f>TEXT(CAPSTONE_PROJECT[[#This Row],[Admission Date]],"yyyy")</f>
        <v>2024</v>
      </c>
      <c r="Z327" s="3" t="str">
        <f>TEXT(CAPSTONE_PROJECT[[#This Row],[Admission Date]],"mmm yyyy")</f>
        <v>Jul 2024</v>
      </c>
      <c r="AA327" s="3" t="str">
        <f>TEXT(CAPSTONE_PROJECT[[#This Row],[Admission Date]],"dddd")</f>
        <v>Monday</v>
      </c>
      <c r="AB327" s="3" t="str">
        <f>IF(CAPSTONE_PROJECT[[#This Row],[Age]]&lt;=34,"Young Adults",IF(CAPSTONE_PROJECT[[#This Row],[Age]]&lt;=59,"Adults","Elders"))</f>
        <v>Elders</v>
      </c>
      <c r="AC327" s="3" t="str">
        <f>_xlfn.XLOOKUP(CAPSTONE_PROJECT[[#This Row],[Patient ID]],'Lookup table'!A:A,'Lookup table'!B:B,,0)</f>
        <v>Ella V Robinson</v>
      </c>
      <c r="AD327" s="3" t="str">
        <f>_xlfn.XLOOKUP(CAPSTONE_PROJECT[[#This Row],[Patient ID]],'Lookup table'!A:A,'Lookup table'!C:C,,0)</f>
        <v>Female</v>
      </c>
      <c r="AE327" s="3" t="str">
        <f>IF(CAPSTONE_PROJECT[[#This Row],[Length of Stay]]&lt;=3,"Short Stay",IF(CAPSTONE_PROJECT[[#This Row],[Length of Stay]]&lt;=7,"Moderate Stay",IF(CAPSTONE_PROJECT[[#This Row],[Length of Stay]]&lt;=14,"Long Stay","Extended Stay")))</f>
        <v>Moderate Stay</v>
      </c>
    </row>
    <row r="328" spans="1:31" x14ac:dyDescent="0.3">
      <c r="A328" s="3" t="s">
        <v>713</v>
      </c>
      <c r="B328" s="4">
        <v>45842</v>
      </c>
      <c r="C328" s="4">
        <v>45849</v>
      </c>
      <c r="D328" s="4">
        <v>30334</v>
      </c>
      <c r="E328" s="3">
        <v>43</v>
      </c>
      <c r="F328" s="3" t="s">
        <v>33</v>
      </c>
      <c r="G328" s="3" t="s">
        <v>67</v>
      </c>
      <c r="H328" s="3" t="s">
        <v>43</v>
      </c>
      <c r="I328" s="3" t="s">
        <v>37</v>
      </c>
      <c r="J328" s="3" t="s">
        <v>23</v>
      </c>
      <c r="K328" s="3" t="s">
        <v>65</v>
      </c>
      <c r="L328" s="6">
        <v>1994.74</v>
      </c>
      <c r="M328" s="6">
        <v>696.84</v>
      </c>
      <c r="N328" s="6">
        <v>910.18</v>
      </c>
      <c r="O328" s="6">
        <v>7098.64</v>
      </c>
      <c r="P328" s="3" t="s">
        <v>25</v>
      </c>
      <c r="Q328" s="3" t="s">
        <v>1085</v>
      </c>
      <c r="R328" s="3" t="s">
        <v>19</v>
      </c>
      <c r="S328" s="3" t="s">
        <v>714</v>
      </c>
      <c r="T328" s="3">
        <v>10</v>
      </c>
      <c r="U328" s="3">
        <f>CAPSTONE_PROJECT[[#This Row],[Discharge Date]]-CAPSTONE_PROJECT[[#This Row],[Admission Date]]</f>
        <v>7</v>
      </c>
      <c r="V328" s="6">
        <f>SUM(CAPSTONE_PROJECT[[#This Row],[Room Cost]:[Treatment Cost]])</f>
        <v>10700.4</v>
      </c>
      <c r="W328" s="6">
        <f t="shared" si="5"/>
        <v>1528.6285714285714</v>
      </c>
      <c r="X328" s="3" t="str">
        <f>TEXT(CAPSTONE_PROJECT[[#This Row],[Admission Date]],"mmmm")</f>
        <v>July</v>
      </c>
      <c r="Y328" s="3" t="str">
        <f>TEXT(CAPSTONE_PROJECT[[#This Row],[Admission Date]],"yyyy")</f>
        <v>2025</v>
      </c>
      <c r="Z328" s="3" t="str">
        <f>TEXT(CAPSTONE_PROJECT[[#This Row],[Admission Date]],"mmm yyyy")</f>
        <v>Jul 2025</v>
      </c>
      <c r="AA328" s="3" t="str">
        <f>TEXT(CAPSTONE_PROJECT[[#This Row],[Admission Date]],"dddd")</f>
        <v>Friday</v>
      </c>
      <c r="AB328" s="3" t="str">
        <f>IF(CAPSTONE_PROJECT[[#This Row],[Age]]&lt;=34,"Young Adults",IF(CAPSTONE_PROJECT[[#This Row],[Age]]&lt;=59,"Adults","Elders"))</f>
        <v>Adults</v>
      </c>
      <c r="AC328" s="3" t="str">
        <f>_xlfn.XLOOKUP(CAPSTONE_PROJECT[[#This Row],[Patient ID]],'Lookup table'!A:A,'Lookup table'!B:B,,0)</f>
        <v>Benjamin Z Wilson</v>
      </c>
      <c r="AD328" s="3" t="str">
        <f>_xlfn.XLOOKUP(CAPSTONE_PROJECT[[#This Row],[Patient ID]],'Lookup table'!A:A,'Lookup table'!C:C,,0)</f>
        <v>Male</v>
      </c>
      <c r="AE328" s="3" t="str">
        <f>IF(CAPSTONE_PROJECT[[#This Row],[Length of Stay]]&lt;=3,"Short Stay",IF(CAPSTONE_PROJECT[[#This Row],[Length of Stay]]&lt;=7,"Moderate Stay",IF(CAPSTONE_PROJECT[[#This Row],[Length of Stay]]&lt;=14,"Long Stay","Extended Stay")))</f>
        <v>Moderate Stay</v>
      </c>
    </row>
    <row r="329" spans="1:31" x14ac:dyDescent="0.3">
      <c r="A329" s="3" t="s">
        <v>715</v>
      </c>
      <c r="B329" s="4">
        <v>45817</v>
      </c>
      <c r="C329" s="4">
        <v>45820</v>
      </c>
      <c r="D329" s="4">
        <v>27357</v>
      </c>
      <c r="E329" s="3">
        <v>51</v>
      </c>
      <c r="F329" s="3" t="s">
        <v>47</v>
      </c>
      <c r="G329" s="3" t="s">
        <v>9</v>
      </c>
      <c r="H329" s="3" t="s">
        <v>29</v>
      </c>
      <c r="I329" s="3" t="s">
        <v>44</v>
      </c>
      <c r="J329" s="3" t="s">
        <v>30</v>
      </c>
      <c r="K329" s="3" t="s">
        <v>50</v>
      </c>
      <c r="L329" s="6">
        <v>4197.26</v>
      </c>
      <c r="M329" s="6">
        <v>457.74</v>
      </c>
      <c r="N329" s="6">
        <v>3017.42</v>
      </c>
      <c r="O329" s="6">
        <v>9251.8700000000008</v>
      </c>
      <c r="P329" s="3" t="s">
        <v>31</v>
      </c>
      <c r="Q329" s="3" t="s">
        <v>1082</v>
      </c>
      <c r="R329" s="3" t="s">
        <v>58</v>
      </c>
      <c r="S329" s="3" t="s">
        <v>716</v>
      </c>
      <c r="T329" s="3">
        <v>6</v>
      </c>
      <c r="U329" s="3">
        <f>CAPSTONE_PROJECT[[#This Row],[Discharge Date]]-CAPSTONE_PROJECT[[#This Row],[Admission Date]]</f>
        <v>3</v>
      </c>
      <c r="V329" s="6">
        <f>SUM(CAPSTONE_PROJECT[[#This Row],[Room Cost]:[Treatment Cost]])</f>
        <v>16924.29</v>
      </c>
      <c r="W329" s="6">
        <f t="shared" si="5"/>
        <v>5641.43</v>
      </c>
      <c r="X329" s="3" t="str">
        <f>TEXT(CAPSTONE_PROJECT[[#This Row],[Admission Date]],"mmmm")</f>
        <v>June</v>
      </c>
      <c r="Y329" s="3" t="str">
        <f>TEXT(CAPSTONE_PROJECT[[#This Row],[Admission Date]],"yyyy")</f>
        <v>2025</v>
      </c>
      <c r="Z329" s="3" t="str">
        <f>TEXT(CAPSTONE_PROJECT[[#This Row],[Admission Date]],"mmm yyyy")</f>
        <v>Jun 2025</v>
      </c>
      <c r="AA329" s="3" t="str">
        <f>TEXT(CAPSTONE_PROJECT[[#This Row],[Admission Date]],"dddd")</f>
        <v>Monday</v>
      </c>
      <c r="AB329" s="3" t="str">
        <f>IF(CAPSTONE_PROJECT[[#This Row],[Age]]&lt;=34,"Young Adults",IF(CAPSTONE_PROJECT[[#This Row],[Age]]&lt;=59,"Adults","Elders"))</f>
        <v>Adults</v>
      </c>
      <c r="AC329" s="3" t="str">
        <f>_xlfn.XLOOKUP(CAPSTONE_PROJECT[[#This Row],[Patient ID]],'Lookup table'!A:A,'Lookup table'!B:B,,0)</f>
        <v>Charlotte Smith</v>
      </c>
      <c r="AD329" s="3" t="str">
        <f>_xlfn.XLOOKUP(CAPSTONE_PROJECT[[#This Row],[Patient ID]],'Lookup table'!A:A,'Lookup table'!C:C,,0)</f>
        <v>Female</v>
      </c>
      <c r="AE329" s="3" t="str">
        <f>IF(CAPSTONE_PROJECT[[#This Row],[Length of Stay]]&lt;=3,"Short Stay",IF(CAPSTONE_PROJECT[[#This Row],[Length of Stay]]&lt;=7,"Moderate Stay",IF(CAPSTONE_PROJECT[[#This Row],[Length of Stay]]&lt;=14,"Long Stay","Extended Stay")))</f>
        <v>Short Stay</v>
      </c>
    </row>
    <row r="330" spans="1:31" x14ac:dyDescent="0.3">
      <c r="A330" s="3" t="s">
        <v>717</v>
      </c>
      <c r="B330" s="4">
        <v>45794</v>
      </c>
      <c r="C330" s="4">
        <v>45812</v>
      </c>
      <c r="D330" s="4">
        <v>16621</v>
      </c>
      <c r="E330" s="3">
        <v>80</v>
      </c>
      <c r="F330" s="3" t="s">
        <v>18</v>
      </c>
      <c r="G330" s="3" t="s">
        <v>67</v>
      </c>
      <c r="H330" s="3" t="s">
        <v>21</v>
      </c>
      <c r="I330" s="3" t="s">
        <v>13</v>
      </c>
      <c r="J330" s="3" t="s">
        <v>64</v>
      </c>
      <c r="K330" s="3" t="s">
        <v>15</v>
      </c>
      <c r="L330" s="6">
        <v>1116.29</v>
      </c>
      <c r="M330" s="6">
        <v>1893.75</v>
      </c>
      <c r="N330" s="6">
        <v>2893.31</v>
      </c>
      <c r="O330" s="6">
        <v>5436.53</v>
      </c>
      <c r="P330" s="3" t="s">
        <v>16</v>
      </c>
      <c r="Q330" s="3" t="s">
        <v>1079</v>
      </c>
      <c r="R330" s="3" t="s">
        <v>102</v>
      </c>
      <c r="S330" s="3" t="s">
        <v>718</v>
      </c>
      <c r="T330" s="3">
        <v>7</v>
      </c>
      <c r="U330" s="3">
        <f>CAPSTONE_PROJECT[[#This Row],[Discharge Date]]-CAPSTONE_PROJECT[[#This Row],[Admission Date]]</f>
        <v>18</v>
      </c>
      <c r="V330" s="6">
        <f>SUM(CAPSTONE_PROJECT[[#This Row],[Room Cost]:[Treatment Cost]])</f>
        <v>11339.880000000001</v>
      </c>
      <c r="W330" s="6">
        <f t="shared" si="5"/>
        <v>629.99333333333334</v>
      </c>
      <c r="X330" s="3" t="str">
        <f>TEXT(CAPSTONE_PROJECT[[#This Row],[Admission Date]],"mmmm")</f>
        <v>May</v>
      </c>
      <c r="Y330" s="3" t="str">
        <f>TEXT(CAPSTONE_PROJECT[[#This Row],[Admission Date]],"yyyy")</f>
        <v>2025</v>
      </c>
      <c r="Z330" s="3" t="str">
        <f>TEXT(CAPSTONE_PROJECT[[#This Row],[Admission Date]],"mmm yyyy")</f>
        <v>May 2025</v>
      </c>
      <c r="AA330" s="3" t="str">
        <f>TEXT(CAPSTONE_PROJECT[[#This Row],[Admission Date]],"dddd")</f>
        <v>Saturday</v>
      </c>
      <c r="AB330" s="3" t="str">
        <f>IF(CAPSTONE_PROJECT[[#This Row],[Age]]&lt;=34,"Young Adults",IF(CAPSTONE_PROJECT[[#This Row],[Age]]&lt;=59,"Adults","Elders"))</f>
        <v>Elders</v>
      </c>
      <c r="AC330" s="3" t="str">
        <f>_xlfn.XLOOKUP(CAPSTONE_PROJECT[[#This Row],[Patient ID]],'Lookup table'!A:A,'Lookup table'!B:B,,0)</f>
        <v>Noah Hall</v>
      </c>
      <c r="AD330" s="3" t="str">
        <f>_xlfn.XLOOKUP(CAPSTONE_PROJECT[[#This Row],[Patient ID]],'Lookup table'!A:A,'Lookup table'!C:C,,0)</f>
        <v>Male</v>
      </c>
      <c r="AE330" s="3" t="str">
        <f>IF(CAPSTONE_PROJECT[[#This Row],[Length of Stay]]&lt;=3,"Short Stay",IF(CAPSTONE_PROJECT[[#This Row],[Length of Stay]]&lt;=7,"Moderate Stay",IF(CAPSTONE_PROJECT[[#This Row],[Length of Stay]]&lt;=14,"Long Stay","Extended Stay")))</f>
        <v>Extended Stay</v>
      </c>
    </row>
    <row r="331" spans="1:31" x14ac:dyDescent="0.3">
      <c r="A331" s="3" t="s">
        <v>719</v>
      </c>
      <c r="B331" s="4">
        <v>45970</v>
      </c>
      <c r="C331" s="4">
        <v>45984</v>
      </c>
      <c r="D331" s="4">
        <v>26823</v>
      </c>
      <c r="E331" s="3">
        <v>53</v>
      </c>
      <c r="F331" s="3" t="s">
        <v>33</v>
      </c>
      <c r="G331" s="3" t="s">
        <v>61</v>
      </c>
      <c r="H331" s="3" t="s">
        <v>100</v>
      </c>
      <c r="I331" s="3" t="s">
        <v>44</v>
      </c>
      <c r="J331" s="3" t="s">
        <v>15</v>
      </c>
      <c r="K331" s="3" t="s">
        <v>24</v>
      </c>
      <c r="L331" s="6">
        <v>3507.14</v>
      </c>
      <c r="M331" s="6">
        <v>946.26</v>
      </c>
      <c r="N331" s="6">
        <v>1542.7</v>
      </c>
      <c r="O331" s="6">
        <v>5460.99</v>
      </c>
      <c r="P331" s="3" t="s">
        <v>31</v>
      </c>
      <c r="Q331" s="3" t="s">
        <v>1084</v>
      </c>
      <c r="R331" s="3" t="s">
        <v>10</v>
      </c>
      <c r="S331" s="3" t="s">
        <v>720</v>
      </c>
      <c r="T331" s="3">
        <v>3</v>
      </c>
      <c r="U331" s="3">
        <f>CAPSTONE_PROJECT[[#This Row],[Discharge Date]]-CAPSTONE_PROJECT[[#This Row],[Admission Date]]</f>
        <v>14</v>
      </c>
      <c r="V331" s="6">
        <f>SUM(CAPSTONE_PROJECT[[#This Row],[Room Cost]:[Treatment Cost]])</f>
        <v>11457.09</v>
      </c>
      <c r="W331" s="6">
        <f t="shared" si="5"/>
        <v>818.36357142857139</v>
      </c>
      <c r="X331" s="3" t="str">
        <f>TEXT(CAPSTONE_PROJECT[[#This Row],[Admission Date]],"mmmm")</f>
        <v>November</v>
      </c>
      <c r="Y331" s="3" t="str">
        <f>TEXT(CAPSTONE_PROJECT[[#This Row],[Admission Date]],"yyyy")</f>
        <v>2025</v>
      </c>
      <c r="Z331" s="3" t="str">
        <f>TEXT(CAPSTONE_PROJECT[[#This Row],[Admission Date]],"mmm yyyy")</f>
        <v>Nov 2025</v>
      </c>
      <c r="AA331" s="3" t="str">
        <f>TEXT(CAPSTONE_PROJECT[[#This Row],[Admission Date]],"dddd")</f>
        <v>Sunday</v>
      </c>
      <c r="AB331" s="3" t="str">
        <f>IF(CAPSTONE_PROJECT[[#This Row],[Age]]&lt;=34,"Young Adults",IF(CAPSTONE_PROJECT[[#This Row],[Age]]&lt;=59,"Adults","Elders"))</f>
        <v>Adults</v>
      </c>
      <c r="AC331" s="3" t="str">
        <f>_xlfn.XLOOKUP(CAPSTONE_PROJECT[[#This Row],[Patient ID]],'Lookup table'!A:A,'Lookup table'!B:B,,0)</f>
        <v>Amelia Evans</v>
      </c>
      <c r="AD331" s="3" t="str">
        <f>_xlfn.XLOOKUP(CAPSTONE_PROJECT[[#This Row],[Patient ID]],'Lookup table'!A:A,'Lookup table'!C:C,,0)</f>
        <v>Female</v>
      </c>
      <c r="AE331" s="3" t="str">
        <f>IF(CAPSTONE_PROJECT[[#This Row],[Length of Stay]]&lt;=3,"Short Stay",IF(CAPSTONE_PROJECT[[#This Row],[Length of Stay]]&lt;=7,"Moderate Stay",IF(CAPSTONE_PROJECT[[#This Row],[Length of Stay]]&lt;=14,"Long Stay","Extended Stay")))</f>
        <v>Long Stay</v>
      </c>
    </row>
    <row r="332" spans="1:31" x14ac:dyDescent="0.3">
      <c r="A332" s="3" t="s">
        <v>721</v>
      </c>
      <c r="B332" s="4">
        <v>45516</v>
      </c>
      <c r="C332" s="4">
        <v>45527</v>
      </c>
      <c r="D332" s="4">
        <v>22882</v>
      </c>
      <c r="E332" s="3">
        <v>63</v>
      </c>
      <c r="F332" s="3" t="s">
        <v>47</v>
      </c>
      <c r="G332" s="3" t="s">
        <v>48</v>
      </c>
      <c r="H332" s="3" t="s">
        <v>43</v>
      </c>
      <c r="I332" s="3" t="s">
        <v>37</v>
      </c>
      <c r="J332" s="3" t="s">
        <v>73</v>
      </c>
      <c r="K332" s="3" t="s">
        <v>50</v>
      </c>
      <c r="L332" s="6">
        <v>1469.81</v>
      </c>
      <c r="M332" s="6">
        <v>872.99</v>
      </c>
      <c r="N332" s="6">
        <v>2265.62</v>
      </c>
      <c r="O332" s="6">
        <v>6967.47</v>
      </c>
      <c r="P332" s="3" t="s">
        <v>51</v>
      </c>
      <c r="Q332" s="3" t="s">
        <v>1079</v>
      </c>
      <c r="R332" s="3" t="s">
        <v>58</v>
      </c>
      <c r="S332" s="3" t="s">
        <v>722</v>
      </c>
      <c r="T332" s="3">
        <v>2</v>
      </c>
      <c r="U332" s="3">
        <f>CAPSTONE_PROJECT[[#This Row],[Discharge Date]]-CAPSTONE_PROJECT[[#This Row],[Admission Date]]</f>
        <v>11</v>
      </c>
      <c r="V332" s="6">
        <f>SUM(CAPSTONE_PROJECT[[#This Row],[Room Cost]:[Treatment Cost]])</f>
        <v>11575.89</v>
      </c>
      <c r="W332" s="6">
        <f t="shared" si="5"/>
        <v>1052.3536363636363</v>
      </c>
      <c r="X332" s="3" t="str">
        <f>TEXT(CAPSTONE_PROJECT[[#This Row],[Admission Date]],"mmmm")</f>
        <v>August</v>
      </c>
      <c r="Y332" s="3" t="str">
        <f>TEXT(CAPSTONE_PROJECT[[#This Row],[Admission Date]],"yyyy")</f>
        <v>2024</v>
      </c>
      <c r="Z332" s="3" t="str">
        <f>TEXT(CAPSTONE_PROJECT[[#This Row],[Admission Date]],"mmm yyyy")</f>
        <v>Aug 2024</v>
      </c>
      <c r="AA332" s="3" t="str">
        <f>TEXT(CAPSTONE_PROJECT[[#This Row],[Admission Date]],"dddd")</f>
        <v>Monday</v>
      </c>
      <c r="AB332" s="3" t="str">
        <f>IF(CAPSTONE_PROJECT[[#This Row],[Age]]&lt;=34,"Young Adults",IF(CAPSTONE_PROJECT[[#This Row],[Age]]&lt;=59,"Adults","Elders"))</f>
        <v>Elders</v>
      </c>
      <c r="AC332" s="3" t="str">
        <f>_xlfn.XLOOKUP(CAPSTONE_PROJECT[[#This Row],[Patient ID]],'Lookup table'!A:A,'Lookup table'!B:B,,0)</f>
        <v>Michael Thompson</v>
      </c>
      <c r="AD332" s="3" t="str">
        <f>_xlfn.XLOOKUP(CAPSTONE_PROJECT[[#This Row],[Patient ID]],'Lookup table'!A:A,'Lookup table'!C:C,,0)</f>
        <v>Male</v>
      </c>
      <c r="AE332" s="3" t="str">
        <f>IF(CAPSTONE_PROJECT[[#This Row],[Length of Stay]]&lt;=3,"Short Stay",IF(CAPSTONE_PROJECT[[#This Row],[Length of Stay]]&lt;=7,"Moderate Stay",IF(CAPSTONE_PROJECT[[#This Row],[Length of Stay]]&lt;=14,"Long Stay","Extended Stay")))</f>
        <v>Long Stay</v>
      </c>
    </row>
    <row r="333" spans="1:31" x14ac:dyDescent="0.3">
      <c r="A333" s="3" t="s">
        <v>723</v>
      </c>
      <c r="B333" s="4">
        <v>45631</v>
      </c>
      <c r="C333" s="4">
        <v>45645</v>
      </c>
      <c r="D333" s="4">
        <v>35136</v>
      </c>
      <c r="E333" s="3">
        <v>30</v>
      </c>
      <c r="F333" s="3" t="s">
        <v>18</v>
      </c>
      <c r="G333" s="3" t="s">
        <v>67</v>
      </c>
      <c r="H333" s="3" t="s">
        <v>72</v>
      </c>
      <c r="I333" s="3" t="s">
        <v>37</v>
      </c>
      <c r="J333" s="3" t="s">
        <v>15</v>
      </c>
      <c r="K333" s="3" t="s">
        <v>50</v>
      </c>
      <c r="L333" s="6">
        <v>2397.1999999999998</v>
      </c>
      <c r="M333" s="6">
        <v>179.69</v>
      </c>
      <c r="N333" s="6">
        <v>281.55</v>
      </c>
      <c r="O333" s="6">
        <v>14646.53</v>
      </c>
      <c r="P333" s="3" t="s">
        <v>31</v>
      </c>
      <c r="Q333" s="3" t="s">
        <v>1087</v>
      </c>
      <c r="R333" s="3" t="s">
        <v>62</v>
      </c>
      <c r="S333" s="3" t="s">
        <v>724</v>
      </c>
      <c r="T333" s="3">
        <v>9</v>
      </c>
      <c r="U333" s="3">
        <f>CAPSTONE_PROJECT[[#This Row],[Discharge Date]]-CAPSTONE_PROJECT[[#This Row],[Admission Date]]</f>
        <v>14</v>
      </c>
      <c r="V333" s="6">
        <f>SUM(CAPSTONE_PROJECT[[#This Row],[Room Cost]:[Treatment Cost]])</f>
        <v>17504.97</v>
      </c>
      <c r="W333" s="6">
        <f t="shared" si="5"/>
        <v>1250.355</v>
      </c>
      <c r="X333" s="3" t="str">
        <f>TEXT(CAPSTONE_PROJECT[[#This Row],[Admission Date]],"mmmm")</f>
        <v>December</v>
      </c>
      <c r="Y333" s="3" t="str">
        <f>TEXT(CAPSTONE_PROJECT[[#This Row],[Admission Date]],"yyyy")</f>
        <v>2024</v>
      </c>
      <c r="Z333" s="3" t="str">
        <f>TEXT(CAPSTONE_PROJECT[[#This Row],[Admission Date]],"mmm yyyy")</f>
        <v>Dec 2024</v>
      </c>
      <c r="AA333" s="3" t="str">
        <f>TEXT(CAPSTONE_PROJECT[[#This Row],[Admission Date]],"dddd")</f>
        <v>Thursday</v>
      </c>
      <c r="AB333" s="3" t="str">
        <f>IF(CAPSTONE_PROJECT[[#This Row],[Age]]&lt;=34,"Young Adults",IF(CAPSTONE_PROJECT[[#This Row],[Age]]&lt;=59,"Adults","Elders"))</f>
        <v>Young Adults</v>
      </c>
      <c r="AC333" s="3" t="str">
        <f>_xlfn.XLOOKUP(CAPSTONE_PROJECT[[#This Row],[Patient ID]],'Lookup table'!A:A,'Lookup table'!B:B,,0)</f>
        <v>Sarah Hall</v>
      </c>
      <c r="AD333" s="3" t="str">
        <f>_xlfn.XLOOKUP(CAPSTONE_PROJECT[[#This Row],[Patient ID]],'Lookup table'!A:A,'Lookup table'!C:C,,0)</f>
        <v>Female</v>
      </c>
      <c r="AE333" s="3" t="str">
        <f>IF(CAPSTONE_PROJECT[[#This Row],[Length of Stay]]&lt;=3,"Short Stay",IF(CAPSTONE_PROJECT[[#This Row],[Length of Stay]]&lt;=7,"Moderate Stay",IF(CAPSTONE_PROJECT[[#This Row],[Length of Stay]]&lt;=14,"Long Stay","Extended Stay")))</f>
        <v>Long Stay</v>
      </c>
    </row>
    <row r="334" spans="1:31" x14ac:dyDescent="0.3">
      <c r="A334" s="3" t="s">
        <v>725</v>
      </c>
      <c r="B334" s="4">
        <v>45846</v>
      </c>
      <c r="C334" s="4">
        <v>45866</v>
      </c>
      <c r="D334" s="4">
        <v>16798</v>
      </c>
      <c r="E334" s="3">
        <v>80</v>
      </c>
      <c r="F334" s="3" t="s">
        <v>8</v>
      </c>
      <c r="G334" s="3" t="s">
        <v>67</v>
      </c>
      <c r="H334" s="3" t="s">
        <v>114</v>
      </c>
      <c r="I334" s="3" t="s">
        <v>13</v>
      </c>
      <c r="J334" s="3" t="s">
        <v>15</v>
      </c>
      <c r="K334" s="3" t="s">
        <v>15</v>
      </c>
      <c r="L334" s="6">
        <v>3484.1</v>
      </c>
      <c r="M334" s="6">
        <v>1023.22</v>
      </c>
      <c r="N334" s="6">
        <v>928.15</v>
      </c>
      <c r="O334" s="6">
        <v>2246.25</v>
      </c>
      <c r="P334" s="3" t="s">
        <v>16</v>
      </c>
      <c r="Q334" s="3" t="s">
        <v>1085</v>
      </c>
      <c r="R334" s="3" t="s">
        <v>68</v>
      </c>
      <c r="S334" s="3" t="s">
        <v>726</v>
      </c>
      <c r="T334" s="3">
        <v>5</v>
      </c>
      <c r="U334" s="3">
        <f>CAPSTONE_PROJECT[[#This Row],[Discharge Date]]-CAPSTONE_PROJECT[[#This Row],[Admission Date]]</f>
        <v>20</v>
      </c>
      <c r="V334" s="6">
        <f>SUM(CAPSTONE_PROJECT[[#This Row],[Room Cost]:[Treatment Cost]])</f>
        <v>7681.7199999999993</v>
      </c>
      <c r="W334" s="6">
        <f t="shared" si="5"/>
        <v>384.08599999999996</v>
      </c>
      <c r="X334" s="3" t="str">
        <f>TEXT(CAPSTONE_PROJECT[[#This Row],[Admission Date]],"mmmm")</f>
        <v>July</v>
      </c>
      <c r="Y334" s="3" t="str">
        <f>TEXT(CAPSTONE_PROJECT[[#This Row],[Admission Date]],"yyyy")</f>
        <v>2025</v>
      </c>
      <c r="Z334" s="3" t="str">
        <f>TEXT(CAPSTONE_PROJECT[[#This Row],[Admission Date]],"mmm yyyy")</f>
        <v>Jul 2025</v>
      </c>
      <c r="AA334" s="3" t="str">
        <f>TEXT(CAPSTONE_PROJECT[[#This Row],[Admission Date]],"dddd")</f>
        <v>Tuesday</v>
      </c>
      <c r="AB334" s="3" t="str">
        <f>IF(CAPSTONE_PROJECT[[#This Row],[Age]]&lt;=34,"Young Adults",IF(CAPSTONE_PROJECT[[#This Row],[Age]]&lt;=59,"Adults","Elders"))</f>
        <v>Elders</v>
      </c>
      <c r="AC334" s="3" t="str">
        <f>_xlfn.XLOOKUP(CAPSTONE_PROJECT[[#This Row],[Patient ID]],'Lookup table'!A:A,'Lookup table'!B:B,,0)</f>
        <v>Leo D Clarke</v>
      </c>
      <c r="AD334" s="3" t="str">
        <f>_xlfn.XLOOKUP(CAPSTONE_PROJECT[[#This Row],[Patient ID]],'Lookup table'!A:A,'Lookup table'!C:C,,0)</f>
        <v>Male</v>
      </c>
      <c r="AE334" s="3" t="str">
        <f>IF(CAPSTONE_PROJECT[[#This Row],[Length of Stay]]&lt;=3,"Short Stay",IF(CAPSTONE_PROJECT[[#This Row],[Length of Stay]]&lt;=7,"Moderate Stay",IF(CAPSTONE_PROJECT[[#This Row],[Length of Stay]]&lt;=14,"Long Stay","Extended Stay")))</f>
        <v>Extended Stay</v>
      </c>
    </row>
    <row r="335" spans="1:31" x14ac:dyDescent="0.3">
      <c r="A335" s="3" t="s">
        <v>727</v>
      </c>
      <c r="B335" s="4">
        <v>45695</v>
      </c>
      <c r="C335" s="4">
        <v>45707</v>
      </c>
      <c r="D335" s="4">
        <v>17038</v>
      </c>
      <c r="E335" s="3">
        <v>79</v>
      </c>
      <c r="F335" s="3" t="s">
        <v>8</v>
      </c>
      <c r="G335" s="3" t="s">
        <v>78</v>
      </c>
      <c r="H335" s="3" t="s">
        <v>104</v>
      </c>
      <c r="I335" s="3" t="s">
        <v>44</v>
      </c>
      <c r="J335" s="3" t="s">
        <v>14</v>
      </c>
      <c r="K335" s="3" t="s">
        <v>15</v>
      </c>
      <c r="L335" s="6">
        <v>4459.3</v>
      </c>
      <c r="M335" s="6">
        <v>1218.03</v>
      </c>
      <c r="N335" s="6">
        <v>1754.12</v>
      </c>
      <c r="O335" s="6">
        <v>11438.07</v>
      </c>
      <c r="P335" s="3" t="s">
        <v>31</v>
      </c>
      <c r="Q335" s="3" t="s">
        <v>1086</v>
      </c>
      <c r="R335" s="3" t="s">
        <v>19</v>
      </c>
      <c r="S335" s="3" t="s">
        <v>728</v>
      </c>
      <c r="T335" s="3">
        <v>8</v>
      </c>
      <c r="U335" s="3">
        <f>CAPSTONE_PROJECT[[#This Row],[Discharge Date]]-CAPSTONE_PROJECT[[#This Row],[Admission Date]]</f>
        <v>12</v>
      </c>
      <c r="V335" s="6">
        <f>SUM(CAPSTONE_PROJECT[[#This Row],[Room Cost]:[Treatment Cost]])</f>
        <v>18869.52</v>
      </c>
      <c r="W335" s="6">
        <f t="shared" si="5"/>
        <v>1572.46</v>
      </c>
      <c r="X335" s="3" t="str">
        <f>TEXT(CAPSTONE_PROJECT[[#This Row],[Admission Date]],"mmmm")</f>
        <v>February</v>
      </c>
      <c r="Y335" s="3" t="str">
        <f>TEXT(CAPSTONE_PROJECT[[#This Row],[Admission Date]],"yyyy")</f>
        <v>2025</v>
      </c>
      <c r="Z335" s="3" t="str">
        <f>TEXT(CAPSTONE_PROJECT[[#This Row],[Admission Date]],"mmm yyyy")</f>
        <v>Feb 2025</v>
      </c>
      <c r="AA335" s="3" t="str">
        <f>TEXT(CAPSTONE_PROJECT[[#This Row],[Admission Date]],"dddd")</f>
        <v>Friday</v>
      </c>
      <c r="AB335" s="3" t="str">
        <f>IF(CAPSTONE_PROJECT[[#This Row],[Age]]&lt;=34,"Young Adults",IF(CAPSTONE_PROJECT[[#This Row],[Age]]&lt;=59,"Adults","Elders"))</f>
        <v>Elders</v>
      </c>
      <c r="AC335" s="3" t="str">
        <f>_xlfn.XLOOKUP(CAPSTONE_PROJECT[[#This Row],[Patient ID]],'Lookup table'!A:A,'Lookup table'!B:B,,0)</f>
        <v>Isabella U Evans</v>
      </c>
      <c r="AD335" s="3" t="str">
        <f>_xlfn.XLOOKUP(CAPSTONE_PROJECT[[#This Row],[Patient ID]],'Lookup table'!A:A,'Lookup table'!C:C,,0)</f>
        <v>Female</v>
      </c>
      <c r="AE335" s="3" t="str">
        <f>IF(CAPSTONE_PROJECT[[#This Row],[Length of Stay]]&lt;=3,"Short Stay",IF(CAPSTONE_PROJECT[[#This Row],[Length of Stay]]&lt;=7,"Moderate Stay",IF(CAPSTONE_PROJECT[[#This Row],[Length of Stay]]&lt;=14,"Long Stay","Extended Stay")))</f>
        <v>Long Stay</v>
      </c>
    </row>
    <row r="336" spans="1:31" x14ac:dyDescent="0.3">
      <c r="A336" s="3" t="s">
        <v>729</v>
      </c>
      <c r="B336" s="4">
        <v>45637</v>
      </c>
      <c r="C336" s="4">
        <v>45642</v>
      </c>
      <c r="D336" s="4">
        <v>22472</v>
      </c>
      <c r="E336" s="3">
        <v>64</v>
      </c>
      <c r="F336" s="3" t="s">
        <v>8</v>
      </c>
      <c r="G336" s="3" t="s">
        <v>9</v>
      </c>
      <c r="H336" s="3" t="s">
        <v>43</v>
      </c>
      <c r="I336" s="3" t="s">
        <v>37</v>
      </c>
      <c r="J336" s="3" t="s">
        <v>14</v>
      </c>
      <c r="K336" s="3" t="s">
        <v>65</v>
      </c>
      <c r="L336" s="6">
        <v>227.21</v>
      </c>
      <c r="M336" s="6">
        <v>1558.07</v>
      </c>
      <c r="N336" s="6">
        <v>98.81</v>
      </c>
      <c r="O336" s="6">
        <v>6782.28</v>
      </c>
      <c r="P336" s="3" t="s">
        <v>16</v>
      </c>
      <c r="Q336" s="3" t="s">
        <v>1087</v>
      </c>
      <c r="R336" s="3" t="s">
        <v>102</v>
      </c>
      <c r="S336" s="3" t="s">
        <v>730</v>
      </c>
      <c r="T336" s="3">
        <v>4</v>
      </c>
      <c r="U336" s="3">
        <f>CAPSTONE_PROJECT[[#This Row],[Discharge Date]]-CAPSTONE_PROJECT[[#This Row],[Admission Date]]</f>
        <v>5</v>
      </c>
      <c r="V336" s="6">
        <f>SUM(CAPSTONE_PROJECT[[#This Row],[Room Cost]:[Treatment Cost]])</f>
        <v>8666.369999999999</v>
      </c>
      <c r="W336" s="6">
        <f t="shared" si="5"/>
        <v>1733.2739999999999</v>
      </c>
      <c r="X336" s="3" t="str">
        <f>TEXT(CAPSTONE_PROJECT[[#This Row],[Admission Date]],"mmmm")</f>
        <v>December</v>
      </c>
      <c r="Y336" s="3" t="str">
        <f>TEXT(CAPSTONE_PROJECT[[#This Row],[Admission Date]],"yyyy")</f>
        <v>2024</v>
      </c>
      <c r="Z336" s="3" t="str">
        <f>TEXT(CAPSTONE_PROJECT[[#This Row],[Admission Date]],"mmm yyyy")</f>
        <v>Dec 2024</v>
      </c>
      <c r="AA336" s="3" t="str">
        <f>TEXT(CAPSTONE_PROJECT[[#This Row],[Admission Date]],"dddd")</f>
        <v>Wednesday</v>
      </c>
      <c r="AB336" s="3" t="str">
        <f>IF(CAPSTONE_PROJECT[[#This Row],[Age]]&lt;=34,"Young Adults",IF(CAPSTONE_PROJECT[[#This Row],[Age]]&lt;=59,"Adults","Elders"))</f>
        <v>Elders</v>
      </c>
      <c r="AC336" s="3" t="str">
        <f>_xlfn.XLOOKUP(CAPSTONE_PROJECT[[#This Row],[Patient ID]],'Lookup table'!A:A,'Lookup table'!B:B,,0)</f>
        <v>Arthur Wood</v>
      </c>
      <c r="AD336" s="3" t="str">
        <f>_xlfn.XLOOKUP(CAPSTONE_PROJECT[[#This Row],[Patient ID]],'Lookup table'!A:A,'Lookup table'!C:C,,0)</f>
        <v>Male</v>
      </c>
      <c r="AE336" s="3" t="str">
        <f>IF(CAPSTONE_PROJECT[[#This Row],[Length of Stay]]&lt;=3,"Short Stay",IF(CAPSTONE_PROJECT[[#This Row],[Length of Stay]]&lt;=7,"Moderate Stay",IF(CAPSTONE_PROJECT[[#This Row],[Length of Stay]]&lt;=14,"Long Stay","Extended Stay")))</f>
        <v>Moderate Stay</v>
      </c>
    </row>
    <row r="337" spans="1:31" x14ac:dyDescent="0.3">
      <c r="A337" s="3" t="s">
        <v>731</v>
      </c>
      <c r="B337" s="4">
        <v>45726</v>
      </c>
      <c r="C337" s="4">
        <v>45742</v>
      </c>
      <c r="D337" s="4">
        <v>36558</v>
      </c>
      <c r="E337" s="3">
        <v>26</v>
      </c>
      <c r="F337" s="3" t="s">
        <v>8</v>
      </c>
      <c r="G337" s="3" t="s">
        <v>57</v>
      </c>
      <c r="H337" s="3" t="s">
        <v>114</v>
      </c>
      <c r="I337" s="3" t="s">
        <v>44</v>
      </c>
      <c r="J337" s="3" t="s">
        <v>64</v>
      </c>
      <c r="K337" s="3" t="s">
        <v>24</v>
      </c>
      <c r="L337" s="6">
        <v>2896.71</v>
      </c>
      <c r="M337" s="6">
        <v>1543.81</v>
      </c>
      <c r="N337" s="6">
        <v>2331.81</v>
      </c>
      <c r="O337" s="6">
        <v>8697.8799999999992</v>
      </c>
      <c r="P337" s="3" t="s">
        <v>51</v>
      </c>
      <c r="Q337" s="3" t="s">
        <v>1079</v>
      </c>
      <c r="R337" s="3" t="s">
        <v>75</v>
      </c>
      <c r="S337" s="3" t="s">
        <v>732</v>
      </c>
      <c r="T337" s="3">
        <v>1</v>
      </c>
      <c r="U337" s="3">
        <f>CAPSTONE_PROJECT[[#This Row],[Discharge Date]]-CAPSTONE_PROJECT[[#This Row],[Admission Date]]</f>
        <v>16</v>
      </c>
      <c r="V337" s="6">
        <f>SUM(CAPSTONE_PROJECT[[#This Row],[Room Cost]:[Treatment Cost]])</f>
        <v>15470.21</v>
      </c>
      <c r="W337" s="6">
        <f t="shared" si="5"/>
        <v>966.88812499999995</v>
      </c>
      <c r="X337" s="3" t="str">
        <f>TEXT(CAPSTONE_PROJECT[[#This Row],[Admission Date]],"mmmm")</f>
        <v>March</v>
      </c>
      <c r="Y337" s="3" t="str">
        <f>TEXT(CAPSTONE_PROJECT[[#This Row],[Admission Date]],"yyyy")</f>
        <v>2025</v>
      </c>
      <c r="Z337" s="3" t="str">
        <f>TEXT(CAPSTONE_PROJECT[[#This Row],[Admission Date]],"mmm yyyy")</f>
        <v>Mar 2025</v>
      </c>
      <c r="AA337" s="3" t="str">
        <f>TEXT(CAPSTONE_PROJECT[[#This Row],[Admission Date]],"dddd")</f>
        <v>Monday</v>
      </c>
      <c r="AB337" s="3" t="str">
        <f>IF(CAPSTONE_PROJECT[[#This Row],[Age]]&lt;=34,"Young Adults",IF(CAPSTONE_PROJECT[[#This Row],[Age]]&lt;=59,"Adults","Elders"))</f>
        <v>Young Adults</v>
      </c>
      <c r="AC337" s="3" t="str">
        <f>_xlfn.XLOOKUP(CAPSTONE_PROJECT[[#This Row],[Patient ID]],'Lookup table'!A:A,'Lookup table'!B:B,,0)</f>
        <v>Ella Thomas</v>
      </c>
      <c r="AD337" s="3" t="str">
        <f>_xlfn.XLOOKUP(CAPSTONE_PROJECT[[#This Row],[Patient ID]],'Lookup table'!A:A,'Lookup table'!C:C,,0)</f>
        <v>Female</v>
      </c>
      <c r="AE337" s="3" t="str">
        <f>IF(CAPSTONE_PROJECT[[#This Row],[Length of Stay]]&lt;=3,"Short Stay",IF(CAPSTONE_PROJECT[[#This Row],[Length of Stay]]&lt;=7,"Moderate Stay",IF(CAPSTONE_PROJECT[[#This Row],[Length of Stay]]&lt;=14,"Long Stay","Extended Stay")))</f>
        <v>Extended Stay</v>
      </c>
    </row>
    <row r="338" spans="1:31" x14ac:dyDescent="0.3">
      <c r="A338" s="3" t="s">
        <v>733</v>
      </c>
      <c r="B338" s="4">
        <v>45777</v>
      </c>
      <c r="C338" s="4">
        <v>45778</v>
      </c>
      <c r="D338" s="4">
        <v>28851</v>
      </c>
      <c r="E338" s="3">
        <v>47</v>
      </c>
      <c r="F338" s="3" t="s">
        <v>47</v>
      </c>
      <c r="G338" s="3" t="s">
        <v>126</v>
      </c>
      <c r="H338" s="3" t="s">
        <v>29</v>
      </c>
      <c r="I338" s="3" t="s">
        <v>44</v>
      </c>
      <c r="J338" s="3" t="s">
        <v>64</v>
      </c>
      <c r="K338" s="3" t="s">
        <v>50</v>
      </c>
      <c r="L338" s="6">
        <v>3649.45</v>
      </c>
      <c r="M338" s="6">
        <v>664.36</v>
      </c>
      <c r="N338" s="6">
        <v>103.18</v>
      </c>
      <c r="O338" s="6">
        <v>5282.19</v>
      </c>
      <c r="P338" s="3" t="s">
        <v>31</v>
      </c>
      <c r="Q338" s="3" t="s">
        <v>1084</v>
      </c>
      <c r="R338" s="3" t="s">
        <v>54</v>
      </c>
      <c r="S338" s="3" t="s">
        <v>734</v>
      </c>
      <c r="T338" s="3">
        <v>4</v>
      </c>
      <c r="U338" s="3">
        <f>CAPSTONE_PROJECT[[#This Row],[Discharge Date]]-CAPSTONE_PROJECT[[#This Row],[Admission Date]]</f>
        <v>1</v>
      </c>
      <c r="V338" s="6">
        <f>SUM(CAPSTONE_PROJECT[[#This Row],[Room Cost]:[Treatment Cost]])</f>
        <v>9699.18</v>
      </c>
      <c r="W338" s="6">
        <f t="shared" si="5"/>
        <v>9699.18</v>
      </c>
      <c r="X338" s="3" t="str">
        <f>TEXT(CAPSTONE_PROJECT[[#This Row],[Admission Date]],"mmmm")</f>
        <v>April</v>
      </c>
      <c r="Y338" s="3" t="str">
        <f>TEXT(CAPSTONE_PROJECT[[#This Row],[Admission Date]],"yyyy")</f>
        <v>2025</v>
      </c>
      <c r="Z338" s="3" t="str">
        <f>TEXT(CAPSTONE_PROJECT[[#This Row],[Admission Date]],"mmm yyyy")</f>
        <v>Apr 2025</v>
      </c>
      <c r="AA338" s="3" t="str">
        <f>TEXT(CAPSTONE_PROJECT[[#This Row],[Admission Date]],"dddd")</f>
        <v>Wednesday</v>
      </c>
      <c r="AB338" s="3" t="str">
        <f>IF(CAPSTONE_PROJECT[[#This Row],[Age]]&lt;=34,"Young Adults",IF(CAPSTONE_PROJECT[[#This Row],[Age]]&lt;=59,"Adults","Elders"))</f>
        <v>Adults</v>
      </c>
      <c r="AC338" s="3" t="str">
        <f>_xlfn.XLOOKUP(CAPSTONE_PROJECT[[#This Row],[Patient ID]],'Lookup table'!A:A,'Lookup table'!B:B,,0)</f>
        <v>Oliver White</v>
      </c>
      <c r="AD338" s="3" t="str">
        <f>_xlfn.XLOOKUP(CAPSTONE_PROJECT[[#This Row],[Patient ID]],'Lookup table'!A:A,'Lookup table'!C:C,,0)</f>
        <v>Male</v>
      </c>
      <c r="AE338" s="3" t="str">
        <f>IF(CAPSTONE_PROJECT[[#This Row],[Length of Stay]]&lt;=3,"Short Stay",IF(CAPSTONE_PROJECT[[#This Row],[Length of Stay]]&lt;=7,"Moderate Stay",IF(CAPSTONE_PROJECT[[#This Row],[Length of Stay]]&lt;=14,"Long Stay","Extended Stay")))</f>
        <v>Short Stay</v>
      </c>
    </row>
    <row r="339" spans="1:31" x14ac:dyDescent="0.3">
      <c r="A339" s="3" t="s">
        <v>735</v>
      </c>
      <c r="B339" s="4">
        <v>45967</v>
      </c>
      <c r="C339" s="4">
        <v>45974</v>
      </c>
      <c r="D339" s="4">
        <v>29485</v>
      </c>
      <c r="E339" s="3">
        <v>45</v>
      </c>
      <c r="F339" s="3" t="s">
        <v>33</v>
      </c>
      <c r="G339" s="3" t="s">
        <v>34</v>
      </c>
      <c r="H339" s="3" t="s">
        <v>100</v>
      </c>
      <c r="I339" s="3" t="s">
        <v>13</v>
      </c>
      <c r="J339" s="3" t="s">
        <v>45</v>
      </c>
      <c r="K339" s="3" t="s">
        <v>65</v>
      </c>
      <c r="L339" s="6">
        <v>1882.13</v>
      </c>
      <c r="M339" s="6">
        <v>1695.75</v>
      </c>
      <c r="N339" s="6">
        <v>1213.83</v>
      </c>
      <c r="O339" s="6">
        <v>13565.83</v>
      </c>
      <c r="P339" s="3" t="s">
        <v>51</v>
      </c>
      <c r="Q339" s="3" t="s">
        <v>1086</v>
      </c>
      <c r="R339" s="3" t="s">
        <v>54</v>
      </c>
      <c r="S339" s="3" t="s">
        <v>736</v>
      </c>
      <c r="T339" s="3">
        <v>10</v>
      </c>
      <c r="U339" s="3">
        <f>CAPSTONE_PROJECT[[#This Row],[Discharge Date]]-CAPSTONE_PROJECT[[#This Row],[Admission Date]]</f>
        <v>7</v>
      </c>
      <c r="V339" s="6">
        <f>SUM(CAPSTONE_PROJECT[[#This Row],[Room Cost]:[Treatment Cost]])</f>
        <v>18357.54</v>
      </c>
      <c r="W339" s="6">
        <f t="shared" si="5"/>
        <v>2622.5057142857145</v>
      </c>
      <c r="X339" s="3" t="str">
        <f>TEXT(CAPSTONE_PROJECT[[#This Row],[Admission Date]],"mmmm")</f>
        <v>November</v>
      </c>
      <c r="Y339" s="3" t="str">
        <f>TEXT(CAPSTONE_PROJECT[[#This Row],[Admission Date]],"yyyy")</f>
        <v>2025</v>
      </c>
      <c r="Z339" s="3" t="str">
        <f>TEXT(CAPSTONE_PROJECT[[#This Row],[Admission Date]],"mmm yyyy")</f>
        <v>Nov 2025</v>
      </c>
      <c r="AA339" s="3" t="str">
        <f>TEXT(CAPSTONE_PROJECT[[#This Row],[Admission Date]],"dddd")</f>
        <v>Thursday</v>
      </c>
      <c r="AB339" s="3" t="str">
        <f>IF(CAPSTONE_PROJECT[[#This Row],[Age]]&lt;=34,"Young Adults",IF(CAPSTONE_PROJECT[[#This Row],[Age]]&lt;=59,"Adults","Elders"))</f>
        <v>Adults</v>
      </c>
      <c r="AC339" s="3" t="str">
        <f>_xlfn.XLOOKUP(CAPSTONE_PROJECT[[#This Row],[Patient ID]],'Lookup table'!A:A,'Lookup table'!B:B,,0)</f>
        <v>Ella T Walker</v>
      </c>
      <c r="AD339" s="3" t="str">
        <f>_xlfn.XLOOKUP(CAPSTONE_PROJECT[[#This Row],[Patient ID]],'Lookup table'!A:A,'Lookup table'!C:C,,0)</f>
        <v>Female</v>
      </c>
      <c r="AE339" s="3" t="str">
        <f>IF(CAPSTONE_PROJECT[[#This Row],[Length of Stay]]&lt;=3,"Short Stay",IF(CAPSTONE_PROJECT[[#This Row],[Length of Stay]]&lt;=7,"Moderate Stay",IF(CAPSTONE_PROJECT[[#This Row],[Length of Stay]]&lt;=14,"Long Stay","Extended Stay")))</f>
        <v>Moderate Stay</v>
      </c>
    </row>
    <row r="340" spans="1:31" x14ac:dyDescent="0.3">
      <c r="A340" s="3" t="s">
        <v>737</v>
      </c>
      <c r="B340" s="4">
        <v>45371</v>
      </c>
      <c r="C340" s="4">
        <v>45373</v>
      </c>
      <c r="D340" s="4">
        <v>27405</v>
      </c>
      <c r="E340" s="3">
        <v>51</v>
      </c>
      <c r="F340" s="3" t="s">
        <v>33</v>
      </c>
      <c r="G340" s="3" t="s">
        <v>34</v>
      </c>
      <c r="H340" s="3" t="s">
        <v>114</v>
      </c>
      <c r="I340" s="3" t="s">
        <v>44</v>
      </c>
      <c r="J340" s="3" t="s">
        <v>23</v>
      </c>
      <c r="K340" s="3" t="s">
        <v>50</v>
      </c>
      <c r="L340" s="6">
        <v>3766.01</v>
      </c>
      <c r="M340" s="6">
        <v>1647.53</v>
      </c>
      <c r="N340" s="6">
        <v>1419.26</v>
      </c>
      <c r="O340" s="6">
        <v>14697.24</v>
      </c>
      <c r="P340" s="3" t="s">
        <v>16</v>
      </c>
      <c r="Q340" s="3" t="s">
        <v>1085</v>
      </c>
      <c r="R340" s="3" t="s">
        <v>62</v>
      </c>
      <c r="S340" s="3" t="s">
        <v>738</v>
      </c>
      <c r="T340" s="3">
        <v>2</v>
      </c>
      <c r="U340" s="3">
        <f>CAPSTONE_PROJECT[[#This Row],[Discharge Date]]-CAPSTONE_PROJECT[[#This Row],[Admission Date]]</f>
        <v>2</v>
      </c>
      <c r="V340" s="6">
        <f>SUM(CAPSTONE_PROJECT[[#This Row],[Room Cost]:[Treatment Cost]])</f>
        <v>21530.04</v>
      </c>
      <c r="W340" s="6">
        <f t="shared" si="5"/>
        <v>10765.02</v>
      </c>
      <c r="X340" s="3" t="str">
        <f>TEXT(CAPSTONE_PROJECT[[#This Row],[Admission Date]],"mmmm")</f>
        <v>March</v>
      </c>
      <c r="Y340" s="3" t="str">
        <f>TEXT(CAPSTONE_PROJECT[[#This Row],[Admission Date]],"yyyy")</f>
        <v>2024</v>
      </c>
      <c r="Z340" s="3" t="str">
        <f>TEXT(CAPSTONE_PROJECT[[#This Row],[Admission Date]],"mmm yyyy")</f>
        <v>Mar 2024</v>
      </c>
      <c r="AA340" s="3" t="str">
        <f>TEXT(CAPSTONE_PROJECT[[#This Row],[Admission Date]],"dddd")</f>
        <v>Wednesday</v>
      </c>
      <c r="AB340" s="3" t="str">
        <f>IF(CAPSTONE_PROJECT[[#This Row],[Age]]&lt;=34,"Young Adults",IF(CAPSTONE_PROJECT[[#This Row],[Age]]&lt;=59,"Adults","Elders"))</f>
        <v>Adults</v>
      </c>
      <c r="AC340" s="3" t="str">
        <f>_xlfn.XLOOKUP(CAPSTONE_PROJECT[[#This Row],[Patient ID]],'Lookup table'!A:A,'Lookup table'!B:B,,0)</f>
        <v>Henry Clarke</v>
      </c>
      <c r="AD340" s="3" t="str">
        <f>_xlfn.XLOOKUP(CAPSTONE_PROJECT[[#This Row],[Patient ID]],'Lookup table'!A:A,'Lookup table'!C:C,,0)</f>
        <v>Male</v>
      </c>
      <c r="AE340" s="3" t="str">
        <f>IF(CAPSTONE_PROJECT[[#This Row],[Length of Stay]]&lt;=3,"Short Stay",IF(CAPSTONE_PROJECT[[#This Row],[Length of Stay]]&lt;=7,"Moderate Stay",IF(CAPSTONE_PROJECT[[#This Row],[Length of Stay]]&lt;=14,"Long Stay","Extended Stay")))</f>
        <v>Short Stay</v>
      </c>
    </row>
    <row r="341" spans="1:31" x14ac:dyDescent="0.3">
      <c r="A341" s="3" t="s">
        <v>739</v>
      </c>
      <c r="B341" s="4">
        <v>45317</v>
      </c>
      <c r="C341" s="4">
        <v>45329</v>
      </c>
      <c r="D341" s="4">
        <v>31569</v>
      </c>
      <c r="E341" s="3">
        <v>40</v>
      </c>
      <c r="F341" s="3" t="s">
        <v>47</v>
      </c>
      <c r="G341" s="3" t="s">
        <v>40</v>
      </c>
      <c r="H341" s="3" t="s">
        <v>1080</v>
      </c>
      <c r="I341" s="3" t="s">
        <v>22</v>
      </c>
      <c r="J341" s="3" t="s">
        <v>64</v>
      </c>
      <c r="K341" s="3" t="s">
        <v>24</v>
      </c>
      <c r="L341" s="6">
        <v>266.68</v>
      </c>
      <c r="M341" s="6">
        <v>120.36</v>
      </c>
      <c r="N341" s="6">
        <v>986.7</v>
      </c>
      <c r="O341" s="6">
        <v>5159.79</v>
      </c>
      <c r="P341" s="3" t="s">
        <v>16</v>
      </c>
      <c r="Q341" s="3" t="s">
        <v>1077</v>
      </c>
      <c r="R341" s="3" t="s">
        <v>68</v>
      </c>
      <c r="S341" s="3" t="s">
        <v>740</v>
      </c>
      <c r="T341" s="3">
        <v>4</v>
      </c>
      <c r="U341" s="3">
        <f>CAPSTONE_PROJECT[[#This Row],[Discharge Date]]-CAPSTONE_PROJECT[[#This Row],[Admission Date]]</f>
        <v>12</v>
      </c>
      <c r="V341" s="6">
        <f>SUM(CAPSTONE_PROJECT[[#This Row],[Room Cost]:[Treatment Cost]])</f>
        <v>6533.53</v>
      </c>
      <c r="W341" s="6">
        <f t="shared" si="5"/>
        <v>544.46083333333331</v>
      </c>
      <c r="X341" s="3" t="str">
        <f>TEXT(CAPSTONE_PROJECT[[#This Row],[Admission Date]],"mmmm")</f>
        <v>January</v>
      </c>
      <c r="Y341" s="3" t="str">
        <f>TEXT(CAPSTONE_PROJECT[[#This Row],[Admission Date]],"yyyy")</f>
        <v>2024</v>
      </c>
      <c r="Z341" s="3" t="str">
        <f>TEXT(CAPSTONE_PROJECT[[#This Row],[Admission Date]],"mmm yyyy")</f>
        <v>Jan 2024</v>
      </c>
      <c r="AA341" s="3" t="str">
        <f>TEXT(CAPSTONE_PROJECT[[#This Row],[Admission Date]],"dddd")</f>
        <v>Friday</v>
      </c>
      <c r="AB341" s="3" t="str">
        <f>IF(CAPSTONE_PROJECT[[#This Row],[Age]]&lt;=34,"Young Adults",IF(CAPSTONE_PROJECT[[#This Row],[Age]]&lt;=59,"Adults","Elders"))</f>
        <v>Adults</v>
      </c>
      <c r="AC341" s="3" t="str">
        <f>_xlfn.XLOOKUP(CAPSTONE_PROJECT[[#This Row],[Patient ID]],'Lookup table'!A:A,'Lookup table'!B:B,,0)</f>
        <v>Mia Hall</v>
      </c>
      <c r="AD341" s="3" t="str">
        <f>_xlfn.XLOOKUP(CAPSTONE_PROJECT[[#This Row],[Patient ID]],'Lookup table'!A:A,'Lookup table'!C:C,,0)</f>
        <v>Female</v>
      </c>
      <c r="AE341" s="3" t="str">
        <f>IF(CAPSTONE_PROJECT[[#This Row],[Length of Stay]]&lt;=3,"Short Stay",IF(CAPSTONE_PROJECT[[#This Row],[Length of Stay]]&lt;=7,"Moderate Stay",IF(CAPSTONE_PROJECT[[#This Row],[Length of Stay]]&lt;=14,"Long Stay","Extended Stay")))</f>
        <v>Long Stay</v>
      </c>
    </row>
    <row r="342" spans="1:31" x14ac:dyDescent="0.3">
      <c r="A342" s="3" t="s">
        <v>741</v>
      </c>
      <c r="B342" s="4">
        <v>45551</v>
      </c>
      <c r="C342" s="4">
        <v>45560</v>
      </c>
      <c r="D342" s="4">
        <v>17524</v>
      </c>
      <c r="E342" s="3">
        <v>78</v>
      </c>
      <c r="F342" s="3" t="s">
        <v>47</v>
      </c>
      <c r="G342" s="3" t="s">
        <v>126</v>
      </c>
      <c r="H342" s="3" t="s">
        <v>43</v>
      </c>
      <c r="I342" s="3" t="s">
        <v>44</v>
      </c>
      <c r="J342" s="3" t="s">
        <v>23</v>
      </c>
      <c r="K342" s="3" t="s">
        <v>15</v>
      </c>
      <c r="L342" s="6">
        <v>603.34</v>
      </c>
      <c r="M342" s="6">
        <v>1478.12</v>
      </c>
      <c r="N342" s="6">
        <v>2601.2199999999998</v>
      </c>
      <c r="O342" s="6">
        <v>15010.8</v>
      </c>
      <c r="P342" s="3" t="s">
        <v>16</v>
      </c>
      <c r="Q342" s="3" t="s">
        <v>1077</v>
      </c>
      <c r="R342" s="3" t="s">
        <v>75</v>
      </c>
      <c r="S342" s="3" t="s">
        <v>742</v>
      </c>
      <c r="T342" s="3">
        <v>8</v>
      </c>
      <c r="U342" s="3">
        <f>CAPSTONE_PROJECT[[#This Row],[Discharge Date]]-CAPSTONE_PROJECT[[#This Row],[Admission Date]]</f>
        <v>9</v>
      </c>
      <c r="V342" s="6">
        <f>SUM(CAPSTONE_PROJECT[[#This Row],[Room Cost]:[Treatment Cost]])</f>
        <v>19693.48</v>
      </c>
      <c r="W342" s="6">
        <f t="shared" si="5"/>
        <v>2188.1644444444446</v>
      </c>
      <c r="X342" s="3" t="str">
        <f>TEXT(CAPSTONE_PROJECT[[#This Row],[Admission Date]],"mmmm")</f>
        <v>September</v>
      </c>
      <c r="Y342" s="3" t="str">
        <f>TEXT(CAPSTONE_PROJECT[[#This Row],[Admission Date]],"yyyy")</f>
        <v>2024</v>
      </c>
      <c r="Z342" s="3" t="str">
        <f>TEXT(CAPSTONE_PROJECT[[#This Row],[Admission Date]],"mmm yyyy")</f>
        <v>Sep 2024</v>
      </c>
      <c r="AA342" s="3" t="str">
        <f>TEXT(CAPSTONE_PROJECT[[#This Row],[Admission Date]],"dddd")</f>
        <v>Monday</v>
      </c>
      <c r="AB342" s="3" t="str">
        <f>IF(CAPSTONE_PROJECT[[#This Row],[Age]]&lt;=34,"Young Adults",IF(CAPSTONE_PROJECT[[#This Row],[Age]]&lt;=59,"Adults","Elders"))</f>
        <v>Elders</v>
      </c>
      <c r="AC342" s="3" t="str">
        <f>_xlfn.XLOOKUP(CAPSTONE_PROJECT[[#This Row],[Patient ID]],'Lookup table'!A:A,'Lookup table'!B:B,,0)</f>
        <v>Leo K Walker</v>
      </c>
      <c r="AD342" s="3" t="str">
        <f>_xlfn.XLOOKUP(CAPSTONE_PROJECT[[#This Row],[Patient ID]],'Lookup table'!A:A,'Lookup table'!C:C,,0)</f>
        <v>Male</v>
      </c>
      <c r="AE342" s="3" t="str">
        <f>IF(CAPSTONE_PROJECT[[#This Row],[Length of Stay]]&lt;=3,"Short Stay",IF(CAPSTONE_PROJECT[[#This Row],[Length of Stay]]&lt;=7,"Moderate Stay",IF(CAPSTONE_PROJECT[[#This Row],[Length of Stay]]&lt;=14,"Long Stay","Extended Stay")))</f>
        <v>Long Stay</v>
      </c>
    </row>
    <row r="343" spans="1:31" x14ac:dyDescent="0.3">
      <c r="A343" s="3" t="s">
        <v>743</v>
      </c>
      <c r="B343" s="4">
        <v>45920</v>
      </c>
      <c r="C343" s="4">
        <v>45921</v>
      </c>
      <c r="D343" s="4">
        <v>36271</v>
      </c>
      <c r="E343" s="3">
        <v>27</v>
      </c>
      <c r="F343" s="3" t="s">
        <v>33</v>
      </c>
      <c r="G343" s="3" t="s">
        <v>53</v>
      </c>
      <c r="H343" s="3" t="s">
        <v>29</v>
      </c>
      <c r="I343" s="3" t="s">
        <v>37</v>
      </c>
      <c r="J343" s="3" t="s">
        <v>14</v>
      </c>
      <c r="K343" s="3" t="s">
        <v>15</v>
      </c>
      <c r="L343" s="6">
        <v>1795.87</v>
      </c>
      <c r="M343" s="6">
        <v>866.65</v>
      </c>
      <c r="N343" s="6">
        <v>0</v>
      </c>
      <c r="O343" s="6">
        <v>0</v>
      </c>
      <c r="P343" s="3" t="s">
        <v>25</v>
      </c>
      <c r="Q343" s="3" t="s">
        <v>1086</v>
      </c>
      <c r="R343" s="3" t="s">
        <v>58</v>
      </c>
      <c r="S343" s="3" t="s">
        <v>744</v>
      </c>
      <c r="T343" s="3">
        <v>10</v>
      </c>
      <c r="U343" s="3">
        <f>CAPSTONE_PROJECT[[#This Row],[Discharge Date]]-CAPSTONE_PROJECT[[#This Row],[Admission Date]]</f>
        <v>1</v>
      </c>
      <c r="V343" s="6">
        <f>SUM(CAPSTONE_PROJECT[[#This Row],[Room Cost]:[Treatment Cost]])</f>
        <v>2662.52</v>
      </c>
      <c r="W343" s="6">
        <f t="shared" si="5"/>
        <v>2662.52</v>
      </c>
      <c r="X343" s="3" t="str">
        <f>TEXT(CAPSTONE_PROJECT[[#This Row],[Admission Date]],"mmmm")</f>
        <v>September</v>
      </c>
      <c r="Y343" s="3" t="str">
        <f>TEXT(CAPSTONE_PROJECT[[#This Row],[Admission Date]],"yyyy")</f>
        <v>2025</v>
      </c>
      <c r="Z343" s="3" t="str">
        <f>TEXT(CAPSTONE_PROJECT[[#This Row],[Admission Date]],"mmm yyyy")</f>
        <v>Sep 2025</v>
      </c>
      <c r="AA343" s="3" t="str">
        <f>TEXT(CAPSTONE_PROJECT[[#This Row],[Admission Date]],"dddd")</f>
        <v>Saturday</v>
      </c>
      <c r="AB343" s="3" t="str">
        <f>IF(CAPSTONE_PROJECT[[#This Row],[Age]]&lt;=34,"Young Adults",IF(CAPSTONE_PROJECT[[#This Row],[Age]]&lt;=59,"Adults","Elders"))</f>
        <v>Young Adults</v>
      </c>
      <c r="AC343" s="3" t="str">
        <f>_xlfn.XLOOKUP(CAPSTONE_PROJECT[[#This Row],[Patient ID]],'Lookup table'!A:A,'Lookup table'!B:B,,0)</f>
        <v>Chloe C Jones</v>
      </c>
      <c r="AD343" s="3" t="str">
        <f>_xlfn.XLOOKUP(CAPSTONE_PROJECT[[#This Row],[Patient ID]],'Lookup table'!A:A,'Lookup table'!C:C,,0)</f>
        <v>Female</v>
      </c>
      <c r="AE343" s="3" t="str">
        <f>IF(CAPSTONE_PROJECT[[#This Row],[Length of Stay]]&lt;=3,"Short Stay",IF(CAPSTONE_PROJECT[[#This Row],[Length of Stay]]&lt;=7,"Moderate Stay",IF(CAPSTONE_PROJECT[[#This Row],[Length of Stay]]&lt;=14,"Long Stay","Extended Stay")))</f>
        <v>Short Stay</v>
      </c>
    </row>
    <row r="344" spans="1:31" x14ac:dyDescent="0.3">
      <c r="A344" s="3" t="s">
        <v>745</v>
      </c>
      <c r="B344" s="4">
        <v>45412</v>
      </c>
      <c r="C344" s="4">
        <v>45423</v>
      </c>
      <c r="D344" s="4">
        <v>22901</v>
      </c>
      <c r="E344" s="3">
        <v>63</v>
      </c>
      <c r="F344" s="3" t="s">
        <v>47</v>
      </c>
      <c r="G344" s="3" t="s">
        <v>78</v>
      </c>
      <c r="H344" s="3" t="s">
        <v>1080</v>
      </c>
      <c r="I344" s="3" t="s">
        <v>44</v>
      </c>
      <c r="J344" s="3" t="s">
        <v>30</v>
      </c>
      <c r="K344" s="3" t="s">
        <v>50</v>
      </c>
      <c r="L344" s="6">
        <v>2468.8000000000002</v>
      </c>
      <c r="M344" s="6">
        <v>335.25</v>
      </c>
      <c r="N344" s="6">
        <v>422.63</v>
      </c>
      <c r="O344" s="6">
        <v>5640.34</v>
      </c>
      <c r="P344" s="3" t="s">
        <v>16</v>
      </c>
      <c r="Q344" s="3" t="s">
        <v>1076</v>
      </c>
      <c r="R344" s="3" t="s">
        <v>58</v>
      </c>
      <c r="S344" s="3" t="s">
        <v>746</v>
      </c>
      <c r="T344" s="3">
        <v>2</v>
      </c>
      <c r="U344" s="3">
        <f>CAPSTONE_PROJECT[[#This Row],[Discharge Date]]-CAPSTONE_PROJECT[[#This Row],[Admission Date]]</f>
        <v>11</v>
      </c>
      <c r="V344" s="6">
        <f>SUM(CAPSTONE_PROJECT[[#This Row],[Room Cost]:[Treatment Cost]])</f>
        <v>8867.02</v>
      </c>
      <c r="W344" s="6">
        <f t="shared" si="5"/>
        <v>806.0927272727273</v>
      </c>
      <c r="X344" s="3" t="str">
        <f>TEXT(CAPSTONE_PROJECT[[#This Row],[Admission Date]],"mmmm")</f>
        <v>April</v>
      </c>
      <c r="Y344" s="3" t="str">
        <f>TEXT(CAPSTONE_PROJECT[[#This Row],[Admission Date]],"yyyy")</f>
        <v>2024</v>
      </c>
      <c r="Z344" s="3" t="str">
        <f>TEXT(CAPSTONE_PROJECT[[#This Row],[Admission Date]],"mmm yyyy")</f>
        <v>Apr 2024</v>
      </c>
      <c r="AA344" s="3" t="str">
        <f>TEXT(CAPSTONE_PROJECT[[#This Row],[Admission Date]],"dddd")</f>
        <v>Tuesday</v>
      </c>
      <c r="AB344" s="3" t="str">
        <f>IF(CAPSTONE_PROJECT[[#This Row],[Age]]&lt;=34,"Young Adults",IF(CAPSTONE_PROJECT[[#This Row],[Age]]&lt;=59,"Adults","Elders"))</f>
        <v>Elders</v>
      </c>
      <c r="AC344" s="3" t="str">
        <f>_xlfn.XLOOKUP(CAPSTONE_PROJECT[[#This Row],[Patient ID]],'Lookup table'!A:A,'Lookup table'!B:B,,0)</f>
        <v>Daniel H Wood</v>
      </c>
      <c r="AD344" s="3" t="str">
        <f>_xlfn.XLOOKUP(CAPSTONE_PROJECT[[#This Row],[Patient ID]],'Lookup table'!A:A,'Lookup table'!C:C,,0)</f>
        <v>Male</v>
      </c>
      <c r="AE344" s="3" t="str">
        <f>IF(CAPSTONE_PROJECT[[#This Row],[Length of Stay]]&lt;=3,"Short Stay",IF(CAPSTONE_PROJECT[[#This Row],[Length of Stay]]&lt;=7,"Moderate Stay",IF(CAPSTONE_PROJECT[[#This Row],[Length of Stay]]&lt;=14,"Long Stay","Extended Stay")))</f>
        <v>Long Stay</v>
      </c>
    </row>
    <row r="345" spans="1:31" x14ac:dyDescent="0.3">
      <c r="A345" s="3" t="s">
        <v>747</v>
      </c>
      <c r="B345" s="4">
        <v>45496</v>
      </c>
      <c r="C345" s="4">
        <v>45502</v>
      </c>
      <c r="D345" s="4">
        <v>35894</v>
      </c>
      <c r="E345" s="3">
        <v>28</v>
      </c>
      <c r="F345" s="3" t="s">
        <v>18</v>
      </c>
      <c r="G345" s="3" t="s">
        <v>126</v>
      </c>
      <c r="H345" s="3" t="s">
        <v>12</v>
      </c>
      <c r="I345" s="3" t="s">
        <v>13</v>
      </c>
      <c r="J345" s="3" t="s">
        <v>64</v>
      </c>
      <c r="K345" s="3" t="s">
        <v>50</v>
      </c>
      <c r="L345" s="6">
        <v>4281.16</v>
      </c>
      <c r="M345" s="6">
        <v>1580.71</v>
      </c>
      <c r="N345" s="6">
        <v>2091.52</v>
      </c>
      <c r="O345" s="6">
        <v>6805.65</v>
      </c>
      <c r="P345" s="3" t="s">
        <v>31</v>
      </c>
      <c r="Q345" s="3" t="s">
        <v>1085</v>
      </c>
      <c r="R345" s="3" t="s">
        <v>54</v>
      </c>
      <c r="S345" s="3" t="s">
        <v>748</v>
      </c>
      <c r="T345" s="3">
        <v>6</v>
      </c>
      <c r="U345" s="3">
        <f>CAPSTONE_PROJECT[[#This Row],[Discharge Date]]-CAPSTONE_PROJECT[[#This Row],[Admission Date]]</f>
        <v>6</v>
      </c>
      <c r="V345" s="6">
        <f>SUM(CAPSTONE_PROJECT[[#This Row],[Room Cost]:[Treatment Cost]])</f>
        <v>14759.039999999999</v>
      </c>
      <c r="W345" s="6">
        <f t="shared" si="5"/>
        <v>2459.8399999999997</v>
      </c>
      <c r="X345" s="3" t="str">
        <f>TEXT(CAPSTONE_PROJECT[[#This Row],[Admission Date]],"mmmm")</f>
        <v>July</v>
      </c>
      <c r="Y345" s="3" t="str">
        <f>TEXT(CAPSTONE_PROJECT[[#This Row],[Admission Date]],"yyyy")</f>
        <v>2024</v>
      </c>
      <c r="Z345" s="3" t="str">
        <f>TEXT(CAPSTONE_PROJECT[[#This Row],[Admission Date]],"mmm yyyy")</f>
        <v>Jul 2024</v>
      </c>
      <c r="AA345" s="3" t="str">
        <f>TEXT(CAPSTONE_PROJECT[[#This Row],[Admission Date]],"dddd")</f>
        <v>Tuesday</v>
      </c>
      <c r="AB345" s="3" t="str">
        <f>IF(CAPSTONE_PROJECT[[#This Row],[Age]]&lt;=34,"Young Adults",IF(CAPSTONE_PROJECT[[#This Row],[Age]]&lt;=59,"Adults","Elders"))</f>
        <v>Young Adults</v>
      </c>
      <c r="AC345" s="3" t="str">
        <f>_xlfn.XLOOKUP(CAPSTONE_PROJECT[[#This Row],[Patient ID]],'Lookup table'!A:A,'Lookup table'!B:B,,0)</f>
        <v>Lily Wood</v>
      </c>
      <c r="AD345" s="3" t="str">
        <f>_xlfn.XLOOKUP(CAPSTONE_PROJECT[[#This Row],[Patient ID]],'Lookup table'!A:A,'Lookup table'!C:C,,0)</f>
        <v>Female</v>
      </c>
      <c r="AE345" s="3" t="str">
        <f>IF(CAPSTONE_PROJECT[[#This Row],[Length of Stay]]&lt;=3,"Short Stay",IF(CAPSTONE_PROJECT[[#This Row],[Length of Stay]]&lt;=7,"Moderate Stay",IF(CAPSTONE_PROJECT[[#This Row],[Length of Stay]]&lt;=14,"Long Stay","Extended Stay")))</f>
        <v>Moderate Stay</v>
      </c>
    </row>
    <row r="346" spans="1:31" x14ac:dyDescent="0.3">
      <c r="A346" s="3" t="s">
        <v>749</v>
      </c>
      <c r="B346" s="4">
        <v>45559</v>
      </c>
      <c r="C346" s="4">
        <v>45561</v>
      </c>
      <c r="D346" s="4">
        <v>22386</v>
      </c>
      <c r="E346" s="3">
        <v>65</v>
      </c>
      <c r="F346" s="3" t="s">
        <v>47</v>
      </c>
      <c r="G346" s="3" t="s">
        <v>34</v>
      </c>
      <c r="H346" s="3" t="s">
        <v>100</v>
      </c>
      <c r="I346" s="3" t="s">
        <v>22</v>
      </c>
      <c r="J346" s="3" t="s">
        <v>64</v>
      </c>
      <c r="K346" s="3" t="s">
        <v>50</v>
      </c>
      <c r="L346" s="6">
        <v>3978.68</v>
      </c>
      <c r="M346" s="6">
        <v>1561.09</v>
      </c>
      <c r="N346" s="6">
        <v>668.72</v>
      </c>
      <c r="O346" s="6">
        <v>6671.28</v>
      </c>
      <c r="P346" s="3" t="s">
        <v>16</v>
      </c>
      <c r="Q346" s="3" t="s">
        <v>1077</v>
      </c>
      <c r="R346" s="3" t="s">
        <v>19</v>
      </c>
      <c r="S346" s="3" t="s">
        <v>750</v>
      </c>
      <c r="T346" s="3">
        <v>6</v>
      </c>
      <c r="U346" s="3">
        <f>CAPSTONE_PROJECT[[#This Row],[Discharge Date]]-CAPSTONE_PROJECT[[#This Row],[Admission Date]]</f>
        <v>2</v>
      </c>
      <c r="V346" s="6">
        <f>SUM(CAPSTONE_PROJECT[[#This Row],[Room Cost]:[Treatment Cost]])</f>
        <v>12879.77</v>
      </c>
      <c r="W346" s="6">
        <f t="shared" si="5"/>
        <v>6439.8850000000002</v>
      </c>
      <c r="X346" s="3" t="str">
        <f>TEXT(CAPSTONE_PROJECT[[#This Row],[Admission Date]],"mmmm")</f>
        <v>September</v>
      </c>
      <c r="Y346" s="3" t="str">
        <f>TEXT(CAPSTONE_PROJECT[[#This Row],[Admission Date]],"yyyy")</f>
        <v>2024</v>
      </c>
      <c r="Z346" s="3" t="str">
        <f>TEXT(CAPSTONE_PROJECT[[#This Row],[Admission Date]],"mmm yyyy")</f>
        <v>Sep 2024</v>
      </c>
      <c r="AA346" s="3" t="str">
        <f>TEXT(CAPSTONE_PROJECT[[#This Row],[Admission Date]],"dddd")</f>
        <v>Tuesday</v>
      </c>
      <c r="AB346" s="3" t="str">
        <f>IF(CAPSTONE_PROJECT[[#This Row],[Age]]&lt;=34,"Young Adults",IF(CAPSTONE_PROJECT[[#This Row],[Age]]&lt;=59,"Adults","Elders"))</f>
        <v>Elders</v>
      </c>
      <c r="AC346" s="3" t="str">
        <f>_xlfn.XLOOKUP(CAPSTONE_PROJECT[[#This Row],[Patient ID]],'Lookup table'!A:A,'Lookup table'!B:B,,0)</f>
        <v>Benjamin K Green</v>
      </c>
      <c r="AD346" s="3" t="str">
        <f>_xlfn.XLOOKUP(CAPSTONE_PROJECT[[#This Row],[Patient ID]],'Lookup table'!A:A,'Lookup table'!C:C,,0)</f>
        <v>Male</v>
      </c>
      <c r="AE346" s="3" t="str">
        <f>IF(CAPSTONE_PROJECT[[#This Row],[Length of Stay]]&lt;=3,"Short Stay",IF(CAPSTONE_PROJECT[[#This Row],[Length of Stay]]&lt;=7,"Moderate Stay",IF(CAPSTONE_PROJECT[[#This Row],[Length of Stay]]&lt;=14,"Long Stay","Extended Stay")))</f>
        <v>Short Stay</v>
      </c>
    </row>
    <row r="347" spans="1:31" x14ac:dyDescent="0.3">
      <c r="A347" s="3" t="s">
        <v>751</v>
      </c>
      <c r="B347" s="4">
        <v>45541</v>
      </c>
      <c r="C347" s="4">
        <v>45550</v>
      </c>
      <c r="D347" s="4">
        <v>33435</v>
      </c>
      <c r="E347" s="3">
        <v>34</v>
      </c>
      <c r="F347" s="3" t="s">
        <v>33</v>
      </c>
      <c r="G347" s="3" t="s">
        <v>53</v>
      </c>
      <c r="H347" s="3" t="s">
        <v>29</v>
      </c>
      <c r="I347" s="3" t="s">
        <v>44</v>
      </c>
      <c r="J347" s="3" t="s">
        <v>30</v>
      </c>
      <c r="K347" s="3" t="s">
        <v>50</v>
      </c>
      <c r="L347" s="6">
        <v>1230.3399999999999</v>
      </c>
      <c r="M347" s="6">
        <v>1682</v>
      </c>
      <c r="N347" s="6">
        <v>1283.01</v>
      </c>
      <c r="O347" s="6">
        <v>10556.85</v>
      </c>
      <c r="P347" s="3" t="s">
        <v>16</v>
      </c>
      <c r="Q347" s="3" t="s">
        <v>1078</v>
      </c>
      <c r="R347" s="3" t="s">
        <v>62</v>
      </c>
      <c r="S347" s="3" t="s">
        <v>752</v>
      </c>
      <c r="T347" s="3">
        <v>4</v>
      </c>
      <c r="U347" s="3">
        <f>CAPSTONE_PROJECT[[#This Row],[Discharge Date]]-CAPSTONE_PROJECT[[#This Row],[Admission Date]]</f>
        <v>9</v>
      </c>
      <c r="V347" s="6">
        <f>SUM(CAPSTONE_PROJECT[[#This Row],[Room Cost]:[Treatment Cost]])</f>
        <v>14752.2</v>
      </c>
      <c r="W347" s="6">
        <f t="shared" si="5"/>
        <v>1639.1333333333334</v>
      </c>
      <c r="X347" s="3" t="str">
        <f>TEXT(CAPSTONE_PROJECT[[#This Row],[Admission Date]],"mmmm")</f>
        <v>September</v>
      </c>
      <c r="Y347" s="3" t="str">
        <f>TEXT(CAPSTONE_PROJECT[[#This Row],[Admission Date]],"yyyy")</f>
        <v>2024</v>
      </c>
      <c r="Z347" s="3" t="str">
        <f>TEXT(CAPSTONE_PROJECT[[#This Row],[Admission Date]],"mmm yyyy")</f>
        <v>Sep 2024</v>
      </c>
      <c r="AA347" s="3" t="str">
        <f>TEXT(CAPSTONE_PROJECT[[#This Row],[Admission Date]],"dddd")</f>
        <v>Friday</v>
      </c>
      <c r="AB347" s="3" t="str">
        <f>IF(CAPSTONE_PROJECT[[#This Row],[Age]]&lt;=34,"Young Adults",IF(CAPSTONE_PROJECT[[#This Row],[Age]]&lt;=59,"Adults","Elders"))</f>
        <v>Young Adults</v>
      </c>
      <c r="AC347" s="3" t="str">
        <f>_xlfn.XLOOKUP(CAPSTONE_PROJECT[[#This Row],[Patient ID]],'Lookup table'!A:A,'Lookup table'!B:B,,0)</f>
        <v>Sarah Clarke</v>
      </c>
      <c r="AD347" s="3" t="str">
        <f>_xlfn.XLOOKUP(CAPSTONE_PROJECT[[#This Row],[Patient ID]],'Lookup table'!A:A,'Lookup table'!C:C,,0)</f>
        <v>Female</v>
      </c>
      <c r="AE347" s="3" t="str">
        <f>IF(CAPSTONE_PROJECT[[#This Row],[Length of Stay]]&lt;=3,"Short Stay",IF(CAPSTONE_PROJECT[[#This Row],[Length of Stay]]&lt;=7,"Moderate Stay",IF(CAPSTONE_PROJECT[[#This Row],[Length of Stay]]&lt;=14,"Long Stay","Extended Stay")))</f>
        <v>Long Stay</v>
      </c>
    </row>
    <row r="348" spans="1:31" x14ac:dyDescent="0.3">
      <c r="A348" s="3" t="s">
        <v>753</v>
      </c>
      <c r="B348" s="4">
        <v>45646</v>
      </c>
      <c r="C348" s="4">
        <v>45661</v>
      </c>
      <c r="D348" s="4">
        <v>34784</v>
      </c>
      <c r="E348" s="3">
        <v>31</v>
      </c>
      <c r="F348" s="3" t="s">
        <v>33</v>
      </c>
      <c r="G348" s="3" t="s">
        <v>27</v>
      </c>
      <c r="H348" s="3" t="s">
        <v>111</v>
      </c>
      <c r="I348" s="3" t="s">
        <v>37</v>
      </c>
      <c r="J348" s="3" t="s">
        <v>38</v>
      </c>
      <c r="K348" s="3" t="s">
        <v>24</v>
      </c>
      <c r="L348" s="6">
        <v>3397.88</v>
      </c>
      <c r="M348" s="6">
        <v>1912.62</v>
      </c>
      <c r="N348" s="6">
        <v>958.3</v>
      </c>
      <c r="O348" s="6">
        <v>2606.8000000000002</v>
      </c>
      <c r="P348" s="3" t="s">
        <v>51</v>
      </c>
      <c r="Q348" s="3" t="s">
        <v>1086</v>
      </c>
      <c r="R348" s="3" t="s">
        <v>102</v>
      </c>
      <c r="S348" s="3" t="s">
        <v>754</v>
      </c>
      <c r="T348" s="3">
        <v>5</v>
      </c>
      <c r="U348" s="3">
        <f>CAPSTONE_PROJECT[[#This Row],[Discharge Date]]-CAPSTONE_PROJECT[[#This Row],[Admission Date]]</f>
        <v>15</v>
      </c>
      <c r="V348" s="6">
        <f>SUM(CAPSTONE_PROJECT[[#This Row],[Room Cost]:[Treatment Cost]])</f>
        <v>8875.6</v>
      </c>
      <c r="W348" s="6">
        <f t="shared" si="5"/>
        <v>591.70666666666671</v>
      </c>
      <c r="X348" s="3" t="str">
        <f>TEXT(CAPSTONE_PROJECT[[#This Row],[Admission Date]],"mmmm")</f>
        <v>December</v>
      </c>
      <c r="Y348" s="3" t="str">
        <f>TEXT(CAPSTONE_PROJECT[[#This Row],[Admission Date]],"yyyy")</f>
        <v>2024</v>
      </c>
      <c r="Z348" s="3" t="str">
        <f>TEXT(CAPSTONE_PROJECT[[#This Row],[Admission Date]],"mmm yyyy")</f>
        <v>Dec 2024</v>
      </c>
      <c r="AA348" s="3" t="str">
        <f>TEXT(CAPSTONE_PROJECT[[#This Row],[Admission Date]],"dddd")</f>
        <v>Friday</v>
      </c>
      <c r="AB348" s="3" t="str">
        <f>IF(CAPSTONE_PROJECT[[#This Row],[Age]]&lt;=34,"Young Adults",IF(CAPSTONE_PROJECT[[#This Row],[Age]]&lt;=59,"Adults","Elders"))</f>
        <v>Young Adults</v>
      </c>
      <c r="AC348" s="3" t="str">
        <f>_xlfn.XLOOKUP(CAPSTONE_PROJECT[[#This Row],[Patient ID]],'Lookup table'!A:A,'Lookup table'!B:B,,0)</f>
        <v>Leo F Thompson</v>
      </c>
      <c r="AD348" s="3" t="str">
        <f>_xlfn.XLOOKUP(CAPSTONE_PROJECT[[#This Row],[Patient ID]],'Lookup table'!A:A,'Lookup table'!C:C,,0)</f>
        <v>Male</v>
      </c>
      <c r="AE348" s="3" t="str">
        <f>IF(CAPSTONE_PROJECT[[#This Row],[Length of Stay]]&lt;=3,"Short Stay",IF(CAPSTONE_PROJECT[[#This Row],[Length of Stay]]&lt;=7,"Moderate Stay",IF(CAPSTONE_PROJECT[[#This Row],[Length of Stay]]&lt;=14,"Long Stay","Extended Stay")))</f>
        <v>Extended Stay</v>
      </c>
    </row>
    <row r="349" spans="1:31" x14ac:dyDescent="0.3">
      <c r="A349" s="3" t="s">
        <v>755</v>
      </c>
      <c r="B349" s="4">
        <v>45390</v>
      </c>
      <c r="C349" s="4">
        <v>45403</v>
      </c>
      <c r="D349" s="4">
        <v>32988</v>
      </c>
      <c r="E349" s="3">
        <v>36</v>
      </c>
      <c r="F349" s="3" t="s">
        <v>47</v>
      </c>
      <c r="G349" s="3" t="s">
        <v>40</v>
      </c>
      <c r="H349" s="3" t="s">
        <v>114</v>
      </c>
      <c r="I349" s="3" t="s">
        <v>22</v>
      </c>
      <c r="J349" s="3" t="s">
        <v>73</v>
      </c>
      <c r="K349" s="3" t="s">
        <v>15</v>
      </c>
      <c r="L349" s="6">
        <v>1280.99</v>
      </c>
      <c r="M349" s="6">
        <v>120.56</v>
      </c>
      <c r="N349" s="6">
        <v>1478.8</v>
      </c>
      <c r="O349" s="6">
        <v>2410.58</v>
      </c>
      <c r="P349" s="3" t="s">
        <v>16</v>
      </c>
      <c r="Q349" s="3" t="s">
        <v>1078</v>
      </c>
      <c r="R349" s="3" t="s">
        <v>54</v>
      </c>
      <c r="S349" s="3" t="s">
        <v>756</v>
      </c>
      <c r="T349" s="3">
        <v>7</v>
      </c>
      <c r="U349" s="3">
        <f>CAPSTONE_PROJECT[[#This Row],[Discharge Date]]-CAPSTONE_PROJECT[[#This Row],[Admission Date]]</f>
        <v>13</v>
      </c>
      <c r="V349" s="6">
        <f>SUM(CAPSTONE_PROJECT[[#This Row],[Room Cost]:[Treatment Cost]])</f>
        <v>5290.93</v>
      </c>
      <c r="W349" s="6">
        <f t="shared" si="5"/>
        <v>406.99461538461543</v>
      </c>
      <c r="X349" s="3" t="str">
        <f>TEXT(CAPSTONE_PROJECT[[#This Row],[Admission Date]],"mmmm")</f>
        <v>April</v>
      </c>
      <c r="Y349" s="3" t="str">
        <f>TEXT(CAPSTONE_PROJECT[[#This Row],[Admission Date]],"yyyy")</f>
        <v>2024</v>
      </c>
      <c r="Z349" s="3" t="str">
        <f>TEXT(CAPSTONE_PROJECT[[#This Row],[Admission Date]],"mmm yyyy")</f>
        <v>Apr 2024</v>
      </c>
      <c r="AA349" s="3" t="str">
        <f>TEXT(CAPSTONE_PROJECT[[#This Row],[Admission Date]],"dddd")</f>
        <v>Monday</v>
      </c>
      <c r="AB349" s="3" t="str">
        <f>IF(CAPSTONE_PROJECT[[#This Row],[Age]]&lt;=34,"Young Adults",IF(CAPSTONE_PROJECT[[#This Row],[Age]]&lt;=59,"Adults","Elders"))</f>
        <v>Adults</v>
      </c>
      <c r="AC349" s="3" t="str">
        <f>_xlfn.XLOOKUP(CAPSTONE_PROJECT[[#This Row],[Patient ID]],'Lookup table'!A:A,'Lookup table'!B:B,,0)</f>
        <v>Mia Martin</v>
      </c>
      <c r="AD349" s="3" t="str">
        <f>_xlfn.XLOOKUP(CAPSTONE_PROJECT[[#This Row],[Patient ID]],'Lookup table'!A:A,'Lookup table'!C:C,,0)</f>
        <v>Female</v>
      </c>
      <c r="AE349" s="3" t="str">
        <f>IF(CAPSTONE_PROJECT[[#This Row],[Length of Stay]]&lt;=3,"Short Stay",IF(CAPSTONE_PROJECT[[#This Row],[Length of Stay]]&lt;=7,"Moderate Stay",IF(CAPSTONE_PROJECT[[#This Row],[Length of Stay]]&lt;=14,"Long Stay","Extended Stay")))</f>
        <v>Long Stay</v>
      </c>
    </row>
    <row r="350" spans="1:31" x14ac:dyDescent="0.3">
      <c r="A350" s="3" t="s">
        <v>757</v>
      </c>
      <c r="B350" s="4">
        <v>45476</v>
      </c>
      <c r="C350" s="4">
        <v>45490</v>
      </c>
      <c r="D350" s="4">
        <v>24309</v>
      </c>
      <c r="E350" s="3">
        <v>59</v>
      </c>
      <c r="F350" s="3" t="s">
        <v>47</v>
      </c>
      <c r="G350" s="3" t="s">
        <v>139</v>
      </c>
      <c r="H350" s="3" t="s">
        <v>114</v>
      </c>
      <c r="I350" s="3" t="s">
        <v>37</v>
      </c>
      <c r="J350" s="3" t="s">
        <v>23</v>
      </c>
      <c r="K350" s="3" t="s">
        <v>50</v>
      </c>
      <c r="L350" s="6">
        <v>3825.16</v>
      </c>
      <c r="M350" s="6">
        <v>1407</v>
      </c>
      <c r="N350" s="6">
        <v>218.1</v>
      </c>
      <c r="O350" s="6">
        <v>10421.969999999999</v>
      </c>
      <c r="P350" s="3" t="s">
        <v>16</v>
      </c>
      <c r="Q350" s="3" t="s">
        <v>1081</v>
      </c>
      <c r="R350" s="3" t="s">
        <v>19</v>
      </c>
      <c r="S350" s="3" t="s">
        <v>758</v>
      </c>
      <c r="T350" s="3">
        <v>7</v>
      </c>
      <c r="U350" s="3">
        <f>CAPSTONE_PROJECT[[#This Row],[Discharge Date]]-CAPSTONE_PROJECT[[#This Row],[Admission Date]]</f>
        <v>14</v>
      </c>
      <c r="V350" s="6">
        <f>SUM(CAPSTONE_PROJECT[[#This Row],[Room Cost]:[Treatment Cost]])</f>
        <v>15872.23</v>
      </c>
      <c r="W350" s="6">
        <f t="shared" si="5"/>
        <v>1133.7307142857142</v>
      </c>
      <c r="X350" s="3" t="str">
        <f>TEXT(CAPSTONE_PROJECT[[#This Row],[Admission Date]],"mmmm")</f>
        <v>July</v>
      </c>
      <c r="Y350" s="3" t="str">
        <f>TEXT(CAPSTONE_PROJECT[[#This Row],[Admission Date]],"yyyy")</f>
        <v>2024</v>
      </c>
      <c r="Z350" s="3" t="str">
        <f>TEXT(CAPSTONE_PROJECT[[#This Row],[Admission Date]],"mmm yyyy")</f>
        <v>Jul 2024</v>
      </c>
      <c r="AA350" s="3" t="str">
        <f>TEXT(CAPSTONE_PROJECT[[#This Row],[Admission Date]],"dddd")</f>
        <v>Wednesday</v>
      </c>
      <c r="AB350" s="3" t="str">
        <f>IF(CAPSTONE_PROJECT[[#This Row],[Age]]&lt;=34,"Young Adults",IF(CAPSTONE_PROJECT[[#This Row],[Age]]&lt;=59,"Adults","Elders"))</f>
        <v>Adults</v>
      </c>
      <c r="AC350" s="3" t="str">
        <f>_xlfn.XLOOKUP(CAPSTONE_PROJECT[[#This Row],[Patient ID]],'Lookup table'!A:A,'Lookup table'!B:B,,0)</f>
        <v>Noah K Walker</v>
      </c>
      <c r="AD350" s="3" t="str">
        <f>_xlfn.XLOOKUP(CAPSTONE_PROJECT[[#This Row],[Patient ID]],'Lookup table'!A:A,'Lookup table'!C:C,,0)</f>
        <v>Male</v>
      </c>
      <c r="AE350" s="3" t="str">
        <f>IF(CAPSTONE_PROJECT[[#This Row],[Length of Stay]]&lt;=3,"Short Stay",IF(CAPSTONE_PROJECT[[#This Row],[Length of Stay]]&lt;=7,"Moderate Stay",IF(CAPSTONE_PROJECT[[#This Row],[Length of Stay]]&lt;=14,"Long Stay","Extended Stay")))</f>
        <v>Long Stay</v>
      </c>
    </row>
    <row r="351" spans="1:31" x14ac:dyDescent="0.3">
      <c r="A351" s="3" t="s">
        <v>759</v>
      </c>
      <c r="B351" s="4">
        <v>45727</v>
      </c>
      <c r="C351" s="4">
        <v>45736</v>
      </c>
      <c r="D351" s="4">
        <v>34344</v>
      </c>
      <c r="E351" s="3">
        <v>32</v>
      </c>
      <c r="F351" s="3" t="s">
        <v>47</v>
      </c>
      <c r="G351" s="3" t="s">
        <v>78</v>
      </c>
      <c r="H351" s="3" t="s">
        <v>100</v>
      </c>
      <c r="I351" s="3" t="s">
        <v>44</v>
      </c>
      <c r="J351" s="3" t="s">
        <v>73</v>
      </c>
      <c r="K351" s="3" t="s">
        <v>24</v>
      </c>
      <c r="L351" s="6">
        <v>3870.49</v>
      </c>
      <c r="M351" s="6">
        <v>985.09</v>
      </c>
      <c r="N351" s="6">
        <v>2143.2800000000002</v>
      </c>
      <c r="O351" s="6">
        <v>4251.8999999999996</v>
      </c>
      <c r="P351" s="3" t="s">
        <v>16</v>
      </c>
      <c r="Q351" s="3" t="s">
        <v>1081</v>
      </c>
      <c r="R351" s="3" t="s">
        <v>10</v>
      </c>
      <c r="S351" s="3" t="s">
        <v>760</v>
      </c>
      <c r="T351" s="3">
        <v>8</v>
      </c>
      <c r="U351" s="3">
        <f>CAPSTONE_PROJECT[[#This Row],[Discharge Date]]-CAPSTONE_PROJECT[[#This Row],[Admission Date]]</f>
        <v>9</v>
      </c>
      <c r="V351" s="6">
        <f>SUM(CAPSTONE_PROJECT[[#This Row],[Room Cost]:[Treatment Cost]])</f>
        <v>11250.76</v>
      </c>
      <c r="W351" s="6">
        <f t="shared" si="5"/>
        <v>1250.0844444444444</v>
      </c>
      <c r="X351" s="3" t="str">
        <f>TEXT(CAPSTONE_PROJECT[[#This Row],[Admission Date]],"mmmm")</f>
        <v>March</v>
      </c>
      <c r="Y351" s="3" t="str">
        <f>TEXT(CAPSTONE_PROJECT[[#This Row],[Admission Date]],"yyyy")</f>
        <v>2025</v>
      </c>
      <c r="Z351" s="3" t="str">
        <f>TEXT(CAPSTONE_PROJECT[[#This Row],[Admission Date]],"mmm yyyy")</f>
        <v>Mar 2025</v>
      </c>
      <c r="AA351" s="3" t="str">
        <f>TEXT(CAPSTONE_PROJECT[[#This Row],[Admission Date]],"dddd")</f>
        <v>Tuesday</v>
      </c>
      <c r="AB351" s="3" t="str">
        <f>IF(CAPSTONE_PROJECT[[#This Row],[Age]]&lt;=34,"Young Adults",IF(CAPSTONE_PROJECT[[#This Row],[Age]]&lt;=59,"Adults","Elders"))</f>
        <v>Young Adults</v>
      </c>
      <c r="AC351" s="3" t="str">
        <f>_xlfn.XLOOKUP(CAPSTONE_PROJECT[[#This Row],[Patient ID]],'Lookup table'!A:A,'Lookup table'!B:B,,0)</f>
        <v>Ava Walker</v>
      </c>
      <c r="AD351" s="3" t="str">
        <f>_xlfn.XLOOKUP(CAPSTONE_PROJECT[[#This Row],[Patient ID]],'Lookup table'!A:A,'Lookup table'!C:C,,0)</f>
        <v>Female</v>
      </c>
      <c r="AE351" s="3" t="str">
        <f>IF(CAPSTONE_PROJECT[[#This Row],[Length of Stay]]&lt;=3,"Short Stay",IF(CAPSTONE_PROJECT[[#This Row],[Length of Stay]]&lt;=7,"Moderate Stay",IF(CAPSTONE_PROJECT[[#This Row],[Length of Stay]]&lt;=14,"Long Stay","Extended Stay")))</f>
        <v>Long Stay</v>
      </c>
    </row>
    <row r="352" spans="1:31" x14ac:dyDescent="0.3">
      <c r="A352" s="3" t="s">
        <v>761</v>
      </c>
      <c r="B352" s="4">
        <v>45905</v>
      </c>
      <c r="C352" s="4">
        <v>45917</v>
      </c>
      <c r="D352" s="4">
        <v>27182</v>
      </c>
      <c r="E352" s="3">
        <v>52</v>
      </c>
      <c r="F352" s="3" t="s">
        <v>47</v>
      </c>
      <c r="G352" s="3" t="s">
        <v>61</v>
      </c>
      <c r="H352" s="3" t="s">
        <v>12</v>
      </c>
      <c r="I352" s="3" t="s">
        <v>13</v>
      </c>
      <c r="J352" s="3" t="s">
        <v>45</v>
      </c>
      <c r="K352" s="3" t="s">
        <v>65</v>
      </c>
      <c r="L352" s="6">
        <v>1347.29</v>
      </c>
      <c r="M352" s="6">
        <v>946.64</v>
      </c>
      <c r="N352" s="6">
        <v>2299.7199999999998</v>
      </c>
      <c r="O352" s="6">
        <v>9359.57</v>
      </c>
      <c r="P352" s="3" t="s">
        <v>31</v>
      </c>
      <c r="Q352" s="3" t="s">
        <v>1086</v>
      </c>
      <c r="R352" s="3" t="s">
        <v>19</v>
      </c>
      <c r="S352" s="3" t="s">
        <v>762</v>
      </c>
      <c r="T352" s="3">
        <v>0</v>
      </c>
      <c r="U352" s="3">
        <f>CAPSTONE_PROJECT[[#This Row],[Discharge Date]]-CAPSTONE_PROJECT[[#This Row],[Admission Date]]</f>
        <v>12</v>
      </c>
      <c r="V352" s="6">
        <f>SUM(CAPSTONE_PROJECT[[#This Row],[Room Cost]:[Treatment Cost]])</f>
        <v>13953.22</v>
      </c>
      <c r="W352" s="6">
        <f t="shared" si="5"/>
        <v>1162.7683333333332</v>
      </c>
      <c r="X352" s="3" t="str">
        <f>TEXT(CAPSTONE_PROJECT[[#This Row],[Admission Date]],"mmmm")</f>
        <v>September</v>
      </c>
      <c r="Y352" s="3" t="str">
        <f>TEXT(CAPSTONE_PROJECT[[#This Row],[Admission Date]],"yyyy")</f>
        <v>2025</v>
      </c>
      <c r="Z352" s="3" t="str">
        <f>TEXT(CAPSTONE_PROJECT[[#This Row],[Admission Date]],"mmm yyyy")</f>
        <v>Sep 2025</v>
      </c>
      <c r="AA352" s="3" t="str">
        <f>TEXT(CAPSTONE_PROJECT[[#This Row],[Admission Date]],"dddd")</f>
        <v>Friday</v>
      </c>
      <c r="AB352" s="3" t="str">
        <f>IF(CAPSTONE_PROJECT[[#This Row],[Age]]&lt;=34,"Young Adults",IF(CAPSTONE_PROJECT[[#This Row],[Age]]&lt;=59,"Adults","Elders"))</f>
        <v>Adults</v>
      </c>
      <c r="AC352" s="3" t="str">
        <f>_xlfn.XLOOKUP(CAPSTONE_PROJECT[[#This Row],[Patient ID]],'Lookup table'!A:A,'Lookup table'!B:B,,0)</f>
        <v>Samuel Q Brown</v>
      </c>
      <c r="AD352" s="3" t="str">
        <f>_xlfn.XLOOKUP(CAPSTONE_PROJECT[[#This Row],[Patient ID]],'Lookup table'!A:A,'Lookup table'!C:C,,0)</f>
        <v>Male</v>
      </c>
      <c r="AE352" s="3" t="str">
        <f>IF(CAPSTONE_PROJECT[[#This Row],[Length of Stay]]&lt;=3,"Short Stay",IF(CAPSTONE_PROJECT[[#This Row],[Length of Stay]]&lt;=7,"Moderate Stay",IF(CAPSTONE_PROJECT[[#This Row],[Length of Stay]]&lt;=14,"Long Stay","Extended Stay")))</f>
        <v>Long Stay</v>
      </c>
    </row>
    <row r="353" spans="1:31" x14ac:dyDescent="0.3">
      <c r="A353" s="3" t="s">
        <v>763</v>
      </c>
      <c r="B353" s="4">
        <v>45828</v>
      </c>
      <c r="C353" s="4">
        <v>45847</v>
      </c>
      <c r="D353" s="4">
        <v>32789</v>
      </c>
      <c r="E353" s="3">
        <v>36</v>
      </c>
      <c r="F353" s="3" t="s">
        <v>33</v>
      </c>
      <c r="G353" s="3" t="s">
        <v>57</v>
      </c>
      <c r="H353" s="3" t="s">
        <v>1080</v>
      </c>
      <c r="I353" s="3" t="s">
        <v>37</v>
      </c>
      <c r="J353" s="3" t="s">
        <v>23</v>
      </c>
      <c r="K353" s="3" t="s">
        <v>65</v>
      </c>
      <c r="L353" s="6">
        <v>1132.3599999999999</v>
      </c>
      <c r="M353" s="6">
        <v>1202.05</v>
      </c>
      <c r="N353" s="6">
        <v>1579.83</v>
      </c>
      <c r="O353" s="6">
        <v>15123.35</v>
      </c>
      <c r="P353" s="3" t="s">
        <v>25</v>
      </c>
      <c r="Q353" s="3" t="s">
        <v>1085</v>
      </c>
      <c r="R353" s="3" t="s">
        <v>19</v>
      </c>
      <c r="S353" s="3" t="s">
        <v>764</v>
      </c>
      <c r="T353" s="3">
        <v>10</v>
      </c>
      <c r="U353" s="3">
        <f>CAPSTONE_PROJECT[[#This Row],[Discharge Date]]-CAPSTONE_PROJECT[[#This Row],[Admission Date]]</f>
        <v>19</v>
      </c>
      <c r="V353" s="6">
        <f>SUM(CAPSTONE_PROJECT[[#This Row],[Room Cost]:[Treatment Cost]])</f>
        <v>19037.59</v>
      </c>
      <c r="W353" s="6">
        <f t="shared" si="5"/>
        <v>1001.9784210526316</v>
      </c>
      <c r="X353" s="3" t="str">
        <f>TEXT(CAPSTONE_PROJECT[[#This Row],[Admission Date]],"mmmm")</f>
        <v>June</v>
      </c>
      <c r="Y353" s="3" t="str">
        <f>TEXT(CAPSTONE_PROJECT[[#This Row],[Admission Date]],"yyyy")</f>
        <v>2025</v>
      </c>
      <c r="Z353" s="3" t="str">
        <f>TEXT(CAPSTONE_PROJECT[[#This Row],[Admission Date]],"mmm yyyy")</f>
        <v>Jun 2025</v>
      </c>
      <c r="AA353" s="3" t="str">
        <f>TEXT(CAPSTONE_PROJECT[[#This Row],[Admission Date]],"dddd")</f>
        <v>Friday</v>
      </c>
      <c r="AB353" s="3" t="str">
        <f>IF(CAPSTONE_PROJECT[[#This Row],[Age]]&lt;=34,"Young Adults",IF(CAPSTONE_PROJECT[[#This Row],[Age]]&lt;=59,"Adults","Elders"))</f>
        <v>Adults</v>
      </c>
      <c r="AC353" s="3" t="str">
        <f>_xlfn.XLOOKUP(CAPSTONE_PROJECT[[#This Row],[Patient ID]],'Lookup table'!A:A,'Lookup table'!B:B,,0)</f>
        <v>Olivia H Taylor</v>
      </c>
      <c r="AD353" s="3" t="str">
        <f>_xlfn.XLOOKUP(CAPSTONE_PROJECT[[#This Row],[Patient ID]],'Lookup table'!A:A,'Lookup table'!C:C,,0)</f>
        <v>Female</v>
      </c>
      <c r="AE353" s="3" t="str">
        <f>IF(CAPSTONE_PROJECT[[#This Row],[Length of Stay]]&lt;=3,"Short Stay",IF(CAPSTONE_PROJECT[[#This Row],[Length of Stay]]&lt;=7,"Moderate Stay",IF(CAPSTONE_PROJECT[[#This Row],[Length of Stay]]&lt;=14,"Long Stay","Extended Stay")))</f>
        <v>Extended Stay</v>
      </c>
    </row>
    <row r="354" spans="1:31" x14ac:dyDescent="0.3">
      <c r="A354" s="3" t="s">
        <v>765</v>
      </c>
      <c r="B354" s="4">
        <v>45879</v>
      </c>
      <c r="C354" s="4">
        <v>45895</v>
      </c>
      <c r="D354" s="4">
        <v>32520</v>
      </c>
      <c r="E354" s="3">
        <v>37</v>
      </c>
      <c r="F354" s="3" t="s">
        <v>8</v>
      </c>
      <c r="G354" s="3" t="s">
        <v>126</v>
      </c>
      <c r="H354" s="3" t="s">
        <v>72</v>
      </c>
      <c r="I354" s="3" t="s">
        <v>22</v>
      </c>
      <c r="J354" s="3" t="s">
        <v>30</v>
      </c>
      <c r="K354" s="3" t="s">
        <v>24</v>
      </c>
      <c r="L354" s="6">
        <v>318.89999999999998</v>
      </c>
      <c r="M354" s="6">
        <v>475.19</v>
      </c>
      <c r="N354" s="6">
        <v>1233.1600000000001</v>
      </c>
      <c r="O354" s="6">
        <v>2312.3200000000002</v>
      </c>
      <c r="P354" s="3" t="s">
        <v>51</v>
      </c>
      <c r="Q354" s="3" t="s">
        <v>1082</v>
      </c>
      <c r="R354" s="3" t="s">
        <v>10</v>
      </c>
      <c r="S354" s="3" t="s">
        <v>766</v>
      </c>
      <c r="T354" s="3">
        <v>1</v>
      </c>
      <c r="U354" s="3">
        <f>CAPSTONE_PROJECT[[#This Row],[Discharge Date]]-CAPSTONE_PROJECT[[#This Row],[Admission Date]]</f>
        <v>16</v>
      </c>
      <c r="V354" s="6">
        <f>SUM(CAPSTONE_PROJECT[[#This Row],[Room Cost]:[Treatment Cost]])</f>
        <v>4339.57</v>
      </c>
      <c r="W354" s="6">
        <f t="shared" si="5"/>
        <v>271.22312499999998</v>
      </c>
      <c r="X354" s="3" t="str">
        <f>TEXT(CAPSTONE_PROJECT[[#This Row],[Admission Date]],"mmmm")</f>
        <v>August</v>
      </c>
      <c r="Y354" s="3" t="str">
        <f>TEXT(CAPSTONE_PROJECT[[#This Row],[Admission Date]],"yyyy")</f>
        <v>2025</v>
      </c>
      <c r="Z354" s="3" t="str">
        <f>TEXT(CAPSTONE_PROJECT[[#This Row],[Admission Date]],"mmm yyyy")</f>
        <v>Aug 2025</v>
      </c>
      <c r="AA354" s="3" t="str">
        <f>TEXT(CAPSTONE_PROJECT[[#This Row],[Admission Date]],"dddd")</f>
        <v>Sunday</v>
      </c>
      <c r="AB354" s="3" t="str">
        <f>IF(CAPSTONE_PROJECT[[#This Row],[Age]]&lt;=34,"Young Adults",IF(CAPSTONE_PROJECT[[#This Row],[Age]]&lt;=59,"Adults","Elders"))</f>
        <v>Adults</v>
      </c>
      <c r="AC354" s="3" t="str">
        <f>_xlfn.XLOOKUP(CAPSTONE_PROJECT[[#This Row],[Patient ID]],'Lookup table'!A:A,'Lookup table'!B:B,,0)</f>
        <v>Lucas P Hall</v>
      </c>
      <c r="AD354" s="3" t="str">
        <f>_xlfn.XLOOKUP(CAPSTONE_PROJECT[[#This Row],[Patient ID]],'Lookup table'!A:A,'Lookup table'!C:C,,0)</f>
        <v>Male</v>
      </c>
      <c r="AE354" s="3" t="str">
        <f>IF(CAPSTONE_PROJECT[[#This Row],[Length of Stay]]&lt;=3,"Short Stay",IF(CAPSTONE_PROJECT[[#This Row],[Length of Stay]]&lt;=7,"Moderate Stay",IF(CAPSTONE_PROJECT[[#This Row],[Length of Stay]]&lt;=14,"Long Stay","Extended Stay")))</f>
        <v>Extended Stay</v>
      </c>
    </row>
    <row r="355" spans="1:31" x14ac:dyDescent="0.3">
      <c r="A355" s="3" t="s">
        <v>767</v>
      </c>
      <c r="B355" s="4">
        <v>45901</v>
      </c>
      <c r="C355" s="4">
        <v>45912</v>
      </c>
      <c r="D355" s="4">
        <v>30153</v>
      </c>
      <c r="E355" s="3">
        <v>43</v>
      </c>
      <c r="F355" s="3" t="s">
        <v>33</v>
      </c>
      <c r="G355" s="3" t="s">
        <v>40</v>
      </c>
      <c r="H355" s="3" t="s">
        <v>104</v>
      </c>
      <c r="I355" s="3" t="s">
        <v>37</v>
      </c>
      <c r="J355" s="3" t="s">
        <v>14</v>
      </c>
      <c r="K355" s="3" t="s">
        <v>24</v>
      </c>
      <c r="L355" s="6">
        <v>4474.92</v>
      </c>
      <c r="M355" s="6">
        <v>654.54</v>
      </c>
      <c r="N355" s="6">
        <v>1488.06</v>
      </c>
      <c r="O355" s="6">
        <v>2068.5500000000002</v>
      </c>
      <c r="P355" s="3" t="s">
        <v>31</v>
      </c>
      <c r="Q355" s="3" t="s">
        <v>1082</v>
      </c>
      <c r="R355" s="3" t="s">
        <v>35</v>
      </c>
      <c r="S355" s="3" t="s">
        <v>768</v>
      </c>
      <c r="T355" s="3">
        <v>6</v>
      </c>
      <c r="U355" s="3">
        <f>CAPSTONE_PROJECT[[#This Row],[Discharge Date]]-CAPSTONE_PROJECT[[#This Row],[Admission Date]]</f>
        <v>11</v>
      </c>
      <c r="V355" s="6">
        <f>SUM(CAPSTONE_PROJECT[[#This Row],[Room Cost]:[Treatment Cost]])</f>
        <v>8686.07</v>
      </c>
      <c r="W355" s="6">
        <f t="shared" si="5"/>
        <v>789.64272727272726</v>
      </c>
      <c r="X355" s="3" t="str">
        <f>TEXT(CAPSTONE_PROJECT[[#This Row],[Admission Date]],"mmmm")</f>
        <v>September</v>
      </c>
      <c r="Y355" s="3" t="str">
        <f>TEXT(CAPSTONE_PROJECT[[#This Row],[Admission Date]],"yyyy")</f>
        <v>2025</v>
      </c>
      <c r="Z355" s="3" t="str">
        <f>TEXT(CAPSTONE_PROJECT[[#This Row],[Admission Date]],"mmm yyyy")</f>
        <v>Sep 2025</v>
      </c>
      <c r="AA355" s="3" t="str">
        <f>TEXT(CAPSTONE_PROJECT[[#This Row],[Admission Date]],"dddd")</f>
        <v>Monday</v>
      </c>
      <c r="AB355" s="3" t="str">
        <f>IF(CAPSTONE_PROJECT[[#This Row],[Age]]&lt;=34,"Young Adults",IF(CAPSTONE_PROJECT[[#This Row],[Age]]&lt;=59,"Adults","Elders"))</f>
        <v>Adults</v>
      </c>
      <c r="AC355" s="3" t="str">
        <f>_xlfn.XLOOKUP(CAPSTONE_PROJECT[[#This Row],[Patient ID]],'Lookup table'!A:A,'Lookup table'!B:B,,0)</f>
        <v>Emily W Jones</v>
      </c>
      <c r="AD355" s="3" t="str">
        <f>_xlfn.XLOOKUP(CAPSTONE_PROJECT[[#This Row],[Patient ID]],'Lookup table'!A:A,'Lookup table'!C:C,,0)</f>
        <v>Female</v>
      </c>
      <c r="AE355" s="3" t="str">
        <f>IF(CAPSTONE_PROJECT[[#This Row],[Length of Stay]]&lt;=3,"Short Stay",IF(CAPSTONE_PROJECT[[#This Row],[Length of Stay]]&lt;=7,"Moderate Stay",IF(CAPSTONE_PROJECT[[#This Row],[Length of Stay]]&lt;=14,"Long Stay","Extended Stay")))</f>
        <v>Long Stay</v>
      </c>
    </row>
    <row r="356" spans="1:31" x14ac:dyDescent="0.3">
      <c r="A356" s="3" t="s">
        <v>769</v>
      </c>
      <c r="B356" s="4">
        <v>45890</v>
      </c>
      <c r="C356" s="4">
        <v>45896</v>
      </c>
      <c r="D356" s="4">
        <v>16881</v>
      </c>
      <c r="E356" s="3">
        <v>80</v>
      </c>
      <c r="F356" s="3" t="s">
        <v>33</v>
      </c>
      <c r="G356" s="3" t="s">
        <v>61</v>
      </c>
      <c r="H356" s="3" t="s">
        <v>21</v>
      </c>
      <c r="I356" s="3" t="s">
        <v>22</v>
      </c>
      <c r="J356" s="3" t="s">
        <v>23</v>
      </c>
      <c r="K356" s="3" t="s">
        <v>15</v>
      </c>
      <c r="L356" s="6">
        <v>1924.82</v>
      </c>
      <c r="M356" s="6">
        <v>1260.94</v>
      </c>
      <c r="N356" s="6">
        <v>1267.6400000000001</v>
      </c>
      <c r="O356" s="6">
        <v>9920.52</v>
      </c>
      <c r="P356" s="3" t="s">
        <v>31</v>
      </c>
      <c r="Q356" s="3" t="s">
        <v>1086</v>
      </c>
      <c r="R356" s="3" t="s">
        <v>19</v>
      </c>
      <c r="S356" s="3" t="s">
        <v>770</v>
      </c>
      <c r="T356" s="3">
        <v>8</v>
      </c>
      <c r="U356" s="3">
        <f>CAPSTONE_PROJECT[[#This Row],[Discharge Date]]-CAPSTONE_PROJECT[[#This Row],[Admission Date]]</f>
        <v>6</v>
      </c>
      <c r="V356" s="6">
        <f>SUM(CAPSTONE_PROJECT[[#This Row],[Room Cost]:[Treatment Cost]])</f>
        <v>14373.920000000002</v>
      </c>
      <c r="W356" s="6">
        <f t="shared" si="5"/>
        <v>2395.6533333333336</v>
      </c>
      <c r="X356" s="3" t="str">
        <f>TEXT(CAPSTONE_PROJECT[[#This Row],[Admission Date]],"mmmm")</f>
        <v>August</v>
      </c>
      <c r="Y356" s="3" t="str">
        <f>TEXT(CAPSTONE_PROJECT[[#This Row],[Admission Date]],"yyyy")</f>
        <v>2025</v>
      </c>
      <c r="Z356" s="3" t="str">
        <f>TEXT(CAPSTONE_PROJECT[[#This Row],[Admission Date]],"mmm yyyy")</f>
        <v>Aug 2025</v>
      </c>
      <c r="AA356" s="3" t="str">
        <f>TEXT(CAPSTONE_PROJECT[[#This Row],[Admission Date]],"dddd")</f>
        <v>Thursday</v>
      </c>
      <c r="AB356" s="3" t="str">
        <f>IF(CAPSTONE_PROJECT[[#This Row],[Age]]&lt;=34,"Young Adults",IF(CAPSTONE_PROJECT[[#This Row],[Age]]&lt;=59,"Adults","Elders"))</f>
        <v>Elders</v>
      </c>
      <c r="AC356" s="3" t="str">
        <f>_xlfn.XLOOKUP(CAPSTONE_PROJECT[[#This Row],[Patient ID]],'Lookup table'!A:A,'Lookup table'!B:B,,0)</f>
        <v>George Clarke</v>
      </c>
      <c r="AD356" s="3" t="str">
        <f>_xlfn.XLOOKUP(CAPSTONE_PROJECT[[#This Row],[Patient ID]],'Lookup table'!A:A,'Lookup table'!C:C,,0)</f>
        <v>Male</v>
      </c>
      <c r="AE356" s="3" t="str">
        <f>IF(CAPSTONE_PROJECT[[#This Row],[Length of Stay]]&lt;=3,"Short Stay",IF(CAPSTONE_PROJECT[[#This Row],[Length of Stay]]&lt;=7,"Moderate Stay",IF(CAPSTONE_PROJECT[[#This Row],[Length of Stay]]&lt;=14,"Long Stay","Extended Stay")))</f>
        <v>Moderate Stay</v>
      </c>
    </row>
    <row r="357" spans="1:31" x14ac:dyDescent="0.3">
      <c r="A357" s="3" t="s">
        <v>771</v>
      </c>
      <c r="B357" s="4">
        <v>45943</v>
      </c>
      <c r="C357" s="4">
        <v>45954</v>
      </c>
      <c r="D357" s="4">
        <v>32102</v>
      </c>
      <c r="E357" s="3">
        <v>38</v>
      </c>
      <c r="F357" s="3" t="s">
        <v>18</v>
      </c>
      <c r="G357" s="3" t="s">
        <v>53</v>
      </c>
      <c r="H357" s="3" t="s">
        <v>104</v>
      </c>
      <c r="I357" s="3" t="s">
        <v>44</v>
      </c>
      <c r="J357" s="3" t="s">
        <v>14</v>
      </c>
      <c r="K357" s="3" t="s">
        <v>15</v>
      </c>
      <c r="L357" s="6">
        <v>398.89</v>
      </c>
      <c r="M357" s="6">
        <v>333.49</v>
      </c>
      <c r="N357" s="6">
        <v>2151.6799999999998</v>
      </c>
      <c r="O357" s="6">
        <v>7762.29</v>
      </c>
      <c r="P357" s="3" t="s">
        <v>16</v>
      </c>
      <c r="Q357" s="3" t="s">
        <v>1087</v>
      </c>
      <c r="R357" s="3" t="s">
        <v>62</v>
      </c>
      <c r="S357" s="3" t="s">
        <v>772</v>
      </c>
      <c r="T357" s="3">
        <v>5</v>
      </c>
      <c r="U357" s="3">
        <f>CAPSTONE_PROJECT[[#This Row],[Discharge Date]]-CAPSTONE_PROJECT[[#This Row],[Admission Date]]</f>
        <v>11</v>
      </c>
      <c r="V357" s="6">
        <f>SUM(CAPSTONE_PROJECT[[#This Row],[Room Cost]:[Treatment Cost]])</f>
        <v>10646.35</v>
      </c>
      <c r="W357" s="6">
        <f t="shared" si="5"/>
        <v>967.85</v>
      </c>
      <c r="X357" s="3" t="str">
        <f>TEXT(CAPSTONE_PROJECT[[#This Row],[Admission Date]],"mmmm")</f>
        <v>October</v>
      </c>
      <c r="Y357" s="3" t="str">
        <f>TEXT(CAPSTONE_PROJECT[[#This Row],[Admission Date]],"yyyy")</f>
        <v>2025</v>
      </c>
      <c r="Z357" s="3" t="str">
        <f>TEXT(CAPSTONE_PROJECT[[#This Row],[Admission Date]],"mmm yyyy")</f>
        <v>Oct 2025</v>
      </c>
      <c r="AA357" s="3" t="str">
        <f>TEXT(CAPSTONE_PROJECT[[#This Row],[Admission Date]],"dddd")</f>
        <v>Monday</v>
      </c>
      <c r="AB357" s="3" t="str">
        <f>IF(CAPSTONE_PROJECT[[#This Row],[Age]]&lt;=34,"Young Adults",IF(CAPSTONE_PROJECT[[#This Row],[Age]]&lt;=59,"Adults","Elders"))</f>
        <v>Adults</v>
      </c>
      <c r="AC357" s="3" t="str">
        <f>_xlfn.XLOOKUP(CAPSTONE_PROJECT[[#This Row],[Patient ID]],'Lookup table'!A:A,'Lookup table'!B:B,,0)</f>
        <v>Mia C Brown</v>
      </c>
      <c r="AD357" s="3" t="str">
        <f>_xlfn.XLOOKUP(CAPSTONE_PROJECT[[#This Row],[Patient ID]],'Lookup table'!A:A,'Lookup table'!C:C,,0)</f>
        <v>Female</v>
      </c>
      <c r="AE357" s="3" t="str">
        <f>IF(CAPSTONE_PROJECT[[#This Row],[Length of Stay]]&lt;=3,"Short Stay",IF(CAPSTONE_PROJECT[[#This Row],[Length of Stay]]&lt;=7,"Moderate Stay",IF(CAPSTONE_PROJECT[[#This Row],[Length of Stay]]&lt;=14,"Long Stay","Extended Stay")))</f>
        <v>Long Stay</v>
      </c>
    </row>
    <row r="358" spans="1:31" x14ac:dyDescent="0.3">
      <c r="A358" s="3" t="s">
        <v>773</v>
      </c>
      <c r="B358" s="4">
        <v>45916</v>
      </c>
      <c r="C358" s="4">
        <v>45924</v>
      </c>
      <c r="D358" s="4">
        <v>38363</v>
      </c>
      <c r="E358" s="3">
        <v>21</v>
      </c>
      <c r="F358" s="3" t="s">
        <v>18</v>
      </c>
      <c r="G358" s="3" t="s">
        <v>78</v>
      </c>
      <c r="H358" s="3" t="s">
        <v>114</v>
      </c>
      <c r="I358" s="3" t="s">
        <v>44</v>
      </c>
      <c r="J358" s="3" t="s">
        <v>64</v>
      </c>
      <c r="K358" s="3" t="s">
        <v>24</v>
      </c>
      <c r="L358" s="6">
        <v>1852.76</v>
      </c>
      <c r="M358" s="6">
        <v>972.25</v>
      </c>
      <c r="N358" s="6">
        <v>1568.27</v>
      </c>
      <c r="O358" s="6">
        <v>2455.4499999999998</v>
      </c>
      <c r="P358" s="3" t="s">
        <v>31</v>
      </c>
      <c r="Q358" s="3" t="s">
        <v>1086</v>
      </c>
      <c r="R358" s="3" t="s">
        <v>68</v>
      </c>
      <c r="S358" s="3" t="s">
        <v>774</v>
      </c>
      <c r="T358" s="3">
        <v>10</v>
      </c>
      <c r="U358" s="3">
        <f>CAPSTONE_PROJECT[[#This Row],[Discharge Date]]-CAPSTONE_PROJECT[[#This Row],[Admission Date]]</f>
        <v>8</v>
      </c>
      <c r="V358" s="6">
        <f>SUM(CAPSTONE_PROJECT[[#This Row],[Room Cost]:[Treatment Cost]])</f>
        <v>6848.7300000000005</v>
      </c>
      <c r="W358" s="6">
        <f t="shared" si="5"/>
        <v>856.09125000000006</v>
      </c>
      <c r="X358" s="3" t="str">
        <f>TEXT(CAPSTONE_PROJECT[[#This Row],[Admission Date]],"mmmm")</f>
        <v>September</v>
      </c>
      <c r="Y358" s="3" t="str">
        <f>TEXT(CAPSTONE_PROJECT[[#This Row],[Admission Date]],"yyyy")</f>
        <v>2025</v>
      </c>
      <c r="Z358" s="3" t="str">
        <f>TEXT(CAPSTONE_PROJECT[[#This Row],[Admission Date]],"mmm yyyy")</f>
        <v>Sep 2025</v>
      </c>
      <c r="AA358" s="3" t="str">
        <f>TEXT(CAPSTONE_PROJECT[[#This Row],[Admission Date]],"dddd")</f>
        <v>Tuesday</v>
      </c>
      <c r="AB358" s="3" t="str">
        <f>IF(CAPSTONE_PROJECT[[#This Row],[Age]]&lt;=34,"Young Adults",IF(CAPSTONE_PROJECT[[#This Row],[Age]]&lt;=59,"Adults","Elders"))</f>
        <v>Young Adults</v>
      </c>
      <c r="AC358" s="3" t="str">
        <f>_xlfn.XLOOKUP(CAPSTONE_PROJECT[[#This Row],[Patient ID]],'Lookup table'!A:A,'Lookup table'!B:B,,0)</f>
        <v>Daniel Jones</v>
      </c>
      <c r="AD358" s="3" t="str">
        <f>_xlfn.XLOOKUP(CAPSTONE_PROJECT[[#This Row],[Patient ID]],'Lookup table'!A:A,'Lookup table'!C:C,,0)</f>
        <v>Male</v>
      </c>
      <c r="AE358" s="3" t="str">
        <f>IF(CAPSTONE_PROJECT[[#This Row],[Length of Stay]]&lt;=3,"Short Stay",IF(CAPSTONE_PROJECT[[#This Row],[Length of Stay]]&lt;=7,"Moderate Stay",IF(CAPSTONE_PROJECT[[#This Row],[Length of Stay]]&lt;=14,"Long Stay","Extended Stay")))</f>
        <v>Long Stay</v>
      </c>
    </row>
    <row r="359" spans="1:31" x14ac:dyDescent="0.3">
      <c r="A359" s="3" t="s">
        <v>775</v>
      </c>
      <c r="B359" s="4">
        <v>45804</v>
      </c>
      <c r="C359" s="4">
        <v>45808</v>
      </c>
      <c r="D359" s="4">
        <v>34773</v>
      </c>
      <c r="E359" s="3">
        <v>31</v>
      </c>
      <c r="F359" s="3" t="s">
        <v>33</v>
      </c>
      <c r="G359" s="3" t="s">
        <v>53</v>
      </c>
      <c r="H359" s="3" t="s">
        <v>21</v>
      </c>
      <c r="I359" s="3" t="s">
        <v>37</v>
      </c>
      <c r="J359" s="3" t="s">
        <v>38</v>
      </c>
      <c r="K359" s="3" t="s">
        <v>65</v>
      </c>
      <c r="L359" s="6">
        <v>462.34</v>
      </c>
      <c r="M359" s="6">
        <v>1533.37</v>
      </c>
      <c r="N359" s="6">
        <v>1098.22</v>
      </c>
      <c r="O359" s="6">
        <v>6110.66</v>
      </c>
      <c r="P359" s="3" t="s">
        <v>1083</v>
      </c>
      <c r="Q359" s="3" t="s">
        <v>1082</v>
      </c>
      <c r="R359" s="3" t="s">
        <v>19</v>
      </c>
      <c r="S359" s="3" t="s">
        <v>776</v>
      </c>
      <c r="T359" s="3">
        <v>3</v>
      </c>
      <c r="U359" s="3">
        <f>CAPSTONE_PROJECT[[#This Row],[Discharge Date]]-CAPSTONE_PROJECT[[#This Row],[Admission Date]]</f>
        <v>4</v>
      </c>
      <c r="V359" s="6">
        <f>SUM(CAPSTONE_PROJECT[[#This Row],[Room Cost]:[Treatment Cost]])</f>
        <v>9204.59</v>
      </c>
      <c r="W359" s="6">
        <f t="shared" si="5"/>
        <v>2301.1475</v>
      </c>
      <c r="X359" s="3" t="str">
        <f>TEXT(CAPSTONE_PROJECT[[#This Row],[Admission Date]],"mmmm")</f>
        <v>May</v>
      </c>
      <c r="Y359" s="3" t="str">
        <f>TEXT(CAPSTONE_PROJECT[[#This Row],[Admission Date]],"yyyy")</f>
        <v>2025</v>
      </c>
      <c r="Z359" s="3" t="str">
        <f>TEXT(CAPSTONE_PROJECT[[#This Row],[Admission Date]],"mmm yyyy")</f>
        <v>May 2025</v>
      </c>
      <c r="AA359" s="3" t="str">
        <f>TEXT(CAPSTONE_PROJECT[[#This Row],[Admission Date]],"dddd")</f>
        <v>Tuesday</v>
      </c>
      <c r="AB359" s="3" t="str">
        <f>IF(CAPSTONE_PROJECT[[#This Row],[Age]]&lt;=34,"Young Adults",IF(CAPSTONE_PROJECT[[#This Row],[Age]]&lt;=59,"Adults","Elders"))</f>
        <v>Young Adults</v>
      </c>
      <c r="AC359" s="3" t="str">
        <f>_xlfn.XLOOKUP(CAPSTONE_PROJECT[[#This Row],[Patient ID]],'Lookup table'!A:A,'Lookup table'!B:B,,0)</f>
        <v>Isabella Jones</v>
      </c>
      <c r="AD359" s="3" t="str">
        <f>_xlfn.XLOOKUP(CAPSTONE_PROJECT[[#This Row],[Patient ID]],'Lookup table'!A:A,'Lookup table'!C:C,,0)</f>
        <v>Female</v>
      </c>
      <c r="AE359" s="3" t="str">
        <f>IF(CAPSTONE_PROJECT[[#This Row],[Length of Stay]]&lt;=3,"Short Stay",IF(CAPSTONE_PROJECT[[#This Row],[Length of Stay]]&lt;=7,"Moderate Stay",IF(CAPSTONE_PROJECT[[#This Row],[Length of Stay]]&lt;=14,"Long Stay","Extended Stay")))</f>
        <v>Moderate Stay</v>
      </c>
    </row>
    <row r="360" spans="1:31" x14ac:dyDescent="0.3">
      <c r="A360" s="3" t="s">
        <v>777</v>
      </c>
      <c r="B360" s="4">
        <v>45441</v>
      </c>
      <c r="C360" s="4">
        <v>45450</v>
      </c>
      <c r="D360" s="4">
        <v>34734</v>
      </c>
      <c r="E360" s="3">
        <v>31</v>
      </c>
      <c r="F360" s="3" t="s">
        <v>8</v>
      </c>
      <c r="G360" s="3" t="s">
        <v>27</v>
      </c>
      <c r="H360" s="3" t="s">
        <v>21</v>
      </c>
      <c r="I360" s="3" t="s">
        <v>22</v>
      </c>
      <c r="J360" s="3" t="s">
        <v>64</v>
      </c>
      <c r="K360" s="3" t="s">
        <v>15</v>
      </c>
      <c r="L360" s="6">
        <v>2268.8200000000002</v>
      </c>
      <c r="M360" s="6">
        <v>1238.79</v>
      </c>
      <c r="N360" s="6">
        <v>1592.29</v>
      </c>
      <c r="O360" s="6">
        <v>6704.37</v>
      </c>
      <c r="P360" s="3" t="s">
        <v>51</v>
      </c>
      <c r="Q360" s="3" t="s">
        <v>1085</v>
      </c>
      <c r="R360" s="3" t="s">
        <v>75</v>
      </c>
      <c r="S360" s="3" t="s">
        <v>778</v>
      </c>
      <c r="T360" s="3">
        <v>6</v>
      </c>
      <c r="U360" s="3">
        <f>CAPSTONE_PROJECT[[#This Row],[Discharge Date]]-CAPSTONE_PROJECT[[#This Row],[Admission Date]]</f>
        <v>9</v>
      </c>
      <c r="V360" s="6">
        <f>SUM(CAPSTONE_PROJECT[[#This Row],[Room Cost]:[Treatment Cost]])</f>
        <v>11804.27</v>
      </c>
      <c r="W360" s="6">
        <f t="shared" si="5"/>
        <v>1311.5855555555556</v>
      </c>
      <c r="X360" s="3" t="str">
        <f>TEXT(CAPSTONE_PROJECT[[#This Row],[Admission Date]],"mmmm")</f>
        <v>May</v>
      </c>
      <c r="Y360" s="3" t="str">
        <f>TEXT(CAPSTONE_PROJECT[[#This Row],[Admission Date]],"yyyy")</f>
        <v>2024</v>
      </c>
      <c r="Z360" s="3" t="str">
        <f>TEXT(CAPSTONE_PROJECT[[#This Row],[Admission Date]],"mmm yyyy")</f>
        <v>May 2024</v>
      </c>
      <c r="AA360" s="3" t="str">
        <f>TEXT(CAPSTONE_PROJECT[[#This Row],[Admission Date]],"dddd")</f>
        <v>Wednesday</v>
      </c>
      <c r="AB360" s="3" t="str">
        <f>IF(CAPSTONE_PROJECT[[#This Row],[Age]]&lt;=34,"Young Adults",IF(CAPSTONE_PROJECT[[#This Row],[Age]]&lt;=59,"Adults","Elders"))</f>
        <v>Young Adults</v>
      </c>
      <c r="AC360" s="3" t="str">
        <f>_xlfn.XLOOKUP(CAPSTONE_PROJECT[[#This Row],[Patient ID]],'Lookup table'!A:A,'Lookup table'!B:B,,0)</f>
        <v>Daniel Evans</v>
      </c>
      <c r="AD360" s="3" t="str">
        <f>_xlfn.XLOOKUP(CAPSTONE_PROJECT[[#This Row],[Patient ID]],'Lookup table'!A:A,'Lookup table'!C:C,,0)</f>
        <v>Male</v>
      </c>
      <c r="AE360" s="3" t="str">
        <f>IF(CAPSTONE_PROJECT[[#This Row],[Length of Stay]]&lt;=3,"Short Stay",IF(CAPSTONE_PROJECT[[#This Row],[Length of Stay]]&lt;=7,"Moderate Stay",IF(CAPSTONE_PROJECT[[#This Row],[Length of Stay]]&lt;=14,"Long Stay","Extended Stay")))</f>
        <v>Long Stay</v>
      </c>
    </row>
    <row r="361" spans="1:31" x14ac:dyDescent="0.3">
      <c r="A361" s="3" t="s">
        <v>779</v>
      </c>
      <c r="B361" s="4">
        <v>45518</v>
      </c>
      <c r="C361" s="4">
        <v>45530</v>
      </c>
      <c r="D361" s="4">
        <v>28611</v>
      </c>
      <c r="E361" s="3">
        <v>48</v>
      </c>
      <c r="F361" s="3" t="s">
        <v>18</v>
      </c>
      <c r="G361" s="3" t="s">
        <v>78</v>
      </c>
      <c r="H361" s="3" t="s">
        <v>21</v>
      </c>
      <c r="I361" s="3" t="s">
        <v>37</v>
      </c>
      <c r="J361" s="3" t="s">
        <v>45</v>
      </c>
      <c r="K361" s="3" t="s">
        <v>24</v>
      </c>
      <c r="L361" s="6">
        <v>2261.42</v>
      </c>
      <c r="M361" s="6">
        <v>1098.27</v>
      </c>
      <c r="N361" s="6">
        <v>2438.39</v>
      </c>
      <c r="O361" s="6">
        <v>3514.23</v>
      </c>
      <c r="P361" s="3" t="s">
        <v>51</v>
      </c>
      <c r="Q361" s="3" t="s">
        <v>1078</v>
      </c>
      <c r="R361" s="3" t="s">
        <v>54</v>
      </c>
      <c r="S361" s="3" t="s">
        <v>780</v>
      </c>
      <c r="T361" s="3">
        <v>8</v>
      </c>
      <c r="U361" s="3">
        <f>CAPSTONE_PROJECT[[#This Row],[Discharge Date]]-CAPSTONE_PROJECT[[#This Row],[Admission Date]]</f>
        <v>12</v>
      </c>
      <c r="V361" s="6">
        <f>SUM(CAPSTONE_PROJECT[[#This Row],[Room Cost]:[Treatment Cost]])</f>
        <v>9312.31</v>
      </c>
      <c r="W361" s="6">
        <f t="shared" si="5"/>
        <v>776.02583333333325</v>
      </c>
      <c r="X361" s="3" t="str">
        <f>TEXT(CAPSTONE_PROJECT[[#This Row],[Admission Date]],"mmmm")</f>
        <v>August</v>
      </c>
      <c r="Y361" s="3" t="str">
        <f>TEXT(CAPSTONE_PROJECT[[#This Row],[Admission Date]],"yyyy")</f>
        <v>2024</v>
      </c>
      <c r="Z361" s="3" t="str">
        <f>TEXT(CAPSTONE_PROJECT[[#This Row],[Admission Date]],"mmm yyyy")</f>
        <v>Aug 2024</v>
      </c>
      <c r="AA361" s="3" t="str">
        <f>TEXT(CAPSTONE_PROJECT[[#This Row],[Admission Date]],"dddd")</f>
        <v>Wednesday</v>
      </c>
      <c r="AB361" s="3" t="str">
        <f>IF(CAPSTONE_PROJECT[[#This Row],[Age]]&lt;=34,"Young Adults",IF(CAPSTONE_PROJECT[[#This Row],[Age]]&lt;=59,"Adults","Elders"))</f>
        <v>Adults</v>
      </c>
      <c r="AC361" s="3" t="str">
        <f>_xlfn.XLOOKUP(CAPSTONE_PROJECT[[#This Row],[Patient ID]],'Lookup table'!A:A,'Lookup table'!B:B,,0)</f>
        <v>Mia N Evans</v>
      </c>
      <c r="AD361" s="3" t="str">
        <f>_xlfn.XLOOKUP(CAPSTONE_PROJECT[[#This Row],[Patient ID]],'Lookup table'!A:A,'Lookup table'!C:C,,0)</f>
        <v>Female</v>
      </c>
      <c r="AE361" s="3" t="str">
        <f>IF(CAPSTONE_PROJECT[[#This Row],[Length of Stay]]&lt;=3,"Short Stay",IF(CAPSTONE_PROJECT[[#This Row],[Length of Stay]]&lt;=7,"Moderate Stay",IF(CAPSTONE_PROJECT[[#This Row],[Length of Stay]]&lt;=14,"Long Stay","Extended Stay")))</f>
        <v>Long Stay</v>
      </c>
    </row>
    <row r="362" spans="1:31" x14ac:dyDescent="0.3">
      <c r="A362" s="3" t="s">
        <v>781</v>
      </c>
      <c r="B362" s="4">
        <v>45951</v>
      </c>
      <c r="C362" s="4">
        <v>45956</v>
      </c>
      <c r="D362" s="4">
        <v>30753</v>
      </c>
      <c r="E362" s="3">
        <v>42</v>
      </c>
      <c r="F362" s="3" t="s">
        <v>33</v>
      </c>
      <c r="G362" s="3" t="s">
        <v>53</v>
      </c>
      <c r="H362" s="3" t="s">
        <v>21</v>
      </c>
      <c r="I362" s="3" t="s">
        <v>44</v>
      </c>
      <c r="J362" s="3" t="s">
        <v>23</v>
      </c>
      <c r="K362" s="3" t="s">
        <v>65</v>
      </c>
      <c r="L362" s="6">
        <v>4231.93</v>
      </c>
      <c r="M362" s="6">
        <v>1920.93</v>
      </c>
      <c r="N362" s="6">
        <v>1684.54</v>
      </c>
      <c r="O362" s="6">
        <v>11345.94</v>
      </c>
      <c r="P362" s="3" t="s">
        <v>25</v>
      </c>
      <c r="Q362" s="3" t="s">
        <v>1085</v>
      </c>
      <c r="R362" s="3" t="s">
        <v>58</v>
      </c>
      <c r="S362" s="3" t="s">
        <v>782</v>
      </c>
      <c r="T362" s="3">
        <v>8</v>
      </c>
      <c r="U362" s="3">
        <f>CAPSTONE_PROJECT[[#This Row],[Discharge Date]]-CAPSTONE_PROJECT[[#This Row],[Admission Date]]</f>
        <v>5</v>
      </c>
      <c r="V362" s="6">
        <f>SUM(CAPSTONE_PROJECT[[#This Row],[Room Cost]:[Treatment Cost]])</f>
        <v>19183.34</v>
      </c>
      <c r="W362" s="6">
        <f t="shared" si="5"/>
        <v>3836.6680000000001</v>
      </c>
      <c r="X362" s="3" t="str">
        <f>TEXT(CAPSTONE_PROJECT[[#This Row],[Admission Date]],"mmmm")</f>
        <v>October</v>
      </c>
      <c r="Y362" s="3" t="str">
        <f>TEXT(CAPSTONE_PROJECT[[#This Row],[Admission Date]],"yyyy")</f>
        <v>2025</v>
      </c>
      <c r="Z362" s="3" t="str">
        <f>TEXT(CAPSTONE_PROJECT[[#This Row],[Admission Date]],"mmm yyyy")</f>
        <v>Oct 2025</v>
      </c>
      <c r="AA362" s="3" t="str">
        <f>TEXT(CAPSTONE_PROJECT[[#This Row],[Admission Date]],"dddd")</f>
        <v>Tuesday</v>
      </c>
      <c r="AB362" s="3" t="str">
        <f>IF(CAPSTONE_PROJECT[[#This Row],[Age]]&lt;=34,"Young Adults",IF(CAPSTONE_PROJECT[[#This Row],[Age]]&lt;=59,"Adults","Elders"))</f>
        <v>Adults</v>
      </c>
      <c r="AC362" s="3" t="str">
        <f>_xlfn.XLOOKUP(CAPSTONE_PROJECT[[#This Row],[Patient ID]],'Lookup table'!A:A,'Lookup table'!B:B,,0)</f>
        <v>Lucas L Thompson</v>
      </c>
      <c r="AD362" s="3" t="str">
        <f>_xlfn.XLOOKUP(CAPSTONE_PROJECT[[#This Row],[Patient ID]],'Lookup table'!A:A,'Lookup table'!C:C,,0)</f>
        <v>Male</v>
      </c>
      <c r="AE362" s="3" t="str">
        <f>IF(CAPSTONE_PROJECT[[#This Row],[Length of Stay]]&lt;=3,"Short Stay",IF(CAPSTONE_PROJECT[[#This Row],[Length of Stay]]&lt;=7,"Moderate Stay",IF(CAPSTONE_PROJECT[[#This Row],[Length of Stay]]&lt;=14,"Long Stay","Extended Stay")))</f>
        <v>Moderate Stay</v>
      </c>
    </row>
    <row r="363" spans="1:31" x14ac:dyDescent="0.3">
      <c r="A363" s="3" t="s">
        <v>783</v>
      </c>
      <c r="B363" s="4">
        <v>45972</v>
      </c>
      <c r="C363" s="4">
        <v>45974</v>
      </c>
      <c r="D363" s="4">
        <v>33706</v>
      </c>
      <c r="E363" s="3">
        <v>34</v>
      </c>
      <c r="F363" s="3" t="s">
        <v>47</v>
      </c>
      <c r="G363" s="3" t="s">
        <v>139</v>
      </c>
      <c r="H363" s="3" t="s">
        <v>111</v>
      </c>
      <c r="I363" s="3" t="s">
        <v>44</v>
      </c>
      <c r="J363" s="3" t="s">
        <v>45</v>
      </c>
      <c r="K363" s="3" t="s">
        <v>15</v>
      </c>
      <c r="L363" s="6">
        <v>2332.1999999999998</v>
      </c>
      <c r="M363" s="6">
        <v>244.16</v>
      </c>
      <c r="N363" s="6">
        <v>1216.33</v>
      </c>
      <c r="O363" s="6">
        <v>3447.23</v>
      </c>
      <c r="P363" s="3" t="s">
        <v>31</v>
      </c>
      <c r="Q363" s="3" t="s">
        <v>1076</v>
      </c>
      <c r="R363" s="3" t="s">
        <v>54</v>
      </c>
      <c r="S363" s="3" t="s">
        <v>784</v>
      </c>
      <c r="T363" s="3">
        <v>9</v>
      </c>
      <c r="U363" s="3">
        <f>CAPSTONE_PROJECT[[#This Row],[Discharge Date]]-CAPSTONE_PROJECT[[#This Row],[Admission Date]]</f>
        <v>2</v>
      </c>
      <c r="V363" s="6">
        <f>SUM(CAPSTONE_PROJECT[[#This Row],[Room Cost]:[Treatment Cost]])</f>
        <v>7239.92</v>
      </c>
      <c r="W363" s="6">
        <f t="shared" si="5"/>
        <v>3619.96</v>
      </c>
      <c r="X363" s="3" t="str">
        <f>TEXT(CAPSTONE_PROJECT[[#This Row],[Admission Date]],"mmmm")</f>
        <v>November</v>
      </c>
      <c r="Y363" s="3" t="str">
        <f>TEXT(CAPSTONE_PROJECT[[#This Row],[Admission Date]],"yyyy")</f>
        <v>2025</v>
      </c>
      <c r="Z363" s="3" t="str">
        <f>TEXT(CAPSTONE_PROJECT[[#This Row],[Admission Date]],"mmm yyyy")</f>
        <v>Nov 2025</v>
      </c>
      <c r="AA363" s="3" t="str">
        <f>TEXT(CAPSTONE_PROJECT[[#This Row],[Admission Date]],"dddd")</f>
        <v>Tuesday</v>
      </c>
      <c r="AB363" s="3" t="str">
        <f>IF(CAPSTONE_PROJECT[[#This Row],[Age]]&lt;=34,"Young Adults",IF(CAPSTONE_PROJECT[[#This Row],[Age]]&lt;=59,"Adults","Elders"))</f>
        <v>Young Adults</v>
      </c>
      <c r="AC363" s="3" t="str">
        <f>_xlfn.XLOOKUP(CAPSTONE_PROJECT[[#This Row],[Patient ID]],'Lookup table'!A:A,'Lookup table'!B:B,,0)</f>
        <v>Ella Wood</v>
      </c>
      <c r="AD363" s="3" t="str">
        <f>_xlfn.XLOOKUP(CAPSTONE_PROJECT[[#This Row],[Patient ID]],'Lookup table'!A:A,'Lookup table'!C:C,,0)</f>
        <v>Female</v>
      </c>
      <c r="AE363" s="3" t="str">
        <f>IF(CAPSTONE_PROJECT[[#This Row],[Length of Stay]]&lt;=3,"Short Stay",IF(CAPSTONE_PROJECT[[#This Row],[Length of Stay]]&lt;=7,"Moderate Stay",IF(CAPSTONE_PROJECT[[#This Row],[Length of Stay]]&lt;=14,"Long Stay","Extended Stay")))</f>
        <v>Short Stay</v>
      </c>
    </row>
    <row r="364" spans="1:31" x14ac:dyDescent="0.3">
      <c r="A364" s="3" t="s">
        <v>785</v>
      </c>
      <c r="B364" s="4">
        <v>45504</v>
      </c>
      <c r="C364" s="4">
        <v>45512</v>
      </c>
      <c r="D364" s="4">
        <v>28612</v>
      </c>
      <c r="E364" s="3">
        <v>48</v>
      </c>
      <c r="F364" s="3" t="s">
        <v>47</v>
      </c>
      <c r="G364" s="3" t="s">
        <v>139</v>
      </c>
      <c r="H364" s="3" t="s">
        <v>72</v>
      </c>
      <c r="I364" s="3" t="s">
        <v>44</v>
      </c>
      <c r="J364" s="3" t="s">
        <v>38</v>
      </c>
      <c r="K364" s="3" t="s">
        <v>65</v>
      </c>
      <c r="L364" s="6">
        <v>1085</v>
      </c>
      <c r="M364" s="6">
        <v>964.87</v>
      </c>
      <c r="N364" s="6">
        <v>505.69</v>
      </c>
      <c r="O364" s="6">
        <v>10459.76</v>
      </c>
      <c r="P364" s="3" t="s">
        <v>16</v>
      </c>
      <c r="Q364" s="3" t="s">
        <v>1085</v>
      </c>
      <c r="R364" s="3" t="s">
        <v>19</v>
      </c>
      <c r="S364" s="3" t="s">
        <v>786</v>
      </c>
      <c r="T364" s="3">
        <v>1</v>
      </c>
      <c r="U364" s="3">
        <f>CAPSTONE_PROJECT[[#This Row],[Discharge Date]]-CAPSTONE_PROJECT[[#This Row],[Admission Date]]</f>
        <v>8</v>
      </c>
      <c r="V364" s="6">
        <f>SUM(CAPSTONE_PROJECT[[#This Row],[Room Cost]:[Treatment Cost]])</f>
        <v>13015.32</v>
      </c>
      <c r="W364" s="6">
        <f t="shared" si="5"/>
        <v>1626.915</v>
      </c>
      <c r="X364" s="3" t="str">
        <f>TEXT(CAPSTONE_PROJECT[[#This Row],[Admission Date]],"mmmm")</f>
        <v>July</v>
      </c>
      <c r="Y364" s="3" t="str">
        <f>TEXT(CAPSTONE_PROJECT[[#This Row],[Admission Date]],"yyyy")</f>
        <v>2024</v>
      </c>
      <c r="Z364" s="3" t="str">
        <f>TEXT(CAPSTONE_PROJECT[[#This Row],[Admission Date]],"mmm yyyy")</f>
        <v>Jul 2024</v>
      </c>
      <c r="AA364" s="3" t="str">
        <f>TEXT(CAPSTONE_PROJECT[[#This Row],[Admission Date]],"dddd")</f>
        <v>Wednesday</v>
      </c>
      <c r="AB364" s="3" t="str">
        <f>IF(CAPSTONE_PROJECT[[#This Row],[Age]]&lt;=34,"Young Adults",IF(CAPSTONE_PROJECT[[#This Row],[Age]]&lt;=59,"Adults","Elders"))</f>
        <v>Adults</v>
      </c>
      <c r="AC364" s="3" t="str">
        <f>_xlfn.XLOOKUP(CAPSTONE_PROJECT[[#This Row],[Patient ID]],'Lookup table'!A:A,'Lookup table'!B:B,,0)</f>
        <v>Daniel I Robinson</v>
      </c>
      <c r="AD364" s="3" t="str">
        <f>_xlfn.XLOOKUP(CAPSTONE_PROJECT[[#This Row],[Patient ID]],'Lookup table'!A:A,'Lookup table'!C:C,,0)</f>
        <v>Male</v>
      </c>
      <c r="AE364" s="3" t="str">
        <f>IF(CAPSTONE_PROJECT[[#This Row],[Length of Stay]]&lt;=3,"Short Stay",IF(CAPSTONE_PROJECT[[#This Row],[Length of Stay]]&lt;=7,"Moderate Stay",IF(CAPSTONE_PROJECT[[#This Row],[Length of Stay]]&lt;=14,"Long Stay","Extended Stay")))</f>
        <v>Long Stay</v>
      </c>
    </row>
    <row r="365" spans="1:31" x14ac:dyDescent="0.3">
      <c r="A365" s="3" t="s">
        <v>787</v>
      </c>
      <c r="B365" s="4">
        <v>45708</v>
      </c>
      <c r="C365" s="4">
        <v>45728</v>
      </c>
      <c r="D365" s="4">
        <v>16582</v>
      </c>
      <c r="E365" s="3">
        <v>81</v>
      </c>
      <c r="F365" s="3" t="s">
        <v>8</v>
      </c>
      <c r="G365" s="3" t="s">
        <v>9</v>
      </c>
      <c r="H365" s="3" t="s">
        <v>12</v>
      </c>
      <c r="I365" s="3" t="s">
        <v>22</v>
      </c>
      <c r="J365" s="3" t="s">
        <v>38</v>
      </c>
      <c r="K365" s="3" t="s">
        <v>50</v>
      </c>
      <c r="L365" s="6">
        <v>3706.3</v>
      </c>
      <c r="M365" s="6">
        <v>259.26</v>
      </c>
      <c r="N365" s="6">
        <v>2184.38</v>
      </c>
      <c r="O365" s="6">
        <v>3494.56</v>
      </c>
      <c r="P365" s="3" t="s">
        <v>16</v>
      </c>
      <c r="Q365" s="3" t="s">
        <v>1082</v>
      </c>
      <c r="R365" s="3" t="s">
        <v>68</v>
      </c>
      <c r="S365" s="3" t="s">
        <v>788</v>
      </c>
      <c r="T365" s="3">
        <v>5</v>
      </c>
      <c r="U365" s="3">
        <f>CAPSTONE_PROJECT[[#This Row],[Discharge Date]]-CAPSTONE_PROJECT[[#This Row],[Admission Date]]</f>
        <v>20</v>
      </c>
      <c r="V365" s="6">
        <f>SUM(CAPSTONE_PROJECT[[#This Row],[Room Cost]:[Treatment Cost]])</f>
        <v>9644.5</v>
      </c>
      <c r="W365" s="6">
        <f t="shared" si="5"/>
        <v>482.22500000000002</v>
      </c>
      <c r="X365" s="3" t="str">
        <f>TEXT(CAPSTONE_PROJECT[[#This Row],[Admission Date]],"mmmm")</f>
        <v>February</v>
      </c>
      <c r="Y365" s="3" t="str">
        <f>TEXT(CAPSTONE_PROJECT[[#This Row],[Admission Date]],"yyyy")</f>
        <v>2025</v>
      </c>
      <c r="Z365" s="3" t="str">
        <f>TEXT(CAPSTONE_PROJECT[[#This Row],[Admission Date]],"mmm yyyy")</f>
        <v>Feb 2025</v>
      </c>
      <c r="AA365" s="3" t="str">
        <f>TEXT(CAPSTONE_PROJECT[[#This Row],[Admission Date]],"dddd")</f>
        <v>Thursday</v>
      </c>
      <c r="AB365" s="3" t="str">
        <f>IF(CAPSTONE_PROJECT[[#This Row],[Age]]&lt;=34,"Young Adults",IF(CAPSTONE_PROJECT[[#This Row],[Age]]&lt;=59,"Adults","Elders"))</f>
        <v>Elders</v>
      </c>
      <c r="AC365" s="3" t="str">
        <f>_xlfn.XLOOKUP(CAPSTONE_PROJECT[[#This Row],[Patient ID]],'Lookup table'!A:A,'Lookup table'!B:B,,0)</f>
        <v>Olivia Wilson</v>
      </c>
      <c r="AD365" s="3" t="str">
        <f>_xlfn.XLOOKUP(CAPSTONE_PROJECT[[#This Row],[Patient ID]],'Lookup table'!A:A,'Lookup table'!C:C,,0)</f>
        <v>Female</v>
      </c>
      <c r="AE365" s="3" t="str">
        <f>IF(CAPSTONE_PROJECT[[#This Row],[Length of Stay]]&lt;=3,"Short Stay",IF(CAPSTONE_PROJECT[[#This Row],[Length of Stay]]&lt;=7,"Moderate Stay",IF(CAPSTONE_PROJECT[[#This Row],[Length of Stay]]&lt;=14,"Long Stay","Extended Stay")))</f>
        <v>Extended Stay</v>
      </c>
    </row>
    <row r="366" spans="1:31" x14ac:dyDescent="0.3">
      <c r="A366" s="3" t="s">
        <v>789</v>
      </c>
      <c r="B366" s="4">
        <v>45479</v>
      </c>
      <c r="C366" s="4">
        <v>45486</v>
      </c>
      <c r="D366" s="4">
        <v>31369</v>
      </c>
      <c r="E366" s="3">
        <v>40</v>
      </c>
      <c r="F366" s="3" t="s">
        <v>18</v>
      </c>
      <c r="G366" s="3" t="s">
        <v>34</v>
      </c>
      <c r="H366" s="3" t="s">
        <v>100</v>
      </c>
      <c r="I366" s="3" t="s">
        <v>44</v>
      </c>
      <c r="J366" s="3" t="s">
        <v>23</v>
      </c>
      <c r="K366" s="3" t="s">
        <v>15</v>
      </c>
      <c r="L366" s="6">
        <v>3592.98</v>
      </c>
      <c r="M366" s="6">
        <v>582.44000000000005</v>
      </c>
      <c r="N366" s="6">
        <v>1436.64</v>
      </c>
      <c r="O366" s="6">
        <v>11801.23</v>
      </c>
      <c r="P366" s="3" t="s">
        <v>25</v>
      </c>
      <c r="Q366" s="3" t="s">
        <v>1081</v>
      </c>
      <c r="R366" s="3" t="s">
        <v>41</v>
      </c>
      <c r="S366" s="3" t="s">
        <v>790</v>
      </c>
      <c r="T366" s="3">
        <v>8</v>
      </c>
      <c r="U366" s="3">
        <f>CAPSTONE_PROJECT[[#This Row],[Discharge Date]]-CAPSTONE_PROJECT[[#This Row],[Admission Date]]</f>
        <v>7</v>
      </c>
      <c r="V366" s="6">
        <f>SUM(CAPSTONE_PROJECT[[#This Row],[Room Cost]:[Treatment Cost]])</f>
        <v>17413.29</v>
      </c>
      <c r="W366" s="6">
        <f t="shared" si="5"/>
        <v>2487.6128571428571</v>
      </c>
      <c r="X366" s="3" t="str">
        <f>TEXT(CAPSTONE_PROJECT[[#This Row],[Admission Date]],"mmmm")</f>
        <v>July</v>
      </c>
      <c r="Y366" s="3" t="str">
        <f>TEXT(CAPSTONE_PROJECT[[#This Row],[Admission Date]],"yyyy")</f>
        <v>2024</v>
      </c>
      <c r="Z366" s="3" t="str">
        <f>TEXT(CAPSTONE_PROJECT[[#This Row],[Admission Date]],"mmm yyyy")</f>
        <v>Jul 2024</v>
      </c>
      <c r="AA366" s="3" t="str">
        <f>TEXT(CAPSTONE_PROJECT[[#This Row],[Admission Date]],"dddd")</f>
        <v>Saturday</v>
      </c>
      <c r="AB366" s="3" t="str">
        <f>IF(CAPSTONE_PROJECT[[#This Row],[Age]]&lt;=34,"Young Adults",IF(CAPSTONE_PROJECT[[#This Row],[Age]]&lt;=59,"Adults","Elders"))</f>
        <v>Adults</v>
      </c>
      <c r="AC366" s="3" t="str">
        <f>_xlfn.XLOOKUP(CAPSTONE_PROJECT[[#This Row],[Patient ID]],'Lookup table'!A:A,'Lookup table'!B:B,,0)</f>
        <v>Lucas Martin</v>
      </c>
      <c r="AD366" s="3" t="str">
        <f>_xlfn.XLOOKUP(CAPSTONE_PROJECT[[#This Row],[Patient ID]],'Lookup table'!A:A,'Lookup table'!C:C,,0)</f>
        <v>Male</v>
      </c>
      <c r="AE366" s="3" t="str">
        <f>IF(CAPSTONE_PROJECT[[#This Row],[Length of Stay]]&lt;=3,"Short Stay",IF(CAPSTONE_PROJECT[[#This Row],[Length of Stay]]&lt;=7,"Moderate Stay",IF(CAPSTONE_PROJECT[[#This Row],[Length of Stay]]&lt;=14,"Long Stay","Extended Stay")))</f>
        <v>Moderate Stay</v>
      </c>
    </row>
    <row r="367" spans="1:31" x14ac:dyDescent="0.3">
      <c r="A367" s="3" t="s">
        <v>791</v>
      </c>
      <c r="B367" s="4">
        <v>45440</v>
      </c>
      <c r="C367" s="4">
        <v>45450</v>
      </c>
      <c r="D367" s="4">
        <v>38119</v>
      </c>
      <c r="E367" s="3">
        <v>22</v>
      </c>
      <c r="F367" s="3" t="s">
        <v>33</v>
      </c>
      <c r="G367" s="3" t="s">
        <v>126</v>
      </c>
      <c r="H367" s="3" t="s">
        <v>29</v>
      </c>
      <c r="I367" s="3" t="s">
        <v>22</v>
      </c>
      <c r="J367" s="3" t="s">
        <v>73</v>
      </c>
      <c r="K367" s="3" t="s">
        <v>50</v>
      </c>
      <c r="L367" s="6">
        <v>2597.2600000000002</v>
      </c>
      <c r="M367" s="6">
        <v>84.09</v>
      </c>
      <c r="N367" s="6">
        <v>1922.8</v>
      </c>
      <c r="O367" s="6">
        <v>12063.67</v>
      </c>
      <c r="P367" s="3" t="s">
        <v>25</v>
      </c>
      <c r="Q367" s="3" t="s">
        <v>1076</v>
      </c>
      <c r="R367" s="3" t="s">
        <v>10</v>
      </c>
      <c r="S367" s="3" t="s">
        <v>792</v>
      </c>
      <c r="T367" s="3">
        <v>10</v>
      </c>
      <c r="U367" s="3">
        <f>CAPSTONE_PROJECT[[#This Row],[Discharge Date]]-CAPSTONE_PROJECT[[#This Row],[Admission Date]]</f>
        <v>10</v>
      </c>
      <c r="V367" s="6">
        <f>SUM(CAPSTONE_PROJECT[[#This Row],[Room Cost]:[Treatment Cost]])</f>
        <v>16667.82</v>
      </c>
      <c r="W367" s="6">
        <f t="shared" si="5"/>
        <v>1666.7819999999999</v>
      </c>
      <c r="X367" s="3" t="str">
        <f>TEXT(CAPSTONE_PROJECT[[#This Row],[Admission Date]],"mmmm")</f>
        <v>May</v>
      </c>
      <c r="Y367" s="3" t="str">
        <f>TEXT(CAPSTONE_PROJECT[[#This Row],[Admission Date]],"yyyy")</f>
        <v>2024</v>
      </c>
      <c r="Z367" s="3" t="str">
        <f>TEXT(CAPSTONE_PROJECT[[#This Row],[Admission Date]],"mmm yyyy")</f>
        <v>May 2024</v>
      </c>
      <c r="AA367" s="3" t="str">
        <f>TEXT(CAPSTONE_PROJECT[[#This Row],[Admission Date]],"dddd")</f>
        <v>Tuesday</v>
      </c>
      <c r="AB367" s="3" t="str">
        <f>IF(CAPSTONE_PROJECT[[#This Row],[Age]]&lt;=34,"Young Adults",IF(CAPSTONE_PROJECT[[#This Row],[Age]]&lt;=59,"Adults","Elders"))</f>
        <v>Young Adults</v>
      </c>
      <c r="AC367" s="3" t="str">
        <f>_xlfn.XLOOKUP(CAPSTONE_PROJECT[[#This Row],[Patient ID]],'Lookup table'!A:A,'Lookup table'!B:B,,0)</f>
        <v>Grace Wilson</v>
      </c>
      <c r="AD367" s="3" t="str">
        <f>_xlfn.XLOOKUP(CAPSTONE_PROJECT[[#This Row],[Patient ID]],'Lookup table'!A:A,'Lookup table'!C:C,,0)</f>
        <v>Female</v>
      </c>
      <c r="AE367" s="3" t="str">
        <f>IF(CAPSTONE_PROJECT[[#This Row],[Length of Stay]]&lt;=3,"Short Stay",IF(CAPSTONE_PROJECT[[#This Row],[Length of Stay]]&lt;=7,"Moderate Stay",IF(CAPSTONE_PROJECT[[#This Row],[Length of Stay]]&lt;=14,"Long Stay","Extended Stay")))</f>
        <v>Long Stay</v>
      </c>
    </row>
    <row r="368" spans="1:31" x14ac:dyDescent="0.3">
      <c r="A368" s="3" t="s">
        <v>793</v>
      </c>
      <c r="B368" s="4">
        <v>45496</v>
      </c>
      <c r="C368" s="4">
        <v>45503</v>
      </c>
      <c r="D368" s="4">
        <v>29488</v>
      </c>
      <c r="E368" s="3">
        <v>45</v>
      </c>
      <c r="F368" s="3" t="s">
        <v>47</v>
      </c>
      <c r="G368" s="3" t="s">
        <v>9</v>
      </c>
      <c r="H368" s="3" t="s">
        <v>21</v>
      </c>
      <c r="I368" s="3" t="s">
        <v>13</v>
      </c>
      <c r="J368" s="3" t="s">
        <v>73</v>
      </c>
      <c r="K368" s="3" t="s">
        <v>65</v>
      </c>
      <c r="L368" s="6">
        <v>4542.9399999999996</v>
      </c>
      <c r="M368" s="6">
        <v>1925.21</v>
      </c>
      <c r="N368" s="6">
        <v>378.31</v>
      </c>
      <c r="O368" s="6">
        <v>11321.69</v>
      </c>
      <c r="P368" s="3" t="s">
        <v>31</v>
      </c>
      <c r="Q368" s="3" t="s">
        <v>1077</v>
      </c>
      <c r="R368" s="3" t="s">
        <v>10</v>
      </c>
      <c r="S368" s="3" t="s">
        <v>794</v>
      </c>
      <c r="T368" s="3">
        <v>6</v>
      </c>
      <c r="U368" s="3">
        <f>CAPSTONE_PROJECT[[#This Row],[Discharge Date]]-CAPSTONE_PROJECT[[#This Row],[Admission Date]]</f>
        <v>7</v>
      </c>
      <c r="V368" s="6">
        <f>SUM(CAPSTONE_PROJECT[[#This Row],[Room Cost]:[Treatment Cost]])</f>
        <v>18168.150000000001</v>
      </c>
      <c r="W368" s="6">
        <f t="shared" si="5"/>
        <v>2595.4500000000003</v>
      </c>
      <c r="X368" s="3" t="str">
        <f>TEXT(CAPSTONE_PROJECT[[#This Row],[Admission Date]],"mmmm")</f>
        <v>July</v>
      </c>
      <c r="Y368" s="3" t="str">
        <f>TEXT(CAPSTONE_PROJECT[[#This Row],[Admission Date]],"yyyy")</f>
        <v>2024</v>
      </c>
      <c r="Z368" s="3" t="str">
        <f>TEXT(CAPSTONE_PROJECT[[#This Row],[Admission Date]],"mmm yyyy")</f>
        <v>Jul 2024</v>
      </c>
      <c r="AA368" s="3" t="str">
        <f>TEXT(CAPSTONE_PROJECT[[#This Row],[Admission Date]],"dddd")</f>
        <v>Tuesday</v>
      </c>
      <c r="AB368" s="3" t="str">
        <f>IF(CAPSTONE_PROJECT[[#This Row],[Age]]&lt;=34,"Young Adults",IF(CAPSTONE_PROJECT[[#This Row],[Age]]&lt;=59,"Adults","Elders"))</f>
        <v>Adults</v>
      </c>
      <c r="AC368" s="3" t="str">
        <f>_xlfn.XLOOKUP(CAPSTONE_PROJECT[[#This Row],[Patient ID]],'Lookup table'!A:A,'Lookup table'!B:B,,0)</f>
        <v>Lucas White</v>
      </c>
      <c r="AD368" s="3" t="str">
        <f>_xlfn.XLOOKUP(CAPSTONE_PROJECT[[#This Row],[Patient ID]],'Lookup table'!A:A,'Lookup table'!C:C,,0)</f>
        <v>Male</v>
      </c>
      <c r="AE368" s="3" t="str">
        <f>IF(CAPSTONE_PROJECT[[#This Row],[Length of Stay]]&lt;=3,"Short Stay",IF(CAPSTONE_PROJECT[[#This Row],[Length of Stay]]&lt;=7,"Moderate Stay",IF(CAPSTONE_PROJECT[[#This Row],[Length of Stay]]&lt;=14,"Long Stay","Extended Stay")))</f>
        <v>Moderate Stay</v>
      </c>
    </row>
    <row r="369" spans="1:31" x14ac:dyDescent="0.3">
      <c r="A369" s="3" t="s">
        <v>795</v>
      </c>
      <c r="B369" s="4">
        <v>45624</v>
      </c>
      <c r="C369" s="4">
        <v>45638</v>
      </c>
      <c r="D369" s="4">
        <v>37228</v>
      </c>
      <c r="E369" s="3">
        <v>24</v>
      </c>
      <c r="F369" s="3" t="s">
        <v>8</v>
      </c>
      <c r="G369" s="3" t="s">
        <v>48</v>
      </c>
      <c r="H369" s="3" t="s">
        <v>114</v>
      </c>
      <c r="I369" s="3" t="s">
        <v>22</v>
      </c>
      <c r="J369" s="3" t="s">
        <v>64</v>
      </c>
      <c r="K369" s="3" t="s">
        <v>50</v>
      </c>
      <c r="L369" s="6">
        <v>2011.08</v>
      </c>
      <c r="M369" s="6">
        <v>711.95</v>
      </c>
      <c r="N369" s="6">
        <v>2359.8000000000002</v>
      </c>
      <c r="O369" s="6">
        <v>3837.27</v>
      </c>
      <c r="P369" s="3" t="s">
        <v>51</v>
      </c>
      <c r="Q369" s="3" t="s">
        <v>1082</v>
      </c>
      <c r="R369" s="3" t="s">
        <v>58</v>
      </c>
      <c r="S369" s="3" t="s">
        <v>796</v>
      </c>
      <c r="T369" s="3">
        <v>4</v>
      </c>
      <c r="U369" s="3">
        <f>CAPSTONE_PROJECT[[#This Row],[Discharge Date]]-CAPSTONE_PROJECT[[#This Row],[Admission Date]]</f>
        <v>14</v>
      </c>
      <c r="V369" s="6">
        <f>SUM(CAPSTONE_PROJECT[[#This Row],[Room Cost]:[Treatment Cost]])</f>
        <v>8920.1</v>
      </c>
      <c r="W369" s="6">
        <f t="shared" si="5"/>
        <v>637.15</v>
      </c>
      <c r="X369" s="3" t="str">
        <f>TEXT(CAPSTONE_PROJECT[[#This Row],[Admission Date]],"mmmm")</f>
        <v>November</v>
      </c>
      <c r="Y369" s="3" t="str">
        <f>TEXT(CAPSTONE_PROJECT[[#This Row],[Admission Date]],"yyyy")</f>
        <v>2024</v>
      </c>
      <c r="Z369" s="3" t="str">
        <f>TEXT(CAPSTONE_PROJECT[[#This Row],[Admission Date]],"mmm yyyy")</f>
        <v>Nov 2024</v>
      </c>
      <c r="AA369" s="3" t="str">
        <f>TEXT(CAPSTONE_PROJECT[[#This Row],[Admission Date]],"dddd")</f>
        <v>Thursday</v>
      </c>
      <c r="AB369" s="3" t="str">
        <f>IF(CAPSTONE_PROJECT[[#This Row],[Age]]&lt;=34,"Young Adults",IF(CAPSTONE_PROJECT[[#This Row],[Age]]&lt;=59,"Adults","Elders"))</f>
        <v>Young Adults</v>
      </c>
      <c r="AC369" s="3" t="str">
        <f>_xlfn.XLOOKUP(CAPSTONE_PROJECT[[#This Row],[Patient ID]],'Lookup table'!A:A,'Lookup table'!B:B,,0)</f>
        <v>Olivia X Martin</v>
      </c>
      <c r="AD369" s="3" t="str">
        <f>_xlfn.XLOOKUP(CAPSTONE_PROJECT[[#This Row],[Patient ID]],'Lookup table'!A:A,'Lookup table'!C:C,,0)</f>
        <v>Female</v>
      </c>
      <c r="AE369" s="3" t="str">
        <f>IF(CAPSTONE_PROJECT[[#This Row],[Length of Stay]]&lt;=3,"Short Stay",IF(CAPSTONE_PROJECT[[#This Row],[Length of Stay]]&lt;=7,"Moderate Stay",IF(CAPSTONE_PROJECT[[#This Row],[Length of Stay]]&lt;=14,"Long Stay","Extended Stay")))</f>
        <v>Long Stay</v>
      </c>
    </row>
    <row r="370" spans="1:31" x14ac:dyDescent="0.3">
      <c r="A370" s="3" t="s">
        <v>797</v>
      </c>
      <c r="B370" s="4">
        <v>45435</v>
      </c>
      <c r="C370" s="4">
        <v>45439</v>
      </c>
      <c r="D370" s="4">
        <v>30651</v>
      </c>
      <c r="E370" s="3">
        <v>42</v>
      </c>
      <c r="F370" s="3" t="s">
        <v>8</v>
      </c>
      <c r="G370" s="3" t="s">
        <v>57</v>
      </c>
      <c r="H370" s="3" t="s">
        <v>111</v>
      </c>
      <c r="I370" s="3" t="s">
        <v>37</v>
      </c>
      <c r="J370" s="3" t="s">
        <v>14</v>
      </c>
      <c r="K370" s="3" t="s">
        <v>65</v>
      </c>
      <c r="L370" s="6">
        <v>4390.63</v>
      </c>
      <c r="M370" s="6">
        <v>227.7</v>
      </c>
      <c r="N370" s="6">
        <v>2220.0300000000002</v>
      </c>
      <c r="O370" s="6">
        <v>9370.2199999999993</v>
      </c>
      <c r="P370" s="3" t="s">
        <v>31</v>
      </c>
      <c r="Q370" s="3" t="s">
        <v>1079</v>
      </c>
      <c r="R370" s="3" t="s">
        <v>68</v>
      </c>
      <c r="S370" s="3" t="s">
        <v>798</v>
      </c>
      <c r="T370" s="3">
        <v>9</v>
      </c>
      <c r="U370" s="3">
        <f>CAPSTONE_PROJECT[[#This Row],[Discharge Date]]-CAPSTONE_PROJECT[[#This Row],[Admission Date]]</f>
        <v>4</v>
      </c>
      <c r="V370" s="6">
        <f>SUM(CAPSTONE_PROJECT[[#This Row],[Room Cost]:[Treatment Cost]])</f>
        <v>16208.58</v>
      </c>
      <c r="W370" s="6">
        <f t="shared" si="5"/>
        <v>4052.145</v>
      </c>
      <c r="X370" s="3" t="str">
        <f>TEXT(CAPSTONE_PROJECT[[#This Row],[Admission Date]],"mmmm")</f>
        <v>May</v>
      </c>
      <c r="Y370" s="3" t="str">
        <f>TEXT(CAPSTONE_PROJECT[[#This Row],[Admission Date]],"yyyy")</f>
        <v>2024</v>
      </c>
      <c r="Z370" s="3" t="str">
        <f>TEXT(CAPSTONE_PROJECT[[#This Row],[Admission Date]],"mmm yyyy")</f>
        <v>May 2024</v>
      </c>
      <c r="AA370" s="3" t="str">
        <f>TEXT(CAPSTONE_PROJECT[[#This Row],[Admission Date]],"dddd")</f>
        <v>Thursday</v>
      </c>
      <c r="AB370" s="3" t="str">
        <f>IF(CAPSTONE_PROJECT[[#This Row],[Age]]&lt;=34,"Young Adults",IF(CAPSTONE_PROJECT[[#This Row],[Age]]&lt;=59,"Adults","Elders"))</f>
        <v>Adults</v>
      </c>
      <c r="AC370" s="3" t="str">
        <f>_xlfn.XLOOKUP(CAPSTONE_PROJECT[[#This Row],[Patient ID]],'Lookup table'!A:A,'Lookup table'!B:B,,0)</f>
        <v>George X Walker</v>
      </c>
      <c r="AD370" s="3" t="str">
        <f>_xlfn.XLOOKUP(CAPSTONE_PROJECT[[#This Row],[Patient ID]],'Lookup table'!A:A,'Lookup table'!C:C,,0)</f>
        <v>Male</v>
      </c>
      <c r="AE370" s="3" t="str">
        <f>IF(CAPSTONE_PROJECT[[#This Row],[Length of Stay]]&lt;=3,"Short Stay",IF(CAPSTONE_PROJECT[[#This Row],[Length of Stay]]&lt;=7,"Moderate Stay",IF(CAPSTONE_PROJECT[[#This Row],[Length of Stay]]&lt;=14,"Long Stay","Extended Stay")))</f>
        <v>Moderate Stay</v>
      </c>
    </row>
    <row r="371" spans="1:31" x14ac:dyDescent="0.3">
      <c r="A371" s="3" t="s">
        <v>799</v>
      </c>
      <c r="B371" s="4">
        <v>45992</v>
      </c>
      <c r="C371" s="4">
        <v>46006</v>
      </c>
      <c r="D371" s="4">
        <v>34025</v>
      </c>
      <c r="E371" s="3">
        <v>33</v>
      </c>
      <c r="F371" s="3" t="s">
        <v>33</v>
      </c>
      <c r="G371" s="3" t="s">
        <v>126</v>
      </c>
      <c r="H371" s="3" t="s">
        <v>12</v>
      </c>
      <c r="I371" s="3" t="s">
        <v>37</v>
      </c>
      <c r="J371" s="3" t="s">
        <v>73</v>
      </c>
      <c r="K371" s="3" t="s">
        <v>24</v>
      </c>
      <c r="L371" s="6">
        <v>1983.44</v>
      </c>
      <c r="M371" s="6">
        <v>1608.33</v>
      </c>
      <c r="N371" s="6">
        <v>2747.04</v>
      </c>
      <c r="O371" s="6">
        <v>7648.49</v>
      </c>
      <c r="P371" s="3" t="s">
        <v>51</v>
      </c>
      <c r="Q371" s="3" t="s">
        <v>1076</v>
      </c>
      <c r="R371" s="3" t="s">
        <v>10</v>
      </c>
      <c r="S371" s="3" t="s">
        <v>800</v>
      </c>
      <c r="T371" s="3">
        <v>3</v>
      </c>
      <c r="U371" s="3">
        <f>CAPSTONE_PROJECT[[#This Row],[Discharge Date]]-CAPSTONE_PROJECT[[#This Row],[Admission Date]]</f>
        <v>14</v>
      </c>
      <c r="V371" s="6">
        <f>SUM(CAPSTONE_PROJECT[[#This Row],[Room Cost]:[Treatment Cost]])</f>
        <v>13987.3</v>
      </c>
      <c r="W371" s="6">
        <f t="shared" si="5"/>
        <v>999.09285714285704</v>
      </c>
      <c r="X371" s="3" t="str">
        <f>TEXT(CAPSTONE_PROJECT[[#This Row],[Admission Date]],"mmmm")</f>
        <v>December</v>
      </c>
      <c r="Y371" s="3" t="str">
        <f>TEXT(CAPSTONE_PROJECT[[#This Row],[Admission Date]],"yyyy")</f>
        <v>2025</v>
      </c>
      <c r="Z371" s="3" t="str">
        <f>TEXT(CAPSTONE_PROJECT[[#This Row],[Admission Date]],"mmm yyyy")</f>
        <v>Dec 2025</v>
      </c>
      <c r="AA371" s="3" t="str">
        <f>TEXT(CAPSTONE_PROJECT[[#This Row],[Admission Date]],"dddd")</f>
        <v>Monday</v>
      </c>
      <c r="AB371" s="3" t="str">
        <f>IF(CAPSTONE_PROJECT[[#This Row],[Age]]&lt;=34,"Young Adults",IF(CAPSTONE_PROJECT[[#This Row],[Age]]&lt;=59,"Adults","Elders"))</f>
        <v>Young Adults</v>
      </c>
      <c r="AC371" s="3" t="str">
        <f>_xlfn.XLOOKUP(CAPSTONE_PROJECT[[#This Row],[Patient ID]],'Lookup table'!A:A,'Lookup table'!B:B,,0)</f>
        <v>Charlotte Robinson</v>
      </c>
      <c r="AD371" s="3" t="str">
        <f>_xlfn.XLOOKUP(CAPSTONE_PROJECT[[#This Row],[Patient ID]],'Lookup table'!A:A,'Lookup table'!C:C,,0)</f>
        <v>Female</v>
      </c>
      <c r="AE371" s="3" t="str">
        <f>IF(CAPSTONE_PROJECT[[#This Row],[Length of Stay]]&lt;=3,"Short Stay",IF(CAPSTONE_PROJECT[[#This Row],[Length of Stay]]&lt;=7,"Moderate Stay",IF(CAPSTONE_PROJECT[[#This Row],[Length of Stay]]&lt;=14,"Long Stay","Extended Stay")))</f>
        <v>Long Stay</v>
      </c>
    </row>
    <row r="372" spans="1:31" x14ac:dyDescent="0.3">
      <c r="A372" s="3" t="s">
        <v>801</v>
      </c>
      <c r="B372" s="4">
        <v>45882</v>
      </c>
      <c r="C372" s="4">
        <v>45887</v>
      </c>
      <c r="D372" s="4">
        <v>34619</v>
      </c>
      <c r="E372" s="3">
        <v>31</v>
      </c>
      <c r="F372" s="3" t="s">
        <v>8</v>
      </c>
      <c r="G372" s="3" t="s">
        <v>27</v>
      </c>
      <c r="H372" s="3" t="s">
        <v>72</v>
      </c>
      <c r="I372" s="3" t="s">
        <v>44</v>
      </c>
      <c r="J372" s="3" t="s">
        <v>15</v>
      </c>
      <c r="K372" s="3" t="s">
        <v>50</v>
      </c>
      <c r="L372" s="6">
        <v>336.73</v>
      </c>
      <c r="M372" s="6">
        <v>1907.22</v>
      </c>
      <c r="N372" s="6">
        <v>465.62</v>
      </c>
      <c r="O372" s="6">
        <v>4831.3500000000004</v>
      </c>
      <c r="P372" s="3" t="s">
        <v>51</v>
      </c>
      <c r="Q372" s="3" t="s">
        <v>1085</v>
      </c>
      <c r="R372" s="3" t="s">
        <v>75</v>
      </c>
      <c r="S372" s="3" t="s">
        <v>802</v>
      </c>
      <c r="T372" s="3">
        <v>2</v>
      </c>
      <c r="U372" s="3">
        <f>CAPSTONE_PROJECT[[#This Row],[Discharge Date]]-CAPSTONE_PROJECT[[#This Row],[Admission Date]]</f>
        <v>5</v>
      </c>
      <c r="V372" s="6">
        <f>SUM(CAPSTONE_PROJECT[[#This Row],[Room Cost]:[Treatment Cost]])</f>
        <v>7540.92</v>
      </c>
      <c r="W372" s="6">
        <f t="shared" si="5"/>
        <v>1508.184</v>
      </c>
      <c r="X372" s="3" t="str">
        <f>TEXT(CAPSTONE_PROJECT[[#This Row],[Admission Date]],"mmmm")</f>
        <v>August</v>
      </c>
      <c r="Y372" s="3" t="str">
        <f>TEXT(CAPSTONE_PROJECT[[#This Row],[Admission Date]],"yyyy")</f>
        <v>2025</v>
      </c>
      <c r="Z372" s="3" t="str">
        <f>TEXT(CAPSTONE_PROJECT[[#This Row],[Admission Date]],"mmm yyyy")</f>
        <v>Aug 2025</v>
      </c>
      <c r="AA372" s="3" t="str">
        <f>TEXT(CAPSTONE_PROJECT[[#This Row],[Admission Date]],"dddd")</f>
        <v>Wednesday</v>
      </c>
      <c r="AB372" s="3" t="str">
        <f>IF(CAPSTONE_PROJECT[[#This Row],[Age]]&lt;=34,"Young Adults",IF(CAPSTONE_PROJECT[[#This Row],[Age]]&lt;=59,"Adults","Elders"))</f>
        <v>Young Adults</v>
      </c>
      <c r="AC372" s="3" t="str">
        <f>_xlfn.XLOOKUP(CAPSTONE_PROJECT[[#This Row],[Patient ID]],'Lookup table'!A:A,'Lookup table'!B:B,,0)</f>
        <v>Michael Martin</v>
      </c>
      <c r="AD372" s="3" t="str">
        <f>_xlfn.XLOOKUP(CAPSTONE_PROJECT[[#This Row],[Patient ID]],'Lookup table'!A:A,'Lookup table'!C:C,,0)</f>
        <v>Male</v>
      </c>
      <c r="AE372" s="3" t="str">
        <f>IF(CAPSTONE_PROJECT[[#This Row],[Length of Stay]]&lt;=3,"Short Stay",IF(CAPSTONE_PROJECT[[#This Row],[Length of Stay]]&lt;=7,"Moderate Stay",IF(CAPSTONE_PROJECT[[#This Row],[Length of Stay]]&lt;=14,"Long Stay","Extended Stay")))</f>
        <v>Moderate Stay</v>
      </c>
    </row>
    <row r="373" spans="1:31" x14ac:dyDescent="0.3">
      <c r="A373" s="3" t="s">
        <v>803</v>
      </c>
      <c r="B373" s="4">
        <v>45505</v>
      </c>
      <c r="C373" s="4">
        <v>45518</v>
      </c>
      <c r="D373" s="4">
        <v>17042</v>
      </c>
      <c r="E373" s="3">
        <v>79</v>
      </c>
      <c r="F373" s="3" t="s">
        <v>47</v>
      </c>
      <c r="G373" s="3" t="s">
        <v>78</v>
      </c>
      <c r="H373" s="3" t="s">
        <v>43</v>
      </c>
      <c r="I373" s="3" t="s">
        <v>13</v>
      </c>
      <c r="J373" s="3" t="s">
        <v>45</v>
      </c>
      <c r="K373" s="3" t="s">
        <v>65</v>
      </c>
      <c r="L373" s="6">
        <v>4040.53</v>
      </c>
      <c r="M373" s="6">
        <v>296.24</v>
      </c>
      <c r="N373" s="6">
        <v>1667.02</v>
      </c>
      <c r="O373" s="6">
        <v>14109.91</v>
      </c>
      <c r="P373" s="3" t="s">
        <v>51</v>
      </c>
      <c r="Q373" s="3" t="s">
        <v>1076</v>
      </c>
      <c r="R373" s="3" t="s">
        <v>102</v>
      </c>
      <c r="S373" s="3" t="s">
        <v>804</v>
      </c>
      <c r="T373" s="3">
        <v>2</v>
      </c>
      <c r="U373" s="3">
        <f>CAPSTONE_PROJECT[[#This Row],[Discharge Date]]-CAPSTONE_PROJECT[[#This Row],[Admission Date]]</f>
        <v>13</v>
      </c>
      <c r="V373" s="6">
        <f>SUM(CAPSTONE_PROJECT[[#This Row],[Room Cost]:[Treatment Cost]])</f>
        <v>20113.7</v>
      </c>
      <c r="W373" s="6">
        <f t="shared" si="5"/>
        <v>1547.2076923076925</v>
      </c>
      <c r="X373" s="3" t="str">
        <f>TEXT(CAPSTONE_PROJECT[[#This Row],[Admission Date]],"mmmm")</f>
        <v>August</v>
      </c>
      <c r="Y373" s="3" t="str">
        <f>TEXT(CAPSTONE_PROJECT[[#This Row],[Admission Date]],"yyyy")</f>
        <v>2024</v>
      </c>
      <c r="Z373" s="3" t="str">
        <f>TEXT(CAPSTONE_PROJECT[[#This Row],[Admission Date]],"mmm yyyy")</f>
        <v>Aug 2024</v>
      </c>
      <c r="AA373" s="3" t="str">
        <f>TEXT(CAPSTONE_PROJECT[[#This Row],[Admission Date]],"dddd")</f>
        <v>Thursday</v>
      </c>
      <c r="AB373" s="3" t="str">
        <f>IF(CAPSTONE_PROJECT[[#This Row],[Age]]&lt;=34,"Young Adults",IF(CAPSTONE_PROJECT[[#This Row],[Age]]&lt;=59,"Adults","Elders"))</f>
        <v>Elders</v>
      </c>
      <c r="AC373" s="3" t="str">
        <f>_xlfn.XLOOKUP(CAPSTONE_PROJECT[[#This Row],[Patient ID]],'Lookup table'!A:A,'Lookup table'!B:B,,0)</f>
        <v>Ava Jones</v>
      </c>
      <c r="AD373" s="3" t="str">
        <f>_xlfn.XLOOKUP(CAPSTONE_PROJECT[[#This Row],[Patient ID]],'Lookup table'!A:A,'Lookup table'!C:C,,0)</f>
        <v>Female</v>
      </c>
      <c r="AE373" s="3" t="str">
        <f>IF(CAPSTONE_PROJECT[[#This Row],[Length of Stay]]&lt;=3,"Short Stay",IF(CAPSTONE_PROJECT[[#This Row],[Length of Stay]]&lt;=7,"Moderate Stay",IF(CAPSTONE_PROJECT[[#This Row],[Length of Stay]]&lt;=14,"Long Stay","Extended Stay")))</f>
        <v>Long Stay</v>
      </c>
    </row>
    <row r="374" spans="1:31" x14ac:dyDescent="0.3">
      <c r="A374" s="3" t="s">
        <v>805</v>
      </c>
      <c r="B374" s="4">
        <v>45394</v>
      </c>
      <c r="C374" s="4">
        <v>45406</v>
      </c>
      <c r="D374" s="4">
        <v>25397</v>
      </c>
      <c r="E374" s="3">
        <v>56</v>
      </c>
      <c r="F374" s="3" t="s">
        <v>47</v>
      </c>
      <c r="G374" s="3" t="s">
        <v>67</v>
      </c>
      <c r="H374" s="3" t="s">
        <v>29</v>
      </c>
      <c r="I374" s="3" t="s">
        <v>37</v>
      </c>
      <c r="J374" s="3" t="s">
        <v>23</v>
      </c>
      <c r="K374" s="3" t="s">
        <v>50</v>
      </c>
      <c r="L374" s="6">
        <v>425.12</v>
      </c>
      <c r="M374" s="6">
        <v>1673.49</v>
      </c>
      <c r="N374" s="6">
        <v>2750.07</v>
      </c>
      <c r="O374" s="6">
        <v>3492.07</v>
      </c>
      <c r="P374" s="3" t="s">
        <v>16</v>
      </c>
      <c r="Q374" s="3" t="s">
        <v>1079</v>
      </c>
      <c r="R374" s="3" t="s">
        <v>75</v>
      </c>
      <c r="S374" s="3" t="s">
        <v>806</v>
      </c>
      <c r="T374" s="3">
        <v>2</v>
      </c>
      <c r="U374" s="3">
        <f>CAPSTONE_PROJECT[[#This Row],[Discharge Date]]-CAPSTONE_PROJECT[[#This Row],[Admission Date]]</f>
        <v>12</v>
      </c>
      <c r="V374" s="6">
        <f>SUM(CAPSTONE_PROJECT[[#This Row],[Room Cost]:[Treatment Cost]])</f>
        <v>8340.75</v>
      </c>
      <c r="W374" s="6">
        <f t="shared" si="5"/>
        <v>695.0625</v>
      </c>
      <c r="X374" s="3" t="str">
        <f>TEXT(CAPSTONE_PROJECT[[#This Row],[Admission Date]],"mmmm")</f>
        <v>April</v>
      </c>
      <c r="Y374" s="3" t="str">
        <f>TEXT(CAPSTONE_PROJECT[[#This Row],[Admission Date]],"yyyy")</f>
        <v>2024</v>
      </c>
      <c r="Z374" s="3" t="str">
        <f>TEXT(CAPSTONE_PROJECT[[#This Row],[Admission Date]],"mmm yyyy")</f>
        <v>Apr 2024</v>
      </c>
      <c r="AA374" s="3" t="str">
        <f>TEXT(CAPSTONE_PROJECT[[#This Row],[Admission Date]],"dddd")</f>
        <v>Friday</v>
      </c>
      <c r="AB374" s="3" t="str">
        <f>IF(CAPSTONE_PROJECT[[#This Row],[Age]]&lt;=34,"Young Adults",IF(CAPSTONE_PROJECT[[#This Row],[Age]]&lt;=59,"Adults","Elders"))</f>
        <v>Adults</v>
      </c>
      <c r="AC374" s="3" t="str">
        <f>_xlfn.XLOOKUP(CAPSTONE_PROJECT[[#This Row],[Patient ID]],'Lookup table'!A:A,'Lookup table'!B:B,,0)</f>
        <v>Noah White</v>
      </c>
      <c r="AD374" s="3" t="str">
        <f>_xlfn.XLOOKUP(CAPSTONE_PROJECT[[#This Row],[Patient ID]],'Lookup table'!A:A,'Lookup table'!C:C,,0)</f>
        <v>Male</v>
      </c>
      <c r="AE374" s="3" t="str">
        <f>IF(CAPSTONE_PROJECT[[#This Row],[Length of Stay]]&lt;=3,"Short Stay",IF(CAPSTONE_PROJECT[[#This Row],[Length of Stay]]&lt;=7,"Moderate Stay",IF(CAPSTONE_PROJECT[[#This Row],[Length of Stay]]&lt;=14,"Long Stay","Extended Stay")))</f>
        <v>Long Stay</v>
      </c>
    </row>
    <row r="375" spans="1:31" x14ac:dyDescent="0.3">
      <c r="A375" s="3" t="s">
        <v>807</v>
      </c>
      <c r="B375" s="4">
        <v>45453</v>
      </c>
      <c r="C375" s="4">
        <v>45467</v>
      </c>
      <c r="D375" s="4">
        <v>30890</v>
      </c>
      <c r="E375" s="3">
        <v>41</v>
      </c>
      <c r="F375" s="3" t="s">
        <v>33</v>
      </c>
      <c r="G375" s="3" t="s">
        <v>9</v>
      </c>
      <c r="H375" s="3" t="s">
        <v>114</v>
      </c>
      <c r="I375" s="3" t="s">
        <v>37</v>
      </c>
      <c r="J375" s="3" t="s">
        <v>64</v>
      </c>
      <c r="K375" s="3" t="s">
        <v>15</v>
      </c>
      <c r="L375" s="6">
        <v>1373.36</v>
      </c>
      <c r="M375" s="6">
        <v>141.97</v>
      </c>
      <c r="N375" s="6">
        <v>2806.16</v>
      </c>
      <c r="O375" s="6">
        <v>1794.95</v>
      </c>
      <c r="P375" s="3" t="s">
        <v>51</v>
      </c>
      <c r="Q375" s="3" t="s">
        <v>1084</v>
      </c>
      <c r="R375" s="3" t="s">
        <v>75</v>
      </c>
      <c r="S375" s="3" t="s">
        <v>808</v>
      </c>
      <c r="T375" s="3">
        <v>2</v>
      </c>
      <c r="U375" s="3">
        <f>CAPSTONE_PROJECT[[#This Row],[Discharge Date]]-CAPSTONE_PROJECT[[#This Row],[Admission Date]]</f>
        <v>14</v>
      </c>
      <c r="V375" s="6">
        <f>SUM(CAPSTONE_PROJECT[[#This Row],[Room Cost]:[Treatment Cost]])</f>
        <v>6116.44</v>
      </c>
      <c r="W375" s="6">
        <f t="shared" si="5"/>
        <v>436.88857142857142</v>
      </c>
      <c r="X375" s="3" t="str">
        <f>TEXT(CAPSTONE_PROJECT[[#This Row],[Admission Date]],"mmmm")</f>
        <v>June</v>
      </c>
      <c r="Y375" s="3" t="str">
        <f>TEXT(CAPSTONE_PROJECT[[#This Row],[Admission Date]],"yyyy")</f>
        <v>2024</v>
      </c>
      <c r="Z375" s="3" t="str">
        <f>TEXT(CAPSTONE_PROJECT[[#This Row],[Admission Date]],"mmm yyyy")</f>
        <v>Jun 2024</v>
      </c>
      <c r="AA375" s="3" t="str">
        <f>TEXT(CAPSTONE_PROJECT[[#This Row],[Admission Date]],"dddd")</f>
        <v>Monday</v>
      </c>
      <c r="AB375" s="3" t="str">
        <f>IF(CAPSTONE_PROJECT[[#This Row],[Age]]&lt;=34,"Young Adults",IF(CAPSTONE_PROJECT[[#This Row],[Age]]&lt;=59,"Adults","Elders"))</f>
        <v>Adults</v>
      </c>
      <c r="AC375" s="3" t="str">
        <f>_xlfn.XLOOKUP(CAPSTONE_PROJECT[[#This Row],[Patient ID]],'Lookup table'!A:A,'Lookup table'!B:B,,0)</f>
        <v>Ava Brown</v>
      </c>
      <c r="AD375" s="3" t="str">
        <f>_xlfn.XLOOKUP(CAPSTONE_PROJECT[[#This Row],[Patient ID]],'Lookup table'!A:A,'Lookup table'!C:C,,0)</f>
        <v>Female</v>
      </c>
      <c r="AE375" s="3" t="str">
        <f>IF(CAPSTONE_PROJECT[[#This Row],[Length of Stay]]&lt;=3,"Short Stay",IF(CAPSTONE_PROJECT[[#This Row],[Length of Stay]]&lt;=7,"Moderate Stay",IF(CAPSTONE_PROJECT[[#This Row],[Length of Stay]]&lt;=14,"Long Stay","Extended Stay")))</f>
        <v>Long Stay</v>
      </c>
    </row>
    <row r="376" spans="1:31" x14ac:dyDescent="0.3">
      <c r="A376" s="3" t="s">
        <v>809</v>
      </c>
      <c r="B376" s="4">
        <v>45520</v>
      </c>
      <c r="C376" s="4">
        <v>45523</v>
      </c>
      <c r="D376" s="4">
        <v>18640</v>
      </c>
      <c r="E376" s="3">
        <v>75</v>
      </c>
      <c r="F376" s="3" t="s">
        <v>47</v>
      </c>
      <c r="G376" s="3" t="s">
        <v>67</v>
      </c>
      <c r="H376" s="3" t="s">
        <v>111</v>
      </c>
      <c r="I376" s="3" t="s">
        <v>22</v>
      </c>
      <c r="J376" s="3" t="s">
        <v>14</v>
      </c>
      <c r="K376" s="3" t="s">
        <v>15</v>
      </c>
      <c r="L376" s="6">
        <v>4798.63</v>
      </c>
      <c r="M376" s="6">
        <v>494.74</v>
      </c>
      <c r="N376" s="6">
        <v>2050.34</v>
      </c>
      <c r="O376" s="6">
        <v>13598.09</v>
      </c>
      <c r="P376" s="3" t="s">
        <v>16</v>
      </c>
      <c r="Q376" s="3" t="s">
        <v>1082</v>
      </c>
      <c r="R376" s="3" t="s">
        <v>68</v>
      </c>
      <c r="S376" s="3" t="s">
        <v>810</v>
      </c>
      <c r="T376" s="3">
        <v>9</v>
      </c>
      <c r="U376" s="3">
        <f>CAPSTONE_PROJECT[[#This Row],[Discharge Date]]-CAPSTONE_PROJECT[[#This Row],[Admission Date]]</f>
        <v>3</v>
      </c>
      <c r="V376" s="6">
        <f>SUM(CAPSTONE_PROJECT[[#This Row],[Room Cost]:[Treatment Cost]])</f>
        <v>20941.8</v>
      </c>
      <c r="W376" s="6">
        <f t="shared" si="5"/>
        <v>6980.5999999999995</v>
      </c>
      <c r="X376" s="3" t="str">
        <f>TEXT(CAPSTONE_PROJECT[[#This Row],[Admission Date]],"mmmm")</f>
        <v>August</v>
      </c>
      <c r="Y376" s="3" t="str">
        <f>TEXT(CAPSTONE_PROJECT[[#This Row],[Admission Date]],"yyyy")</f>
        <v>2024</v>
      </c>
      <c r="Z376" s="3" t="str">
        <f>TEXT(CAPSTONE_PROJECT[[#This Row],[Admission Date]],"mmm yyyy")</f>
        <v>Aug 2024</v>
      </c>
      <c r="AA376" s="3" t="str">
        <f>TEXT(CAPSTONE_PROJECT[[#This Row],[Admission Date]],"dddd")</f>
        <v>Friday</v>
      </c>
      <c r="AB376" s="3" t="str">
        <f>IF(CAPSTONE_PROJECT[[#This Row],[Age]]&lt;=34,"Young Adults",IF(CAPSTONE_PROJECT[[#This Row],[Age]]&lt;=59,"Adults","Elders"))</f>
        <v>Elders</v>
      </c>
      <c r="AC376" s="3" t="str">
        <f>_xlfn.XLOOKUP(CAPSTONE_PROJECT[[#This Row],[Patient ID]],'Lookup table'!A:A,'Lookup table'!B:B,,0)</f>
        <v>Lucas I Thomas</v>
      </c>
      <c r="AD376" s="3" t="str">
        <f>_xlfn.XLOOKUP(CAPSTONE_PROJECT[[#This Row],[Patient ID]],'Lookup table'!A:A,'Lookup table'!C:C,,0)</f>
        <v>Male</v>
      </c>
      <c r="AE376" s="3" t="str">
        <f>IF(CAPSTONE_PROJECT[[#This Row],[Length of Stay]]&lt;=3,"Short Stay",IF(CAPSTONE_PROJECT[[#This Row],[Length of Stay]]&lt;=7,"Moderate Stay",IF(CAPSTONE_PROJECT[[#This Row],[Length of Stay]]&lt;=14,"Long Stay","Extended Stay")))</f>
        <v>Short Stay</v>
      </c>
    </row>
    <row r="377" spans="1:31" x14ac:dyDescent="0.3">
      <c r="A377" s="3" t="s">
        <v>811</v>
      </c>
      <c r="B377" s="4">
        <v>45389</v>
      </c>
      <c r="C377" s="4">
        <v>45402</v>
      </c>
      <c r="D377" s="4">
        <v>31832</v>
      </c>
      <c r="E377" s="3">
        <v>39</v>
      </c>
      <c r="F377" s="3" t="s">
        <v>8</v>
      </c>
      <c r="G377" s="3" t="s">
        <v>78</v>
      </c>
      <c r="H377" s="3" t="s">
        <v>12</v>
      </c>
      <c r="I377" s="3" t="s">
        <v>37</v>
      </c>
      <c r="J377" s="3" t="s">
        <v>15</v>
      </c>
      <c r="K377" s="3" t="s">
        <v>50</v>
      </c>
      <c r="L377" s="6">
        <v>462.54</v>
      </c>
      <c r="M377" s="6">
        <v>515.09</v>
      </c>
      <c r="N377" s="6">
        <v>1094.46</v>
      </c>
      <c r="O377" s="6">
        <v>3498.32</v>
      </c>
      <c r="P377" s="3" t="s">
        <v>51</v>
      </c>
      <c r="Q377" s="3" t="s">
        <v>1084</v>
      </c>
      <c r="R377" s="3" t="s">
        <v>75</v>
      </c>
      <c r="S377" s="3" t="s">
        <v>812</v>
      </c>
      <c r="T377" s="3">
        <v>5</v>
      </c>
      <c r="U377" s="3">
        <f>CAPSTONE_PROJECT[[#This Row],[Discharge Date]]-CAPSTONE_PROJECT[[#This Row],[Admission Date]]</f>
        <v>13</v>
      </c>
      <c r="V377" s="6">
        <f>SUM(CAPSTONE_PROJECT[[#This Row],[Room Cost]:[Treatment Cost]])</f>
        <v>5570.41</v>
      </c>
      <c r="W377" s="6">
        <f t="shared" si="5"/>
        <v>428.4930769230769</v>
      </c>
      <c r="X377" s="3" t="str">
        <f>TEXT(CAPSTONE_PROJECT[[#This Row],[Admission Date]],"mmmm")</f>
        <v>April</v>
      </c>
      <c r="Y377" s="3" t="str">
        <f>TEXT(CAPSTONE_PROJECT[[#This Row],[Admission Date]],"yyyy")</f>
        <v>2024</v>
      </c>
      <c r="Z377" s="3" t="str">
        <f>TEXT(CAPSTONE_PROJECT[[#This Row],[Admission Date]],"mmm yyyy")</f>
        <v>Apr 2024</v>
      </c>
      <c r="AA377" s="3" t="str">
        <f>TEXT(CAPSTONE_PROJECT[[#This Row],[Admission Date]],"dddd")</f>
        <v>Sunday</v>
      </c>
      <c r="AB377" s="3" t="str">
        <f>IF(CAPSTONE_PROJECT[[#This Row],[Age]]&lt;=34,"Young Adults",IF(CAPSTONE_PROJECT[[#This Row],[Age]]&lt;=59,"Adults","Elders"))</f>
        <v>Adults</v>
      </c>
      <c r="AC377" s="3" t="str">
        <f>_xlfn.XLOOKUP(CAPSTONE_PROJECT[[#This Row],[Patient ID]],'Lookup table'!A:A,'Lookup table'!B:B,,0)</f>
        <v>Sarah R Smith</v>
      </c>
      <c r="AD377" s="3" t="str">
        <f>_xlfn.XLOOKUP(CAPSTONE_PROJECT[[#This Row],[Patient ID]],'Lookup table'!A:A,'Lookup table'!C:C,,0)</f>
        <v>Female</v>
      </c>
      <c r="AE377" s="3" t="str">
        <f>IF(CAPSTONE_PROJECT[[#This Row],[Length of Stay]]&lt;=3,"Short Stay",IF(CAPSTONE_PROJECT[[#This Row],[Length of Stay]]&lt;=7,"Moderate Stay",IF(CAPSTONE_PROJECT[[#This Row],[Length of Stay]]&lt;=14,"Long Stay","Extended Stay")))</f>
        <v>Long Stay</v>
      </c>
    </row>
    <row r="378" spans="1:31" x14ac:dyDescent="0.3">
      <c r="A378" s="3" t="s">
        <v>813</v>
      </c>
      <c r="B378" s="4">
        <v>45644</v>
      </c>
      <c r="C378" s="4">
        <v>45651</v>
      </c>
      <c r="D378" s="4">
        <v>29814</v>
      </c>
      <c r="E378" s="3">
        <v>44</v>
      </c>
      <c r="F378" s="3" t="s">
        <v>8</v>
      </c>
      <c r="G378" s="3" t="s">
        <v>34</v>
      </c>
      <c r="H378" s="3" t="s">
        <v>21</v>
      </c>
      <c r="I378" s="3" t="s">
        <v>13</v>
      </c>
      <c r="J378" s="3" t="s">
        <v>14</v>
      </c>
      <c r="K378" s="3" t="s">
        <v>24</v>
      </c>
      <c r="L378" s="6">
        <v>3658.23</v>
      </c>
      <c r="M378" s="6">
        <v>2022.17</v>
      </c>
      <c r="N378" s="6">
        <v>2620.2800000000002</v>
      </c>
      <c r="O378" s="6">
        <v>2315.9499999999998</v>
      </c>
      <c r="P378" s="3" t="s">
        <v>16</v>
      </c>
      <c r="Q378" s="3" t="s">
        <v>1081</v>
      </c>
      <c r="R378" s="3" t="s">
        <v>41</v>
      </c>
      <c r="S378" s="3" t="s">
        <v>814</v>
      </c>
      <c r="T378" s="3">
        <v>8</v>
      </c>
      <c r="U378" s="3">
        <f>CAPSTONE_PROJECT[[#This Row],[Discharge Date]]-CAPSTONE_PROJECT[[#This Row],[Admission Date]]</f>
        <v>7</v>
      </c>
      <c r="V378" s="6">
        <f>SUM(CAPSTONE_PROJECT[[#This Row],[Room Cost]:[Treatment Cost]])</f>
        <v>10616.630000000001</v>
      </c>
      <c r="W378" s="6">
        <f t="shared" si="5"/>
        <v>1516.6614285714288</v>
      </c>
      <c r="X378" s="3" t="str">
        <f>TEXT(CAPSTONE_PROJECT[[#This Row],[Admission Date]],"mmmm")</f>
        <v>December</v>
      </c>
      <c r="Y378" s="3" t="str">
        <f>TEXT(CAPSTONE_PROJECT[[#This Row],[Admission Date]],"yyyy")</f>
        <v>2024</v>
      </c>
      <c r="Z378" s="3" t="str">
        <f>TEXT(CAPSTONE_PROJECT[[#This Row],[Admission Date]],"mmm yyyy")</f>
        <v>Dec 2024</v>
      </c>
      <c r="AA378" s="3" t="str">
        <f>TEXT(CAPSTONE_PROJECT[[#This Row],[Admission Date]],"dddd")</f>
        <v>Wednesday</v>
      </c>
      <c r="AB378" s="3" t="str">
        <f>IF(CAPSTONE_PROJECT[[#This Row],[Age]]&lt;=34,"Young Adults",IF(CAPSTONE_PROJECT[[#This Row],[Age]]&lt;=59,"Adults","Elders"))</f>
        <v>Adults</v>
      </c>
      <c r="AC378" s="3" t="str">
        <f>_xlfn.XLOOKUP(CAPSTONE_PROJECT[[#This Row],[Patient ID]],'Lookup table'!A:A,'Lookup table'!B:B,,0)</f>
        <v>Daniel U Thomas</v>
      </c>
      <c r="AD378" s="3" t="str">
        <f>_xlfn.XLOOKUP(CAPSTONE_PROJECT[[#This Row],[Patient ID]],'Lookup table'!A:A,'Lookup table'!C:C,,0)</f>
        <v>Male</v>
      </c>
      <c r="AE378" s="3" t="str">
        <f>IF(CAPSTONE_PROJECT[[#This Row],[Length of Stay]]&lt;=3,"Short Stay",IF(CAPSTONE_PROJECT[[#This Row],[Length of Stay]]&lt;=7,"Moderate Stay",IF(CAPSTONE_PROJECT[[#This Row],[Length of Stay]]&lt;=14,"Long Stay","Extended Stay")))</f>
        <v>Moderate Stay</v>
      </c>
    </row>
    <row r="379" spans="1:31" x14ac:dyDescent="0.3">
      <c r="A379" s="3" t="s">
        <v>815</v>
      </c>
      <c r="B379" s="4">
        <v>45855</v>
      </c>
      <c r="C379" s="4">
        <v>45865</v>
      </c>
      <c r="D379" s="4">
        <v>27064</v>
      </c>
      <c r="E379" s="3">
        <v>52</v>
      </c>
      <c r="F379" s="3" t="s">
        <v>18</v>
      </c>
      <c r="G379" s="3" t="s">
        <v>78</v>
      </c>
      <c r="H379" s="3" t="s">
        <v>114</v>
      </c>
      <c r="I379" s="3" t="s">
        <v>44</v>
      </c>
      <c r="J379" s="3" t="s">
        <v>73</v>
      </c>
      <c r="K379" s="3" t="s">
        <v>24</v>
      </c>
      <c r="L379" s="6">
        <v>4464.68</v>
      </c>
      <c r="M379" s="6">
        <v>350.01</v>
      </c>
      <c r="N379" s="6">
        <v>2414.4299999999998</v>
      </c>
      <c r="O379" s="6">
        <v>9568.42</v>
      </c>
      <c r="P379" s="3" t="s">
        <v>16</v>
      </c>
      <c r="Q379" s="3" t="s">
        <v>1079</v>
      </c>
      <c r="R379" s="3" t="s">
        <v>102</v>
      </c>
      <c r="S379" s="3" t="s">
        <v>816</v>
      </c>
      <c r="T379" s="3">
        <v>2</v>
      </c>
      <c r="U379" s="3">
        <f>CAPSTONE_PROJECT[[#This Row],[Discharge Date]]-CAPSTONE_PROJECT[[#This Row],[Admission Date]]</f>
        <v>10</v>
      </c>
      <c r="V379" s="6">
        <f>SUM(CAPSTONE_PROJECT[[#This Row],[Room Cost]:[Treatment Cost]])</f>
        <v>16797.54</v>
      </c>
      <c r="W379" s="6">
        <f t="shared" si="5"/>
        <v>1679.7540000000001</v>
      </c>
      <c r="X379" s="3" t="str">
        <f>TEXT(CAPSTONE_PROJECT[[#This Row],[Admission Date]],"mmmm")</f>
        <v>July</v>
      </c>
      <c r="Y379" s="3" t="str">
        <f>TEXT(CAPSTONE_PROJECT[[#This Row],[Admission Date]],"yyyy")</f>
        <v>2025</v>
      </c>
      <c r="Z379" s="3" t="str">
        <f>TEXT(CAPSTONE_PROJECT[[#This Row],[Admission Date]],"mmm yyyy")</f>
        <v>Jul 2025</v>
      </c>
      <c r="AA379" s="3" t="str">
        <f>TEXT(CAPSTONE_PROJECT[[#This Row],[Admission Date]],"dddd")</f>
        <v>Thursday</v>
      </c>
      <c r="AB379" s="3" t="str">
        <f>IF(CAPSTONE_PROJECT[[#This Row],[Age]]&lt;=34,"Young Adults",IF(CAPSTONE_PROJECT[[#This Row],[Age]]&lt;=59,"Adults","Elders"))</f>
        <v>Adults</v>
      </c>
      <c r="AC379" s="3" t="str">
        <f>_xlfn.XLOOKUP(CAPSTONE_PROJECT[[#This Row],[Patient ID]],'Lookup table'!A:A,'Lookup table'!B:B,,0)</f>
        <v>Chloe Clarke</v>
      </c>
      <c r="AD379" s="3" t="str">
        <f>_xlfn.XLOOKUP(CAPSTONE_PROJECT[[#This Row],[Patient ID]],'Lookup table'!A:A,'Lookup table'!C:C,,0)</f>
        <v>Female</v>
      </c>
      <c r="AE379" s="3" t="str">
        <f>IF(CAPSTONE_PROJECT[[#This Row],[Length of Stay]]&lt;=3,"Short Stay",IF(CAPSTONE_PROJECT[[#This Row],[Length of Stay]]&lt;=7,"Moderate Stay",IF(CAPSTONE_PROJECT[[#This Row],[Length of Stay]]&lt;=14,"Long Stay","Extended Stay")))</f>
        <v>Long Stay</v>
      </c>
    </row>
    <row r="380" spans="1:31" x14ac:dyDescent="0.3">
      <c r="A380" s="3" t="s">
        <v>817</v>
      </c>
      <c r="B380" s="4">
        <v>45845</v>
      </c>
      <c r="C380" s="4">
        <v>45865</v>
      </c>
      <c r="D380" s="4">
        <v>36134</v>
      </c>
      <c r="E380" s="3">
        <v>27</v>
      </c>
      <c r="F380" s="3" t="s">
        <v>18</v>
      </c>
      <c r="G380" s="3" t="s">
        <v>48</v>
      </c>
      <c r="H380" s="3" t="s">
        <v>111</v>
      </c>
      <c r="I380" s="3" t="s">
        <v>22</v>
      </c>
      <c r="J380" s="3" t="s">
        <v>45</v>
      </c>
      <c r="K380" s="3" t="s">
        <v>65</v>
      </c>
      <c r="L380" s="6">
        <v>1263.3800000000001</v>
      </c>
      <c r="M380" s="6">
        <v>1712.01</v>
      </c>
      <c r="N380" s="6">
        <v>1302.98</v>
      </c>
      <c r="O380" s="6">
        <v>2225.17</v>
      </c>
      <c r="P380" s="3" t="s">
        <v>16</v>
      </c>
      <c r="Q380" s="3" t="s">
        <v>1078</v>
      </c>
      <c r="R380" s="3" t="s">
        <v>62</v>
      </c>
      <c r="S380" s="3" t="s">
        <v>818</v>
      </c>
      <c r="T380" s="3">
        <v>9</v>
      </c>
      <c r="U380" s="3">
        <f>CAPSTONE_PROJECT[[#This Row],[Discharge Date]]-CAPSTONE_PROJECT[[#This Row],[Admission Date]]</f>
        <v>20</v>
      </c>
      <c r="V380" s="6">
        <f>SUM(CAPSTONE_PROJECT[[#This Row],[Room Cost]:[Treatment Cost]])</f>
        <v>6503.5400000000009</v>
      </c>
      <c r="W380" s="6">
        <f t="shared" si="5"/>
        <v>325.17700000000002</v>
      </c>
      <c r="X380" s="3" t="str">
        <f>TEXT(CAPSTONE_PROJECT[[#This Row],[Admission Date]],"mmmm")</f>
        <v>July</v>
      </c>
      <c r="Y380" s="3" t="str">
        <f>TEXT(CAPSTONE_PROJECT[[#This Row],[Admission Date]],"yyyy")</f>
        <v>2025</v>
      </c>
      <c r="Z380" s="3" t="str">
        <f>TEXT(CAPSTONE_PROJECT[[#This Row],[Admission Date]],"mmm yyyy")</f>
        <v>Jul 2025</v>
      </c>
      <c r="AA380" s="3" t="str">
        <f>TEXT(CAPSTONE_PROJECT[[#This Row],[Admission Date]],"dddd")</f>
        <v>Monday</v>
      </c>
      <c r="AB380" s="3" t="str">
        <f>IF(CAPSTONE_PROJECT[[#This Row],[Age]]&lt;=34,"Young Adults",IF(CAPSTONE_PROJECT[[#This Row],[Age]]&lt;=59,"Adults","Elders"))</f>
        <v>Young Adults</v>
      </c>
      <c r="AC380" s="3" t="str">
        <f>_xlfn.XLOOKUP(CAPSTONE_PROJECT[[#This Row],[Patient ID]],'Lookup table'!A:A,'Lookup table'!B:B,,0)</f>
        <v>Michael S Brown</v>
      </c>
      <c r="AD380" s="3" t="str">
        <f>_xlfn.XLOOKUP(CAPSTONE_PROJECT[[#This Row],[Patient ID]],'Lookup table'!A:A,'Lookup table'!C:C,,0)</f>
        <v>Male</v>
      </c>
      <c r="AE380" s="3" t="str">
        <f>IF(CAPSTONE_PROJECT[[#This Row],[Length of Stay]]&lt;=3,"Short Stay",IF(CAPSTONE_PROJECT[[#This Row],[Length of Stay]]&lt;=7,"Moderate Stay",IF(CAPSTONE_PROJECT[[#This Row],[Length of Stay]]&lt;=14,"Long Stay","Extended Stay")))</f>
        <v>Extended Stay</v>
      </c>
    </row>
    <row r="381" spans="1:31" x14ac:dyDescent="0.3">
      <c r="A381" s="3" t="s">
        <v>819</v>
      </c>
      <c r="B381" s="4">
        <v>45721</v>
      </c>
      <c r="C381" s="4">
        <v>45734</v>
      </c>
      <c r="D381" s="4">
        <v>34779</v>
      </c>
      <c r="E381" s="3">
        <v>31</v>
      </c>
      <c r="F381" s="3" t="s">
        <v>18</v>
      </c>
      <c r="G381" s="3" t="s">
        <v>40</v>
      </c>
      <c r="H381" s="3" t="s">
        <v>21</v>
      </c>
      <c r="I381" s="3" t="s">
        <v>37</v>
      </c>
      <c r="J381" s="3" t="s">
        <v>14</v>
      </c>
      <c r="K381" s="3" t="s">
        <v>24</v>
      </c>
      <c r="L381" s="6">
        <v>3982.22</v>
      </c>
      <c r="M381" s="6">
        <v>931.94</v>
      </c>
      <c r="N381" s="6">
        <v>1072.3399999999999</v>
      </c>
      <c r="O381" s="6">
        <v>9191.61</v>
      </c>
      <c r="P381" s="3" t="s">
        <v>31</v>
      </c>
      <c r="Q381" s="3" t="s">
        <v>1079</v>
      </c>
      <c r="R381" s="3" t="s">
        <v>68</v>
      </c>
      <c r="S381" s="3" t="s">
        <v>820</v>
      </c>
      <c r="T381" s="3">
        <v>5</v>
      </c>
      <c r="U381" s="3">
        <f>CAPSTONE_PROJECT[[#This Row],[Discharge Date]]-CAPSTONE_PROJECT[[#This Row],[Admission Date]]</f>
        <v>13</v>
      </c>
      <c r="V381" s="6">
        <f>SUM(CAPSTONE_PROJECT[[#This Row],[Room Cost]:[Treatment Cost]])</f>
        <v>15178.11</v>
      </c>
      <c r="W381" s="6">
        <f t="shared" si="5"/>
        <v>1167.5469230769231</v>
      </c>
      <c r="X381" s="3" t="str">
        <f>TEXT(CAPSTONE_PROJECT[[#This Row],[Admission Date]],"mmmm")</f>
        <v>March</v>
      </c>
      <c r="Y381" s="3" t="str">
        <f>TEXT(CAPSTONE_PROJECT[[#This Row],[Admission Date]],"yyyy")</f>
        <v>2025</v>
      </c>
      <c r="Z381" s="3" t="str">
        <f>TEXT(CAPSTONE_PROJECT[[#This Row],[Admission Date]],"mmm yyyy")</f>
        <v>Mar 2025</v>
      </c>
      <c r="AA381" s="3" t="str">
        <f>TEXT(CAPSTONE_PROJECT[[#This Row],[Admission Date]],"dddd")</f>
        <v>Wednesday</v>
      </c>
      <c r="AB381" s="3" t="str">
        <f>IF(CAPSTONE_PROJECT[[#This Row],[Age]]&lt;=34,"Young Adults",IF(CAPSTONE_PROJECT[[#This Row],[Age]]&lt;=59,"Adults","Elders"))</f>
        <v>Young Adults</v>
      </c>
      <c r="AC381" s="3" t="str">
        <f>_xlfn.XLOOKUP(CAPSTONE_PROJECT[[#This Row],[Patient ID]],'Lookup table'!A:A,'Lookup table'!B:B,,0)</f>
        <v>Ava Clarke</v>
      </c>
      <c r="AD381" s="3" t="str">
        <f>_xlfn.XLOOKUP(CAPSTONE_PROJECT[[#This Row],[Patient ID]],'Lookup table'!A:A,'Lookup table'!C:C,,0)</f>
        <v>Female</v>
      </c>
      <c r="AE381" s="3" t="str">
        <f>IF(CAPSTONE_PROJECT[[#This Row],[Length of Stay]]&lt;=3,"Short Stay",IF(CAPSTONE_PROJECT[[#This Row],[Length of Stay]]&lt;=7,"Moderate Stay",IF(CAPSTONE_PROJECT[[#This Row],[Length of Stay]]&lt;=14,"Long Stay","Extended Stay")))</f>
        <v>Long Stay</v>
      </c>
    </row>
    <row r="382" spans="1:31" x14ac:dyDescent="0.3">
      <c r="A382" s="3" t="s">
        <v>821</v>
      </c>
      <c r="B382" s="4">
        <v>45641</v>
      </c>
      <c r="C382" s="4">
        <v>45650</v>
      </c>
      <c r="D382" s="4">
        <v>19780</v>
      </c>
      <c r="E382" s="3">
        <v>72</v>
      </c>
      <c r="F382" s="3" t="s">
        <v>33</v>
      </c>
      <c r="G382" s="3" t="s">
        <v>67</v>
      </c>
      <c r="H382" s="3" t="s">
        <v>43</v>
      </c>
      <c r="I382" s="3" t="s">
        <v>22</v>
      </c>
      <c r="J382" s="3" t="s">
        <v>45</v>
      </c>
      <c r="K382" s="3" t="s">
        <v>15</v>
      </c>
      <c r="L382" s="6">
        <v>1047.52</v>
      </c>
      <c r="M382" s="6">
        <v>635.12</v>
      </c>
      <c r="N382" s="6">
        <v>2663.65</v>
      </c>
      <c r="O382" s="6">
        <v>7464.65</v>
      </c>
      <c r="P382" s="3" t="s">
        <v>31</v>
      </c>
      <c r="Q382" s="3" t="s">
        <v>1082</v>
      </c>
      <c r="R382" s="3" t="s">
        <v>102</v>
      </c>
      <c r="S382" s="3" t="s">
        <v>822</v>
      </c>
      <c r="T382" s="3">
        <v>10</v>
      </c>
      <c r="U382" s="3">
        <f>CAPSTONE_PROJECT[[#This Row],[Discharge Date]]-CAPSTONE_PROJECT[[#This Row],[Admission Date]]</f>
        <v>9</v>
      </c>
      <c r="V382" s="6">
        <f>SUM(CAPSTONE_PROJECT[[#This Row],[Room Cost]:[Treatment Cost]])</f>
        <v>11810.939999999999</v>
      </c>
      <c r="W382" s="6">
        <f t="shared" si="5"/>
        <v>1312.3266666666666</v>
      </c>
      <c r="X382" s="3" t="str">
        <f>TEXT(CAPSTONE_PROJECT[[#This Row],[Admission Date]],"mmmm")</f>
        <v>December</v>
      </c>
      <c r="Y382" s="3" t="str">
        <f>TEXT(CAPSTONE_PROJECT[[#This Row],[Admission Date]],"yyyy")</f>
        <v>2024</v>
      </c>
      <c r="Z382" s="3" t="str">
        <f>TEXT(CAPSTONE_PROJECT[[#This Row],[Admission Date]],"mmm yyyy")</f>
        <v>Dec 2024</v>
      </c>
      <c r="AA382" s="3" t="str">
        <f>TEXT(CAPSTONE_PROJECT[[#This Row],[Admission Date]],"dddd")</f>
        <v>Sunday</v>
      </c>
      <c r="AB382" s="3" t="str">
        <f>IF(CAPSTONE_PROJECT[[#This Row],[Age]]&lt;=34,"Young Adults",IF(CAPSTONE_PROJECT[[#This Row],[Age]]&lt;=59,"Adults","Elders"))</f>
        <v>Elders</v>
      </c>
      <c r="AC382" s="3" t="str">
        <f>_xlfn.XLOOKUP(CAPSTONE_PROJECT[[#This Row],[Patient ID]],'Lookup table'!A:A,'Lookup table'!B:B,,0)</f>
        <v>George Wood</v>
      </c>
      <c r="AD382" s="3" t="str">
        <f>_xlfn.XLOOKUP(CAPSTONE_PROJECT[[#This Row],[Patient ID]],'Lookup table'!A:A,'Lookup table'!C:C,,0)</f>
        <v>Male</v>
      </c>
      <c r="AE382" s="3" t="str">
        <f>IF(CAPSTONE_PROJECT[[#This Row],[Length of Stay]]&lt;=3,"Short Stay",IF(CAPSTONE_PROJECT[[#This Row],[Length of Stay]]&lt;=7,"Moderate Stay",IF(CAPSTONE_PROJECT[[#This Row],[Length of Stay]]&lt;=14,"Long Stay","Extended Stay")))</f>
        <v>Long Stay</v>
      </c>
    </row>
    <row r="383" spans="1:31" x14ac:dyDescent="0.3">
      <c r="A383" s="3" t="s">
        <v>823</v>
      </c>
      <c r="B383" s="4">
        <v>45721</v>
      </c>
      <c r="C383" s="4">
        <v>45730</v>
      </c>
      <c r="D383" s="4">
        <v>31301</v>
      </c>
      <c r="E383" s="3">
        <v>40</v>
      </c>
      <c r="F383" s="3" t="s">
        <v>8</v>
      </c>
      <c r="G383" s="3" t="s">
        <v>27</v>
      </c>
      <c r="H383" s="3" t="s">
        <v>29</v>
      </c>
      <c r="I383" s="3" t="s">
        <v>13</v>
      </c>
      <c r="J383" s="3" t="s">
        <v>73</v>
      </c>
      <c r="K383" s="3" t="s">
        <v>65</v>
      </c>
      <c r="L383" s="6">
        <v>964.56</v>
      </c>
      <c r="M383" s="6">
        <v>308.33999999999997</v>
      </c>
      <c r="N383" s="6">
        <v>3050.6</v>
      </c>
      <c r="O383" s="6">
        <v>11010.21</v>
      </c>
      <c r="P383" s="3" t="s">
        <v>31</v>
      </c>
      <c r="Q383" s="3" t="s">
        <v>1078</v>
      </c>
      <c r="R383" s="3" t="s">
        <v>68</v>
      </c>
      <c r="S383" s="3" t="s">
        <v>824</v>
      </c>
      <c r="T383" s="3">
        <v>4</v>
      </c>
      <c r="U383" s="3">
        <f>CAPSTONE_PROJECT[[#This Row],[Discharge Date]]-CAPSTONE_PROJECT[[#This Row],[Admission Date]]</f>
        <v>9</v>
      </c>
      <c r="V383" s="6">
        <f>SUM(CAPSTONE_PROJECT[[#This Row],[Room Cost]:[Treatment Cost]])</f>
        <v>15333.71</v>
      </c>
      <c r="W383" s="6">
        <f t="shared" si="5"/>
        <v>1703.7455555555555</v>
      </c>
      <c r="X383" s="3" t="str">
        <f>TEXT(CAPSTONE_PROJECT[[#This Row],[Admission Date]],"mmmm")</f>
        <v>March</v>
      </c>
      <c r="Y383" s="3" t="str">
        <f>TEXT(CAPSTONE_PROJECT[[#This Row],[Admission Date]],"yyyy")</f>
        <v>2025</v>
      </c>
      <c r="Z383" s="3" t="str">
        <f>TEXT(CAPSTONE_PROJECT[[#This Row],[Admission Date]],"mmm yyyy")</f>
        <v>Mar 2025</v>
      </c>
      <c r="AA383" s="3" t="str">
        <f>TEXT(CAPSTONE_PROJECT[[#This Row],[Admission Date]],"dddd")</f>
        <v>Wednesday</v>
      </c>
      <c r="AB383" s="3" t="str">
        <f>IF(CAPSTONE_PROJECT[[#This Row],[Age]]&lt;=34,"Young Adults",IF(CAPSTONE_PROJECT[[#This Row],[Age]]&lt;=59,"Adults","Elders"))</f>
        <v>Adults</v>
      </c>
      <c r="AC383" s="3" t="str">
        <f>_xlfn.XLOOKUP(CAPSTONE_PROJECT[[#This Row],[Patient ID]],'Lookup table'!A:A,'Lookup table'!B:B,,0)</f>
        <v>Grace White</v>
      </c>
      <c r="AD383" s="3" t="str">
        <f>_xlfn.XLOOKUP(CAPSTONE_PROJECT[[#This Row],[Patient ID]],'Lookup table'!A:A,'Lookup table'!C:C,,0)</f>
        <v>Female</v>
      </c>
      <c r="AE383" s="3" t="str">
        <f>IF(CAPSTONE_PROJECT[[#This Row],[Length of Stay]]&lt;=3,"Short Stay",IF(CAPSTONE_PROJECT[[#This Row],[Length of Stay]]&lt;=7,"Moderate Stay",IF(CAPSTONE_PROJECT[[#This Row],[Length of Stay]]&lt;=14,"Long Stay","Extended Stay")))</f>
        <v>Long Stay</v>
      </c>
    </row>
    <row r="384" spans="1:31" x14ac:dyDescent="0.3">
      <c r="A384" s="3" t="s">
        <v>825</v>
      </c>
      <c r="B384" s="4">
        <v>45910</v>
      </c>
      <c r="C384" s="4">
        <v>45924</v>
      </c>
      <c r="D384" s="4">
        <v>30278</v>
      </c>
      <c r="E384" s="3">
        <v>43</v>
      </c>
      <c r="F384" s="3" t="s">
        <v>33</v>
      </c>
      <c r="G384" s="3" t="s">
        <v>9</v>
      </c>
      <c r="H384" s="3" t="s">
        <v>111</v>
      </c>
      <c r="I384" s="3" t="s">
        <v>22</v>
      </c>
      <c r="J384" s="3" t="s">
        <v>14</v>
      </c>
      <c r="K384" s="3" t="s">
        <v>15</v>
      </c>
      <c r="L384" s="6">
        <v>3924.94</v>
      </c>
      <c r="M384" s="6">
        <v>556.92999999999995</v>
      </c>
      <c r="N384" s="6">
        <v>1994.33</v>
      </c>
      <c r="O384" s="6">
        <v>13666.37</v>
      </c>
      <c r="P384" s="3" t="s">
        <v>1083</v>
      </c>
      <c r="Q384" s="3" t="s">
        <v>1085</v>
      </c>
      <c r="R384" s="3" t="s">
        <v>58</v>
      </c>
      <c r="S384" s="3" t="s">
        <v>826</v>
      </c>
      <c r="T384" s="3">
        <v>9</v>
      </c>
      <c r="U384" s="3">
        <f>CAPSTONE_PROJECT[[#This Row],[Discharge Date]]-CAPSTONE_PROJECT[[#This Row],[Admission Date]]</f>
        <v>14</v>
      </c>
      <c r="V384" s="6">
        <f>SUM(CAPSTONE_PROJECT[[#This Row],[Room Cost]:[Treatment Cost]])</f>
        <v>20142.57</v>
      </c>
      <c r="W384" s="6">
        <f t="shared" si="5"/>
        <v>1438.7549999999999</v>
      </c>
      <c r="X384" s="3" t="str">
        <f>TEXT(CAPSTONE_PROJECT[[#This Row],[Admission Date]],"mmmm")</f>
        <v>September</v>
      </c>
      <c r="Y384" s="3" t="str">
        <f>TEXT(CAPSTONE_PROJECT[[#This Row],[Admission Date]],"yyyy")</f>
        <v>2025</v>
      </c>
      <c r="Z384" s="3" t="str">
        <f>TEXT(CAPSTONE_PROJECT[[#This Row],[Admission Date]],"mmm yyyy")</f>
        <v>Sep 2025</v>
      </c>
      <c r="AA384" s="3" t="str">
        <f>TEXT(CAPSTONE_PROJECT[[#This Row],[Admission Date]],"dddd")</f>
        <v>Wednesday</v>
      </c>
      <c r="AB384" s="3" t="str">
        <f>IF(CAPSTONE_PROJECT[[#This Row],[Age]]&lt;=34,"Young Adults",IF(CAPSTONE_PROJECT[[#This Row],[Age]]&lt;=59,"Adults","Elders"))</f>
        <v>Adults</v>
      </c>
      <c r="AC384" s="3" t="str">
        <f>_xlfn.XLOOKUP(CAPSTONE_PROJECT[[#This Row],[Patient ID]],'Lookup table'!A:A,'Lookup table'!B:B,,0)</f>
        <v>John P Walker</v>
      </c>
      <c r="AD384" s="3" t="str">
        <f>_xlfn.XLOOKUP(CAPSTONE_PROJECT[[#This Row],[Patient ID]],'Lookup table'!A:A,'Lookup table'!C:C,,0)</f>
        <v>Male</v>
      </c>
      <c r="AE384" s="3" t="str">
        <f>IF(CAPSTONE_PROJECT[[#This Row],[Length of Stay]]&lt;=3,"Short Stay",IF(CAPSTONE_PROJECT[[#This Row],[Length of Stay]]&lt;=7,"Moderate Stay",IF(CAPSTONE_PROJECT[[#This Row],[Length of Stay]]&lt;=14,"Long Stay","Extended Stay")))</f>
        <v>Long Stay</v>
      </c>
    </row>
    <row r="385" spans="1:31" x14ac:dyDescent="0.3">
      <c r="A385" s="3" t="s">
        <v>827</v>
      </c>
      <c r="B385" s="4">
        <v>45748</v>
      </c>
      <c r="C385" s="4">
        <v>45750</v>
      </c>
      <c r="D385" s="4">
        <v>38816</v>
      </c>
      <c r="E385" s="3">
        <v>20</v>
      </c>
      <c r="F385" s="3" t="s">
        <v>18</v>
      </c>
      <c r="G385" s="3" t="s">
        <v>139</v>
      </c>
      <c r="H385" s="3" t="s">
        <v>29</v>
      </c>
      <c r="I385" s="3" t="s">
        <v>44</v>
      </c>
      <c r="J385" s="3" t="s">
        <v>64</v>
      </c>
      <c r="K385" s="3" t="s">
        <v>65</v>
      </c>
      <c r="L385" s="6">
        <v>3457.29</v>
      </c>
      <c r="M385" s="6">
        <v>1069.97</v>
      </c>
      <c r="N385" s="6">
        <v>727.94</v>
      </c>
      <c r="O385" s="6">
        <v>12418.43</v>
      </c>
      <c r="P385" s="3" t="s">
        <v>25</v>
      </c>
      <c r="Q385" s="3" t="s">
        <v>1085</v>
      </c>
      <c r="R385" s="3" t="s">
        <v>19</v>
      </c>
      <c r="S385" s="3" t="s">
        <v>828</v>
      </c>
      <c r="T385" s="3">
        <v>9</v>
      </c>
      <c r="U385" s="3">
        <f>CAPSTONE_PROJECT[[#This Row],[Discharge Date]]-CAPSTONE_PROJECT[[#This Row],[Admission Date]]</f>
        <v>2</v>
      </c>
      <c r="V385" s="6">
        <f>SUM(CAPSTONE_PROJECT[[#This Row],[Room Cost]:[Treatment Cost]])</f>
        <v>17673.63</v>
      </c>
      <c r="W385" s="6">
        <f t="shared" si="5"/>
        <v>8836.8150000000005</v>
      </c>
      <c r="X385" s="3" t="str">
        <f>TEXT(CAPSTONE_PROJECT[[#This Row],[Admission Date]],"mmmm")</f>
        <v>April</v>
      </c>
      <c r="Y385" s="3" t="str">
        <f>TEXT(CAPSTONE_PROJECT[[#This Row],[Admission Date]],"yyyy")</f>
        <v>2025</v>
      </c>
      <c r="Z385" s="3" t="str">
        <f>TEXT(CAPSTONE_PROJECT[[#This Row],[Admission Date]],"mmm yyyy")</f>
        <v>Apr 2025</v>
      </c>
      <c r="AA385" s="3" t="str">
        <f>TEXT(CAPSTONE_PROJECT[[#This Row],[Admission Date]],"dddd")</f>
        <v>Tuesday</v>
      </c>
      <c r="AB385" s="3" t="str">
        <f>IF(CAPSTONE_PROJECT[[#This Row],[Age]]&lt;=34,"Young Adults",IF(CAPSTONE_PROJECT[[#This Row],[Age]]&lt;=59,"Adults","Elders"))</f>
        <v>Young Adults</v>
      </c>
      <c r="AC385" s="3" t="str">
        <f>_xlfn.XLOOKUP(CAPSTONE_PROJECT[[#This Row],[Patient ID]],'Lookup table'!A:A,'Lookup table'!B:B,,0)</f>
        <v>Emma M Taylor</v>
      </c>
      <c r="AD385" s="3" t="str">
        <f>_xlfn.XLOOKUP(CAPSTONE_PROJECT[[#This Row],[Patient ID]],'Lookup table'!A:A,'Lookup table'!C:C,,0)</f>
        <v>Female</v>
      </c>
      <c r="AE385" s="3" t="str">
        <f>IF(CAPSTONE_PROJECT[[#This Row],[Length of Stay]]&lt;=3,"Short Stay",IF(CAPSTONE_PROJECT[[#This Row],[Length of Stay]]&lt;=7,"Moderate Stay",IF(CAPSTONE_PROJECT[[#This Row],[Length of Stay]]&lt;=14,"Long Stay","Extended Stay")))</f>
        <v>Short Stay</v>
      </c>
    </row>
    <row r="386" spans="1:31" x14ac:dyDescent="0.3">
      <c r="A386" s="3" t="s">
        <v>829</v>
      </c>
      <c r="B386" s="4">
        <v>45651</v>
      </c>
      <c r="C386" s="4">
        <v>45662</v>
      </c>
      <c r="D386" s="4">
        <v>22631</v>
      </c>
      <c r="E386" s="3">
        <v>64</v>
      </c>
      <c r="F386" s="3" t="s">
        <v>8</v>
      </c>
      <c r="G386" s="3" t="s">
        <v>57</v>
      </c>
      <c r="H386" s="3" t="s">
        <v>1080</v>
      </c>
      <c r="I386" s="3" t="s">
        <v>37</v>
      </c>
      <c r="J386" s="3" t="s">
        <v>15</v>
      </c>
      <c r="K386" s="3" t="s">
        <v>50</v>
      </c>
      <c r="L386" s="6">
        <v>3037.68</v>
      </c>
      <c r="M386" s="6">
        <v>1925.26</v>
      </c>
      <c r="N386" s="6">
        <v>1373.59</v>
      </c>
      <c r="O386" s="6">
        <v>12569.16</v>
      </c>
      <c r="P386" s="3" t="s">
        <v>51</v>
      </c>
      <c r="Q386" s="3" t="s">
        <v>1085</v>
      </c>
      <c r="R386" s="3" t="s">
        <v>35</v>
      </c>
      <c r="S386" s="3" t="s">
        <v>830</v>
      </c>
      <c r="T386" s="3">
        <v>4</v>
      </c>
      <c r="U386" s="3">
        <f>CAPSTONE_PROJECT[[#This Row],[Discharge Date]]-CAPSTONE_PROJECT[[#This Row],[Admission Date]]</f>
        <v>11</v>
      </c>
      <c r="V386" s="6">
        <f>SUM(CAPSTONE_PROJECT[[#This Row],[Room Cost]:[Treatment Cost]])</f>
        <v>18905.689999999999</v>
      </c>
      <c r="W386" s="6">
        <f t="shared" ref="W386:W449" si="6">V386/U386</f>
        <v>1718.6990909090907</v>
      </c>
      <c r="X386" s="3" t="str">
        <f>TEXT(CAPSTONE_PROJECT[[#This Row],[Admission Date]],"mmmm")</f>
        <v>December</v>
      </c>
      <c r="Y386" s="3" t="str">
        <f>TEXT(CAPSTONE_PROJECT[[#This Row],[Admission Date]],"yyyy")</f>
        <v>2024</v>
      </c>
      <c r="Z386" s="3" t="str">
        <f>TEXT(CAPSTONE_PROJECT[[#This Row],[Admission Date]],"mmm yyyy")</f>
        <v>Dec 2024</v>
      </c>
      <c r="AA386" s="3" t="str">
        <f>TEXT(CAPSTONE_PROJECT[[#This Row],[Admission Date]],"dddd")</f>
        <v>Wednesday</v>
      </c>
      <c r="AB386" s="3" t="str">
        <f>IF(CAPSTONE_PROJECT[[#This Row],[Age]]&lt;=34,"Young Adults",IF(CAPSTONE_PROJECT[[#This Row],[Age]]&lt;=59,"Adults","Elders"))</f>
        <v>Elders</v>
      </c>
      <c r="AC386" s="3" t="str">
        <f>_xlfn.XLOOKUP(CAPSTONE_PROJECT[[#This Row],[Patient ID]],'Lookup table'!A:A,'Lookup table'!B:B,,0)</f>
        <v>George Taylor</v>
      </c>
      <c r="AD386" s="3" t="str">
        <f>_xlfn.XLOOKUP(CAPSTONE_PROJECT[[#This Row],[Patient ID]],'Lookup table'!A:A,'Lookup table'!C:C,,0)</f>
        <v>Male</v>
      </c>
      <c r="AE386" s="3" t="str">
        <f>IF(CAPSTONE_PROJECT[[#This Row],[Length of Stay]]&lt;=3,"Short Stay",IF(CAPSTONE_PROJECT[[#This Row],[Length of Stay]]&lt;=7,"Moderate Stay",IF(CAPSTONE_PROJECT[[#This Row],[Length of Stay]]&lt;=14,"Long Stay","Extended Stay")))</f>
        <v>Long Stay</v>
      </c>
    </row>
    <row r="387" spans="1:31" x14ac:dyDescent="0.3">
      <c r="A387" s="3" t="s">
        <v>831</v>
      </c>
      <c r="B387" s="4">
        <v>45333</v>
      </c>
      <c r="C387" s="4">
        <v>45341</v>
      </c>
      <c r="D387" s="4">
        <v>23847</v>
      </c>
      <c r="E387" s="3">
        <v>61</v>
      </c>
      <c r="F387" s="3" t="s">
        <v>18</v>
      </c>
      <c r="G387" s="3" t="s">
        <v>78</v>
      </c>
      <c r="H387" s="3" t="s">
        <v>104</v>
      </c>
      <c r="I387" s="3" t="s">
        <v>13</v>
      </c>
      <c r="J387" s="3" t="s">
        <v>15</v>
      </c>
      <c r="K387" s="3" t="s">
        <v>50</v>
      </c>
      <c r="L387" s="6">
        <v>4406.09</v>
      </c>
      <c r="M387" s="6">
        <v>1332.77</v>
      </c>
      <c r="N387" s="6">
        <v>2097.4499999999998</v>
      </c>
      <c r="O387" s="6">
        <v>7441.06</v>
      </c>
      <c r="P387" s="3" t="s">
        <v>31</v>
      </c>
      <c r="Q387" s="3" t="s">
        <v>1079</v>
      </c>
      <c r="R387" s="3" t="s">
        <v>58</v>
      </c>
      <c r="S387" s="3" t="s">
        <v>832</v>
      </c>
      <c r="T387" s="3">
        <v>4</v>
      </c>
      <c r="U387" s="3">
        <f>CAPSTONE_PROJECT[[#This Row],[Discharge Date]]-CAPSTONE_PROJECT[[#This Row],[Admission Date]]</f>
        <v>8</v>
      </c>
      <c r="V387" s="6">
        <f>SUM(CAPSTONE_PROJECT[[#This Row],[Room Cost]:[Treatment Cost]])</f>
        <v>15277.37</v>
      </c>
      <c r="W387" s="6">
        <f t="shared" si="6"/>
        <v>1909.6712500000001</v>
      </c>
      <c r="X387" s="3" t="str">
        <f>TEXT(CAPSTONE_PROJECT[[#This Row],[Admission Date]],"mmmm")</f>
        <v>February</v>
      </c>
      <c r="Y387" s="3" t="str">
        <f>TEXT(CAPSTONE_PROJECT[[#This Row],[Admission Date]],"yyyy")</f>
        <v>2024</v>
      </c>
      <c r="Z387" s="3" t="str">
        <f>TEXT(CAPSTONE_PROJECT[[#This Row],[Admission Date]],"mmm yyyy")</f>
        <v>Feb 2024</v>
      </c>
      <c r="AA387" s="3" t="str">
        <f>TEXT(CAPSTONE_PROJECT[[#This Row],[Admission Date]],"dddd")</f>
        <v>Sunday</v>
      </c>
      <c r="AB387" s="3" t="str">
        <f>IF(CAPSTONE_PROJECT[[#This Row],[Age]]&lt;=34,"Young Adults",IF(CAPSTONE_PROJECT[[#This Row],[Age]]&lt;=59,"Adults","Elders"))</f>
        <v>Elders</v>
      </c>
      <c r="AC387" s="3" t="str">
        <f>_xlfn.XLOOKUP(CAPSTONE_PROJECT[[#This Row],[Patient ID]],'Lookup table'!A:A,'Lookup table'!B:B,,0)</f>
        <v>Charlotte E Smith</v>
      </c>
      <c r="AD387" s="3" t="str">
        <f>_xlfn.XLOOKUP(CAPSTONE_PROJECT[[#This Row],[Patient ID]],'Lookup table'!A:A,'Lookup table'!C:C,,0)</f>
        <v>Female</v>
      </c>
      <c r="AE387" s="3" t="str">
        <f>IF(CAPSTONE_PROJECT[[#This Row],[Length of Stay]]&lt;=3,"Short Stay",IF(CAPSTONE_PROJECT[[#This Row],[Length of Stay]]&lt;=7,"Moderate Stay",IF(CAPSTONE_PROJECT[[#This Row],[Length of Stay]]&lt;=14,"Long Stay","Extended Stay")))</f>
        <v>Long Stay</v>
      </c>
    </row>
    <row r="388" spans="1:31" x14ac:dyDescent="0.3">
      <c r="A388" s="3" t="s">
        <v>833</v>
      </c>
      <c r="B388" s="4">
        <v>45561</v>
      </c>
      <c r="C388" s="4">
        <v>45575</v>
      </c>
      <c r="D388" s="4">
        <v>33050</v>
      </c>
      <c r="E388" s="3">
        <v>35</v>
      </c>
      <c r="F388" s="3" t="s">
        <v>18</v>
      </c>
      <c r="G388" s="3" t="s">
        <v>57</v>
      </c>
      <c r="H388" s="3" t="s">
        <v>29</v>
      </c>
      <c r="I388" s="3" t="s">
        <v>22</v>
      </c>
      <c r="J388" s="3" t="s">
        <v>14</v>
      </c>
      <c r="K388" s="3" t="s">
        <v>50</v>
      </c>
      <c r="L388" s="6">
        <v>4720.1099999999997</v>
      </c>
      <c r="M388" s="6">
        <v>501.26</v>
      </c>
      <c r="N388" s="6">
        <v>1415.04</v>
      </c>
      <c r="O388" s="6">
        <v>12646.34</v>
      </c>
      <c r="P388" s="3" t="s">
        <v>51</v>
      </c>
      <c r="Q388" s="3" t="s">
        <v>1078</v>
      </c>
      <c r="R388" s="3" t="s">
        <v>54</v>
      </c>
      <c r="S388" s="3" t="s">
        <v>834</v>
      </c>
      <c r="T388" s="3">
        <v>2</v>
      </c>
      <c r="U388" s="3">
        <f>CAPSTONE_PROJECT[[#This Row],[Discharge Date]]-CAPSTONE_PROJECT[[#This Row],[Admission Date]]</f>
        <v>14</v>
      </c>
      <c r="V388" s="6">
        <f>SUM(CAPSTONE_PROJECT[[#This Row],[Room Cost]:[Treatment Cost]])</f>
        <v>19282.75</v>
      </c>
      <c r="W388" s="6">
        <f t="shared" si="6"/>
        <v>1377.3392857142858</v>
      </c>
      <c r="X388" s="3" t="str">
        <f>TEXT(CAPSTONE_PROJECT[[#This Row],[Admission Date]],"mmmm")</f>
        <v>September</v>
      </c>
      <c r="Y388" s="3" t="str">
        <f>TEXT(CAPSTONE_PROJECT[[#This Row],[Admission Date]],"yyyy")</f>
        <v>2024</v>
      </c>
      <c r="Z388" s="3" t="str">
        <f>TEXT(CAPSTONE_PROJECT[[#This Row],[Admission Date]],"mmm yyyy")</f>
        <v>Sep 2024</v>
      </c>
      <c r="AA388" s="3" t="str">
        <f>TEXT(CAPSTONE_PROJECT[[#This Row],[Admission Date]],"dddd")</f>
        <v>Thursday</v>
      </c>
      <c r="AB388" s="3" t="str">
        <f>IF(CAPSTONE_PROJECT[[#This Row],[Age]]&lt;=34,"Young Adults",IF(CAPSTONE_PROJECT[[#This Row],[Age]]&lt;=59,"Adults","Elders"))</f>
        <v>Adults</v>
      </c>
      <c r="AC388" s="3" t="str">
        <f>_xlfn.XLOOKUP(CAPSTONE_PROJECT[[#This Row],[Patient ID]],'Lookup table'!A:A,'Lookup table'!B:B,,0)</f>
        <v>David C Robinson</v>
      </c>
      <c r="AD388" s="3" t="str">
        <f>_xlfn.XLOOKUP(CAPSTONE_PROJECT[[#This Row],[Patient ID]],'Lookup table'!A:A,'Lookup table'!C:C,,0)</f>
        <v>Male</v>
      </c>
      <c r="AE388" s="3" t="str">
        <f>IF(CAPSTONE_PROJECT[[#This Row],[Length of Stay]]&lt;=3,"Short Stay",IF(CAPSTONE_PROJECT[[#This Row],[Length of Stay]]&lt;=7,"Moderate Stay",IF(CAPSTONE_PROJECT[[#This Row],[Length of Stay]]&lt;=14,"Long Stay","Extended Stay")))</f>
        <v>Long Stay</v>
      </c>
    </row>
    <row r="389" spans="1:31" x14ac:dyDescent="0.3">
      <c r="A389" s="3" t="s">
        <v>835</v>
      </c>
      <c r="B389" s="4">
        <v>45897</v>
      </c>
      <c r="C389" s="4">
        <v>45911</v>
      </c>
      <c r="D389" s="4">
        <v>30910</v>
      </c>
      <c r="E389" s="3">
        <v>41</v>
      </c>
      <c r="F389" s="3" t="s">
        <v>8</v>
      </c>
      <c r="G389" s="3" t="s">
        <v>27</v>
      </c>
      <c r="H389" s="3" t="s">
        <v>100</v>
      </c>
      <c r="I389" s="3" t="s">
        <v>13</v>
      </c>
      <c r="J389" s="3" t="s">
        <v>15</v>
      </c>
      <c r="K389" s="3" t="s">
        <v>15</v>
      </c>
      <c r="L389" s="6">
        <v>2691.84</v>
      </c>
      <c r="M389" s="6">
        <v>1416.23</v>
      </c>
      <c r="N389" s="6">
        <v>2404.0300000000002</v>
      </c>
      <c r="O389" s="6">
        <v>4686.8</v>
      </c>
      <c r="P389" s="3" t="s">
        <v>16</v>
      </c>
      <c r="Q389" s="3" t="s">
        <v>1086</v>
      </c>
      <c r="R389" s="3" t="s">
        <v>62</v>
      </c>
      <c r="S389" s="3" t="s">
        <v>836</v>
      </c>
      <c r="T389" s="3">
        <v>6</v>
      </c>
      <c r="U389" s="3">
        <f>CAPSTONE_PROJECT[[#This Row],[Discharge Date]]-CAPSTONE_PROJECT[[#This Row],[Admission Date]]</f>
        <v>14</v>
      </c>
      <c r="V389" s="6">
        <f>SUM(CAPSTONE_PROJECT[[#This Row],[Room Cost]:[Treatment Cost]])</f>
        <v>11198.900000000001</v>
      </c>
      <c r="W389" s="6">
        <f t="shared" si="6"/>
        <v>799.92142857142869</v>
      </c>
      <c r="X389" s="3" t="str">
        <f>TEXT(CAPSTONE_PROJECT[[#This Row],[Admission Date]],"mmmm")</f>
        <v>August</v>
      </c>
      <c r="Y389" s="3" t="str">
        <f>TEXT(CAPSTONE_PROJECT[[#This Row],[Admission Date]],"yyyy")</f>
        <v>2025</v>
      </c>
      <c r="Z389" s="3" t="str">
        <f>TEXT(CAPSTONE_PROJECT[[#This Row],[Admission Date]],"mmm yyyy")</f>
        <v>Aug 2025</v>
      </c>
      <c r="AA389" s="3" t="str">
        <f>TEXT(CAPSTONE_PROJECT[[#This Row],[Admission Date]],"dddd")</f>
        <v>Thursday</v>
      </c>
      <c r="AB389" s="3" t="str">
        <f>IF(CAPSTONE_PROJECT[[#This Row],[Age]]&lt;=34,"Young Adults",IF(CAPSTONE_PROJECT[[#This Row],[Age]]&lt;=59,"Adults","Elders"))</f>
        <v>Adults</v>
      </c>
      <c r="AC389" s="3" t="str">
        <f>_xlfn.XLOOKUP(CAPSTONE_PROJECT[[#This Row],[Patient ID]],'Lookup table'!A:A,'Lookup table'!B:B,,0)</f>
        <v>Olivia R Wilson</v>
      </c>
      <c r="AD389" s="3" t="str">
        <f>_xlfn.XLOOKUP(CAPSTONE_PROJECT[[#This Row],[Patient ID]],'Lookup table'!A:A,'Lookup table'!C:C,,0)</f>
        <v>Female</v>
      </c>
      <c r="AE389" s="3" t="str">
        <f>IF(CAPSTONE_PROJECT[[#This Row],[Length of Stay]]&lt;=3,"Short Stay",IF(CAPSTONE_PROJECT[[#This Row],[Length of Stay]]&lt;=7,"Moderate Stay",IF(CAPSTONE_PROJECT[[#This Row],[Length of Stay]]&lt;=14,"Long Stay","Extended Stay")))</f>
        <v>Long Stay</v>
      </c>
    </row>
    <row r="390" spans="1:31" x14ac:dyDescent="0.3">
      <c r="A390" s="3" t="s">
        <v>837</v>
      </c>
      <c r="B390" s="4">
        <v>45892</v>
      </c>
      <c r="C390" s="4">
        <v>45903</v>
      </c>
      <c r="D390" s="4">
        <v>19989</v>
      </c>
      <c r="E390" s="3">
        <v>71</v>
      </c>
      <c r="F390" s="3" t="s">
        <v>18</v>
      </c>
      <c r="G390" s="3" t="s">
        <v>40</v>
      </c>
      <c r="H390" s="3" t="s">
        <v>43</v>
      </c>
      <c r="I390" s="3" t="s">
        <v>37</v>
      </c>
      <c r="J390" s="3" t="s">
        <v>64</v>
      </c>
      <c r="K390" s="3" t="s">
        <v>65</v>
      </c>
      <c r="L390" s="6">
        <v>3353.49</v>
      </c>
      <c r="M390" s="6">
        <v>834.82</v>
      </c>
      <c r="N390" s="6">
        <v>2467.9699999999998</v>
      </c>
      <c r="O390" s="6">
        <v>7685</v>
      </c>
      <c r="P390" s="3" t="s">
        <v>25</v>
      </c>
      <c r="Q390" s="3" t="s">
        <v>1077</v>
      </c>
      <c r="R390" s="3" t="s">
        <v>54</v>
      </c>
      <c r="S390" s="3" t="s">
        <v>838</v>
      </c>
      <c r="T390" s="3">
        <v>2</v>
      </c>
      <c r="U390" s="3">
        <f>CAPSTONE_PROJECT[[#This Row],[Discharge Date]]-CAPSTONE_PROJECT[[#This Row],[Admission Date]]</f>
        <v>11</v>
      </c>
      <c r="V390" s="6">
        <f>SUM(CAPSTONE_PROJECT[[#This Row],[Room Cost]:[Treatment Cost]])</f>
        <v>14341.279999999999</v>
      </c>
      <c r="W390" s="6">
        <f t="shared" si="6"/>
        <v>1303.7527272727273</v>
      </c>
      <c r="X390" s="3" t="str">
        <f>TEXT(CAPSTONE_PROJECT[[#This Row],[Admission Date]],"mmmm")</f>
        <v>August</v>
      </c>
      <c r="Y390" s="3" t="str">
        <f>TEXT(CAPSTONE_PROJECT[[#This Row],[Admission Date]],"yyyy")</f>
        <v>2025</v>
      </c>
      <c r="Z390" s="3" t="str">
        <f>TEXT(CAPSTONE_PROJECT[[#This Row],[Admission Date]],"mmm yyyy")</f>
        <v>Aug 2025</v>
      </c>
      <c r="AA390" s="3" t="str">
        <f>TEXT(CAPSTONE_PROJECT[[#This Row],[Admission Date]],"dddd")</f>
        <v>Saturday</v>
      </c>
      <c r="AB390" s="3" t="str">
        <f>IF(CAPSTONE_PROJECT[[#This Row],[Age]]&lt;=34,"Young Adults",IF(CAPSTONE_PROJECT[[#This Row],[Age]]&lt;=59,"Adults","Elders"))</f>
        <v>Elders</v>
      </c>
      <c r="AC390" s="3" t="str">
        <f>_xlfn.XLOOKUP(CAPSTONE_PROJECT[[#This Row],[Patient ID]],'Lookup table'!A:A,'Lookup table'!B:B,,0)</f>
        <v>Henry T Hall</v>
      </c>
      <c r="AD390" s="3" t="str">
        <f>_xlfn.XLOOKUP(CAPSTONE_PROJECT[[#This Row],[Patient ID]],'Lookup table'!A:A,'Lookup table'!C:C,,0)</f>
        <v>Male</v>
      </c>
      <c r="AE390" s="3" t="str">
        <f>IF(CAPSTONE_PROJECT[[#This Row],[Length of Stay]]&lt;=3,"Short Stay",IF(CAPSTONE_PROJECT[[#This Row],[Length of Stay]]&lt;=7,"Moderate Stay",IF(CAPSTONE_PROJECT[[#This Row],[Length of Stay]]&lt;=14,"Long Stay","Extended Stay")))</f>
        <v>Long Stay</v>
      </c>
    </row>
    <row r="391" spans="1:31" x14ac:dyDescent="0.3">
      <c r="A391" s="3" t="s">
        <v>839</v>
      </c>
      <c r="B391" s="4">
        <v>45655</v>
      </c>
      <c r="C391" s="4">
        <v>45661</v>
      </c>
      <c r="D391" s="4">
        <v>20495</v>
      </c>
      <c r="E391" s="3">
        <v>70</v>
      </c>
      <c r="F391" s="3" t="s">
        <v>33</v>
      </c>
      <c r="G391" s="3" t="s">
        <v>27</v>
      </c>
      <c r="H391" s="3" t="s">
        <v>111</v>
      </c>
      <c r="I391" s="3" t="s">
        <v>22</v>
      </c>
      <c r="J391" s="3" t="s">
        <v>14</v>
      </c>
      <c r="K391" s="3" t="s">
        <v>65</v>
      </c>
      <c r="L391" s="6">
        <v>2815.48</v>
      </c>
      <c r="M391" s="6">
        <v>116</v>
      </c>
      <c r="N391" s="6">
        <v>1157.1400000000001</v>
      </c>
      <c r="O391" s="6">
        <v>9181.58</v>
      </c>
      <c r="P391" s="3" t="s">
        <v>51</v>
      </c>
      <c r="Q391" s="3" t="s">
        <v>1086</v>
      </c>
      <c r="R391" s="3" t="s">
        <v>35</v>
      </c>
      <c r="S391" s="3" t="s">
        <v>840</v>
      </c>
      <c r="T391" s="3">
        <v>4</v>
      </c>
      <c r="U391" s="3">
        <f>CAPSTONE_PROJECT[[#This Row],[Discharge Date]]-CAPSTONE_PROJECT[[#This Row],[Admission Date]]</f>
        <v>6</v>
      </c>
      <c r="V391" s="6">
        <f>SUM(CAPSTONE_PROJECT[[#This Row],[Room Cost]:[Treatment Cost]])</f>
        <v>13270.2</v>
      </c>
      <c r="W391" s="6">
        <f t="shared" si="6"/>
        <v>2211.7000000000003</v>
      </c>
      <c r="X391" s="3" t="str">
        <f>TEXT(CAPSTONE_PROJECT[[#This Row],[Admission Date]],"mmmm")</f>
        <v>December</v>
      </c>
      <c r="Y391" s="3" t="str">
        <f>TEXT(CAPSTONE_PROJECT[[#This Row],[Admission Date]],"yyyy")</f>
        <v>2024</v>
      </c>
      <c r="Z391" s="3" t="str">
        <f>TEXT(CAPSTONE_PROJECT[[#This Row],[Admission Date]],"mmm yyyy")</f>
        <v>Dec 2024</v>
      </c>
      <c r="AA391" s="3" t="str">
        <f>TEXT(CAPSTONE_PROJECT[[#This Row],[Admission Date]],"dddd")</f>
        <v>Sunday</v>
      </c>
      <c r="AB391" s="3" t="str">
        <f>IF(CAPSTONE_PROJECT[[#This Row],[Age]]&lt;=34,"Young Adults",IF(CAPSTONE_PROJECT[[#This Row],[Age]]&lt;=59,"Adults","Elders"))</f>
        <v>Elders</v>
      </c>
      <c r="AC391" s="3" t="str">
        <f>_xlfn.XLOOKUP(CAPSTONE_PROJECT[[#This Row],[Patient ID]],'Lookup table'!A:A,'Lookup table'!B:B,,0)</f>
        <v>Charlotte Jones</v>
      </c>
      <c r="AD391" s="3" t="str">
        <f>_xlfn.XLOOKUP(CAPSTONE_PROJECT[[#This Row],[Patient ID]],'Lookup table'!A:A,'Lookup table'!C:C,,0)</f>
        <v>Female</v>
      </c>
      <c r="AE391" s="3" t="str">
        <f>IF(CAPSTONE_PROJECT[[#This Row],[Length of Stay]]&lt;=3,"Short Stay",IF(CAPSTONE_PROJECT[[#This Row],[Length of Stay]]&lt;=7,"Moderate Stay",IF(CAPSTONE_PROJECT[[#This Row],[Length of Stay]]&lt;=14,"Long Stay","Extended Stay")))</f>
        <v>Moderate Stay</v>
      </c>
    </row>
    <row r="392" spans="1:31" x14ac:dyDescent="0.3">
      <c r="A392" s="3" t="s">
        <v>841</v>
      </c>
      <c r="B392" s="4">
        <v>45943</v>
      </c>
      <c r="C392" s="4">
        <v>45963</v>
      </c>
      <c r="D392" s="4">
        <v>38783</v>
      </c>
      <c r="E392" s="3">
        <v>20</v>
      </c>
      <c r="F392" s="3" t="s">
        <v>18</v>
      </c>
      <c r="G392" s="3" t="s">
        <v>57</v>
      </c>
      <c r="H392" s="3" t="s">
        <v>1080</v>
      </c>
      <c r="I392" s="3" t="s">
        <v>37</v>
      </c>
      <c r="J392" s="3" t="s">
        <v>30</v>
      </c>
      <c r="K392" s="3" t="s">
        <v>65</v>
      </c>
      <c r="L392" s="6">
        <v>4985.8500000000004</v>
      </c>
      <c r="M392" s="6">
        <v>1867.99</v>
      </c>
      <c r="N392" s="6">
        <v>534.21</v>
      </c>
      <c r="O392" s="6">
        <v>6901.03</v>
      </c>
      <c r="P392" s="3" t="s">
        <v>25</v>
      </c>
      <c r="Q392" s="3" t="s">
        <v>1085</v>
      </c>
      <c r="R392" s="3" t="s">
        <v>41</v>
      </c>
      <c r="S392" s="3" t="s">
        <v>842</v>
      </c>
      <c r="T392" s="3">
        <v>3</v>
      </c>
      <c r="U392" s="3">
        <f>CAPSTONE_PROJECT[[#This Row],[Discharge Date]]-CAPSTONE_PROJECT[[#This Row],[Admission Date]]</f>
        <v>20</v>
      </c>
      <c r="V392" s="6">
        <f>SUM(CAPSTONE_PROJECT[[#This Row],[Room Cost]:[Treatment Cost]])</f>
        <v>14289.08</v>
      </c>
      <c r="W392" s="6">
        <f t="shared" si="6"/>
        <v>714.45399999999995</v>
      </c>
      <c r="X392" s="3" t="str">
        <f>TEXT(CAPSTONE_PROJECT[[#This Row],[Admission Date]],"mmmm")</f>
        <v>October</v>
      </c>
      <c r="Y392" s="3" t="str">
        <f>TEXT(CAPSTONE_PROJECT[[#This Row],[Admission Date]],"yyyy")</f>
        <v>2025</v>
      </c>
      <c r="Z392" s="3" t="str">
        <f>TEXT(CAPSTONE_PROJECT[[#This Row],[Admission Date]],"mmm yyyy")</f>
        <v>Oct 2025</v>
      </c>
      <c r="AA392" s="3" t="str">
        <f>TEXT(CAPSTONE_PROJECT[[#This Row],[Admission Date]],"dddd")</f>
        <v>Monday</v>
      </c>
      <c r="AB392" s="3" t="str">
        <f>IF(CAPSTONE_PROJECT[[#This Row],[Age]]&lt;=34,"Young Adults",IF(CAPSTONE_PROJECT[[#This Row],[Age]]&lt;=59,"Adults","Elders"))</f>
        <v>Young Adults</v>
      </c>
      <c r="AC392" s="3" t="str">
        <f>_xlfn.XLOOKUP(CAPSTONE_PROJECT[[#This Row],[Patient ID]],'Lookup table'!A:A,'Lookup table'!B:B,,0)</f>
        <v>Henry Green</v>
      </c>
      <c r="AD392" s="3" t="str">
        <f>_xlfn.XLOOKUP(CAPSTONE_PROJECT[[#This Row],[Patient ID]],'Lookup table'!A:A,'Lookup table'!C:C,,0)</f>
        <v>Male</v>
      </c>
      <c r="AE392" s="3" t="str">
        <f>IF(CAPSTONE_PROJECT[[#This Row],[Length of Stay]]&lt;=3,"Short Stay",IF(CAPSTONE_PROJECT[[#This Row],[Length of Stay]]&lt;=7,"Moderate Stay",IF(CAPSTONE_PROJECT[[#This Row],[Length of Stay]]&lt;=14,"Long Stay","Extended Stay")))</f>
        <v>Extended Stay</v>
      </c>
    </row>
    <row r="393" spans="1:31" x14ac:dyDescent="0.3">
      <c r="A393" s="3" t="s">
        <v>843</v>
      </c>
      <c r="B393" s="4">
        <v>45966</v>
      </c>
      <c r="C393" s="4">
        <v>45984</v>
      </c>
      <c r="D393" s="4">
        <v>30848</v>
      </c>
      <c r="E393" s="3">
        <v>41</v>
      </c>
      <c r="F393" s="3" t="s">
        <v>33</v>
      </c>
      <c r="G393" s="3" t="s">
        <v>126</v>
      </c>
      <c r="H393" s="3" t="s">
        <v>111</v>
      </c>
      <c r="I393" s="3" t="s">
        <v>22</v>
      </c>
      <c r="J393" s="3" t="s">
        <v>15</v>
      </c>
      <c r="K393" s="3" t="s">
        <v>50</v>
      </c>
      <c r="L393" s="6">
        <v>3845.35</v>
      </c>
      <c r="M393" s="6">
        <v>666.21</v>
      </c>
      <c r="N393" s="6">
        <v>1459.62</v>
      </c>
      <c r="O393" s="6">
        <v>5449.32</v>
      </c>
      <c r="P393" s="3" t="s">
        <v>31</v>
      </c>
      <c r="Q393" s="3" t="s">
        <v>1079</v>
      </c>
      <c r="R393" s="3" t="s">
        <v>75</v>
      </c>
      <c r="S393" s="3" t="s">
        <v>844</v>
      </c>
      <c r="T393" s="3">
        <v>3</v>
      </c>
      <c r="U393" s="3">
        <f>CAPSTONE_PROJECT[[#This Row],[Discharge Date]]-CAPSTONE_PROJECT[[#This Row],[Admission Date]]</f>
        <v>18</v>
      </c>
      <c r="V393" s="6">
        <f>SUM(CAPSTONE_PROJECT[[#This Row],[Room Cost]:[Treatment Cost]])</f>
        <v>11420.5</v>
      </c>
      <c r="W393" s="6">
        <f t="shared" si="6"/>
        <v>634.47222222222217</v>
      </c>
      <c r="X393" s="3" t="str">
        <f>TEXT(CAPSTONE_PROJECT[[#This Row],[Admission Date]],"mmmm")</f>
        <v>November</v>
      </c>
      <c r="Y393" s="3" t="str">
        <f>TEXT(CAPSTONE_PROJECT[[#This Row],[Admission Date]],"yyyy")</f>
        <v>2025</v>
      </c>
      <c r="Z393" s="3" t="str">
        <f>TEXT(CAPSTONE_PROJECT[[#This Row],[Admission Date]],"mmm yyyy")</f>
        <v>Nov 2025</v>
      </c>
      <c r="AA393" s="3" t="str">
        <f>TEXT(CAPSTONE_PROJECT[[#This Row],[Admission Date]],"dddd")</f>
        <v>Wednesday</v>
      </c>
      <c r="AB393" s="3" t="str">
        <f>IF(CAPSTONE_PROJECT[[#This Row],[Age]]&lt;=34,"Young Adults",IF(CAPSTONE_PROJECT[[#This Row],[Age]]&lt;=59,"Adults","Elders"))</f>
        <v>Adults</v>
      </c>
      <c r="AC393" s="3" t="str">
        <f>_xlfn.XLOOKUP(CAPSTONE_PROJECT[[#This Row],[Patient ID]],'Lookup table'!A:A,'Lookup table'!B:B,,0)</f>
        <v>Mia J Wood</v>
      </c>
      <c r="AD393" s="3" t="str">
        <f>_xlfn.XLOOKUP(CAPSTONE_PROJECT[[#This Row],[Patient ID]],'Lookup table'!A:A,'Lookup table'!C:C,,0)</f>
        <v>Female</v>
      </c>
      <c r="AE393" s="3" t="str">
        <f>IF(CAPSTONE_PROJECT[[#This Row],[Length of Stay]]&lt;=3,"Short Stay",IF(CAPSTONE_PROJECT[[#This Row],[Length of Stay]]&lt;=7,"Moderate Stay",IF(CAPSTONE_PROJECT[[#This Row],[Length of Stay]]&lt;=14,"Long Stay","Extended Stay")))</f>
        <v>Extended Stay</v>
      </c>
    </row>
    <row r="394" spans="1:31" x14ac:dyDescent="0.3">
      <c r="A394" s="3" t="s">
        <v>845</v>
      </c>
      <c r="B394" s="4">
        <v>45794</v>
      </c>
      <c r="C394" s="4">
        <v>45795</v>
      </c>
      <c r="D394" s="4">
        <v>26483</v>
      </c>
      <c r="E394" s="3">
        <v>53</v>
      </c>
      <c r="F394" s="3" t="s">
        <v>47</v>
      </c>
      <c r="G394" s="3" t="s">
        <v>40</v>
      </c>
      <c r="H394" s="3" t="s">
        <v>1080</v>
      </c>
      <c r="I394" s="3" t="s">
        <v>22</v>
      </c>
      <c r="J394" s="3" t="s">
        <v>73</v>
      </c>
      <c r="K394" s="3" t="s">
        <v>65</v>
      </c>
      <c r="L394" s="6">
        <v>3271.82</v>
      </c>
      <c r="M394" s="6">
        <v>2020.89</v>
      </c>
      <c r="N394" s="6">
        <v>1351.76</v>
      </c>
      <c r="O394" s="6">
        <v>2239.77</v>
      </c>
      <c r="P394" s="3" t="s">
        <v>16</v>
      </c>
      <c r="Q394" s="3" t="s">
        <v>1079</v>
      </c>
      <c r="R394" s="3" t="s">
        <v>19</v>
      </c>
      <c r="S394" s="3" t="s">
        <v>846</v>
      </c>
      <c r="T394" s="3">
        <v>5</v>
      </c>
      <c r="U394" s="3">
        <f>CAPSTONE_PROJECT[[#This Row],[Discharge Date]]-CAPSTONE_PROJECT[[#This Row],[Admission Date]]</f>
        <v>1</v>
      </c>
      <c r="V394" s="6">
        <f>SUM(CAPSTONE_PROJECT[[#This Row],[Room Cost]:[Treatment Cost]])</f>
        <v>8884.24</v>
      </c>
      <c r="W394" s="6">
        <f t="shared" si="6"/>
        <v>8884.24</v>
      </c>
      <c r="X394" s="3" t="str">
        <f>TEXT(CAPSTONE_PROJECT[[#This Row],[Admission Date]],"mmmm")</f>
        <v>May</v>
      </c>
      <c r="Y394" s="3" t="str">
        <f>TEXT(CAPSTONE_PROJECT[[#This Row],[Admission Date]],"yyyy")</f>
        <v>2025</v>
      </c>
      <c r="Z394" s="3" t="str">
        <f>TEXT(CAPSTONE_PROJECT[[#This Row],[Admission Date]],"mmm yyyy")</f>
        <v>May 2025</v>
      </c>
      <c r="AA394" s="3" t="str">
        <f>TEXT(CAPSTONE_PROJECT[[#This Row],[Admission Date]],"dddd")</f>
        <v>Saturday</v>
      </c>
      <c r="AB394" s="3" t="str">
        <f>IF(CAPSTONE_PROJECT[[#This Row],[Age]]&lt;=34,"Young Adults",IF(CAPSTONE_PROJECT[[#This Row],[Age]]&lt;=59,"Adults","Elders"))</f>
        <v>Adults</v>
      </c>
      <c r="AC394" s="3" t="str">
        <f>_xlfn.XLOOKUP(CAPSTONE_PROJECT[[#This Row],[Patient ID]],'Lookup table'!A:A,'Lookup table'!B:B,,0)</f>
        <v>Leo Hall</v>
      </c>
      <c r="AD394" s="3" t="str">
        <f>_xlfn.XLOOKUP(CAPSTONE_PROJECT[[#This Row],[Patient ID]],'Lookup table'!A:A,'Lookup table'!C:C,,0)</f>
        <v>Male</v>
      </c>
      <c r="AE394" s="3" t="str">
        <f>IF(CAPSTONE_PROJECT[[#This Row],[Length of Stay]]&lt;=3,"Short Stay",IF(CAPSTONE_PROJECT[[#This Row],[Length of Stay]]&lt;=7,"Moderate Stay",IF(CAPSTONE_PROJECT[[#This Row],[Length of Stay]]&lt;=14,"Long Stay","Extended Stay")))</f>
        <v>Short Stay</v>
      </c>
    </row>
    <row r="395" spans="1:31" x14ac:dyDescent="0.3">
      <c r="A395" s="3" t="s">
        <v>847</v>
      </c>
      <c r="B395" s="4">
        <v>46007</v>
      </c>
      <c r="C395" s="4">
        <v>46009</v>
      </c>
      <c r="D395" s="4">
        <v>28298</v>
      </c>
      <c r="E395" s="3">
        <v>48</v>
      </c>
      <c r="F395" s="3" t="s">
        <v>47</v>
      </c>
      <c r="G395" s="3" t="s">
        <v>126</v>
      </c>
      <c r="H395" s="3" t="s">
        <v>72</v>
      </c>
      <c r="I395" s="3" t="s">
        <v>44</v>
      </c>
      <c r="J395" s="3" t="s">
        <v>64</v>
      </c>
      <c r="K395" s="3" t="s">
        <v>15</v>
      </c>
      <c r="L395" s="6">
        <v>3396.48</v>
      </c>
      <c r="M395" s="6">
        <v>339.94</v>
      </c>
      <c r="N395" s="6">
        <v>1028.24</v>
      </c>
      <c r="O395" s="6">
        <v>14270.37</v>
      </c>
      <c r="P395" s="3" t="s">
        <v>51</v>
      </c>
      <c r="Q395" s="3" t="s">
        <v>1086</v>
      </c>
      <c r="R395" s="3" t="s">
        <v>10</v>
      </c>
      <c r="S395" s="3" t="s">
        <v>848</v>
      </c>
      <c r="T395" s="3">
        <v>2</v>
      </c>
      <c r="U395" s="3">
        <f>CAPSTONE_PROJECT[[#This Row],[Discharge Date]]-CAPSTONE_PROJECT[[#This Row],[Admission Date]]</f>
        <v>2</v>
      </c>
      <c r="V395" s="6">
        <f>SUM(CAPSTONE_PROJECT[[#This Row],[Room Cost]:[Treatment Cost]])</f>
        <v>19035.03</v>
      </c>
      <c r="W395" s="6">
        <f t="shared" si="6"/>
        <v>9517.5149999999994</v>
      </c>
      <c r="X395" s="3" t="str">
        <f>TEXT(CAPSTONE_PROJECT[[#This Row],[Admission Date]],"mmmm")</f>
        <v>December</v>
      </c>
      <c r="Y395" s="3" t="str">
        <f>TEXT(CAPSTONE_PROJECT[[#This Row],[Admission Date]],"yyyy")</f>
        <v>2025</v>
      </c>
      <c r="Z395" s="3" t="str">
        <f>TEXT(CAPSTONE_PROJECT[[#This Row],[Admission Date]],"mmm yyyy")</f>
        <v>Dec 2025</v>
      </c>
      <c r="AA395" s="3" t="str">
        <f>TEXT(CAPSTONE_PROJECT[[#This Row],[Admission Date]],"dddd")</f>
        <v>Tuesday</v>
      </c>
      <c r="AB395" s="3" t="str">
        <f>IF(CAPSTONE_PROJECT[[#This Row],[Age]]&lt;=34,"Young Adults",IF(CAPSTONE_PROJECT[[#This Row],[Age]]&lt;=59,"Adults","Elders"))</f>
        <v>Adults</v>
      </c>
      <c r="AC395" s="3" t="str">
        <f>_xlfn.XLOOKUP(CAPSTONE_PROJECT[[#This Row],[Patient ID]],'Lookup table'!A:A,'Lookup table'!B:B,,0)</f>
        <v>Ava Smith</v>
      </c>
      <c r="AD395" s="3" t="str">
        <f>_xlfn.XLOOKUP(CAPSTONE_PROJECT[[#This Row],[Patient ID]],'Lookup table'!A:A,'Lookup table'!C:C,,0)</f>
        <v>Female</v>
      </c>
      <c r="AE395" s="3" t="str">
        <f>IF(CAPSTONE_PROJECT[[#This Row],[Length of Stay]]&lt;=3,"Short Stay",IF(CAPSTONE_PROJECT[[#This Row],[Length of Stay]]&lt;=7,"Moderate Stay",IF(CAPSTONE_PROJECT[[#This Row],[Length of Stay]]&lt;=14,"Long Stay","Extended Stay")))</f>
        <v>Short Stay</v>
      </c>
    </row>
    <row r="396" spans="1:31" x14ac:dyDescent="0.3">
      <c r="A396" s="3" t="s">
        <v>849</v>
      </c>
      <c r="B396" s="4">
        <v>45933</v>
      </c>
      <c r="C396" s="4">
        <v>45943</v>
      </c>
      <c r="D396" s="4">
        <v>32439</v>
      </c>
      <c r="E396" s="3">
        <v>37</v>
      </c>
      <c r="F396" s="3" t="s">
        <v>18</v>
      </c>
      <c r="G396" s="3" t="s">
        <v>139</v>
      </c>
      <c r="H396" s="3" t="s">
        <v>72</v>
      </c>
      <c r="I396" s="3" t="s">
        <v>13</v>
      </c>
      <c r="J396" s="3" t="s">
        <v>23</v>
      </c>
      <c r="K396" s="3" t="s">
        <v>65</v>
      </c>
      <c r="L396" s="6">
        <v>1491.22</v>
      </c>
      <c r="M396" s="6">
        <v>1023.33</v>
      </c>
      <c r="N396" s="6">
        <v>1795.03</v>
      </c>
      <c r="O396" s="6">
        <v>11060.38</v>
      </c>
      <c r="P396" s="3" t="s">
        <v>25</v>
      </c>
      <c r="Q396" s="3" t="s">
        <v>1076</v>
      </c>
      <c r="R396" s="3" t="s">
        <v>62</v>
      </c>
      <c r="S396" s="3" t="s">
        <v>850</v>
      </c>
      <c r="T396" s="3">
        <v>7</v>
      </c>
      <c r="U396" s="3">
        <f>CAPSTONE_PROJECT[[#This Row],[Discharge Date]]-CAPSTONE_PROJECT[[#This Row],[Admission Date]]</f>
        <v>10</v>
      </c>
      <c r="V396" s="6">
        <f>SUM(CAPSTONE_PROJECT[[#This Row],[Room Cost]:[Treatment Cost]])</f>
        <v>15369.96</v>
      </c>
      <c r="W396" s="6">
        <f t="shared" si="6"/>
        <v>1536.9959999999999</v>
      </c>
      <c r="X396" s="3" t="str">
        <f>TEXT(CAPSTONE_PROJECT[[#This Row],[Admission Date]],"mmmm")</f>
        <v>October</v>
      </c>
      <c r="Y396" s="3" t="str">
        <f>TEXT(CAPSTONE_PROJECT[[#This Row],[Admission Date]],"yyyy")</f>
        <v>2025</v>
      </c>
      <c r="Z396" s="3" t="str">
        <f>TEXT(CAPSTONE_PROJECT[[#This Row],[Admission Date]],"mmm yyyy")</f>
        <v>Oct 2025</v>
      </c>
      <c r="AA396" s="3" t="str">
        <f>TEXT(CAPSTONE_PROJECT[[#This Row],[Admission Date]],"dddd")</f>
        <v>Friday</v>
      </c>
      <c r="AB396" s="3" t="str">
        <f>IF(CAPSTONE_PROJECT[[#This Row],[Age]]&lt;=34,"Young Adults",IF(CAPSTONE_PROJECT[[#This Row],[Age]]&lt;=59,"Adults","Elders"))</f>
        <v>Adults</v>
      </c>
      <c r="AC396" s="3" t="str">
        <f>_xlfn.XLOOKUP(CAPSTONE_PROJECT[[#This Row],[Patient ID]],'Lookup table'!A:A,'Lookup table'!B:B,,0)</f>
        <v>Benjamin Y Wilson</v>
      </c>
      <c r="AD396" s="3" t="str">
        <f>_xlfn.XLOOKUP(CAPSTONE_PROJECT[[#This Row],[Patient ID]],'Lookup table'!A:A,'Lookup table'!C:C,,0)</f>
        <v>Male</v>
      </c>
      <c r="AE396" s="3" t="str">
        <f>IF(CAPSTONE_PROJECT[[#This Row],[Length of Stay]]&lt;=3,"Short Stay",IF(CAPSTONE_PROJECT[[#This Row],[Length of Stay]]&lt;=7,"Moderate Stay",IF(CAPSTONE_PROJECT[[#This Row],[Length of Stay]]&lt;=14,"Long Stay","Extended Stay")))</f>
        <v>Long Stay</v>
      </c>
    </row>
    <row r="397" spans="1:31" x14ac:dyDescent="0.3">
      <c r="A397" s="3" t="s">
        <v>851</v>
      </c>
      <c r="B397" s="4">
        <v>45989</v>
      </c>
      <c r="C397" s="4">
        <v>46002</v>
      </c>
      <c r="D397" s="4">
        <v>38695</v>
      </c>
      <c r="E397" s="3">
        <v>20</v>
      </c>
      <c r="F397" s="3" t="s">
        <v>33</v>
      </c>
      <c r="G397" s="3" t="s">
        <v>40</v>
      </c>
      <c r="H397" s="3" t="s">
        <v>12</v>
      </c>
      <c r="I397" s="3" t="s">
        <v>37</v>
      </c>
      <c r="J397" s="3" t="s">
        <v>45</v>
      </c>
      <c r="K397" s="3" t="s">
        <v>15</v>
      </c>
      <c r="L397" s="6">
        <v>676.18</v>
      </c>
      <c r="M397" s="6">
        <v>1298.55</v>
      </c>
      <c r="N397" s="6">
        <v>570.1</v>
      </c>
      <c r="O397" s="6">
        <v>3605.61</v>
      </c>
      <c r="P397" s="3" t="s">
        <v>25</v>
      </c>
      <c r="Q397" s="3" t="s">
        <v>1084</v>
      </c>
      <c r="R397" s="3" t="s">
        <v>41</v>
      </c>
      <c r="S397" s="3" t="s">
        <v>852</v>
      </c>
      <c r="T397" s="3">
        <v>7</v>
      </c>
      <c r="U397" s="3">
        <f>CAPSTONE_PROJECT[[#This Row],[Discharge Date]]-CAPSTONE_PROJECT[[#This Row],[Admission Date]]</f>
        <v>13</v>
      </c>
      <c r="V397" s="6">
        <f>SUM(CAPSTONE_PROJECT[[#This Row],[Room Cost]:[Treatment Cost]])</f>
        <v>6150.4400000000005</v>
      </c>
      <c r="W397" s="6">
        <f t="shared" si="6"/>
        <v>473.11076923076928</v>
      </c>
      <c r="X397" s="3" t="str">
        <f>TEXT(CAPSTONE_PROJECT[[#This Row],[Admission Date]],"mmmm")</f>
        <v>November</v>
      </c>
      <c r="Y397" s="3" t="str">
        <f>TEXT(CAPSTONE_PROJECT[[#This Row],[Admission Date]],"yyyy")</f>
        <v>2025</v>
      </c>
      <c r="Z397" s="3" t="str">
        <f>TEXT(CAPSTONE_PROJECT[[#This Row],[Admission Date]],"mmm yyyy")</f>
        <v>Nov 2025</v>
      </c>
      <c r="AA397" s="3" t="str">
        <f>TEXT(CAPSTONE_PROJECT[[#This Row],[Admission Date]],"dddd")</f>
        <v>Friday</v>
      </c>
      <c r="AB397" s="3" t="str">
        <f>IF(CAPSTONE_PROJECT[[#This Row],[Age]]&lt;=34,"Young Adults",IF(CAPSTONE_PROJECT[[#This Row],[Age]]&lt;=59,"Adults","Elders"))</f>
        <v>Young Adults</v>
      </c>
      <c r="AC397" s="3" t="str">
        <f>_xlfn.XLOOKUP(CAPSTONE_PROJECT[[#This Row],[Patient ID]],'Lookup table'!A:A,'Lookup table'!B:B,,0)</f>
        <v>Olivia I Martin</v>
      </c>
      <c r="AD397" s="3" t="str">
        <f>_xlfn.XLOOKUP(CAPSTONE_PROJECT[[#This Row],[Patient ID]],'Lookup table'!A:A,'Lookup table'!C:C,,0)</f>
        <v>Female</v>
      </c>
      <c r="AE397" s="3" t="str">
        <f>IF(CAPSTONE_PROJECT[[#This Row],[Length of Stay]]&lt;=3,"Short Stay",IF(CAPSTONE_PROJECT[[#This Row],[Length of Stay]]&lt;=7,"Moderate Stay",IF(CAPSTONE_PROJECT[[#This Row],[Length of Stay]]&lt;=14,"Long Stay","Extended Stay")))</f>
        <v>Long Stay</v>
      </c>
    </row>
    <row r="398" spans="1:31" x14ac:dyDescent="0.3">
      <c r="A398" s="3" t="s">
        <v>853</v>
      </c>
      <c r="B398" s="4">
        <v>45807</v>
      </c>
      <c r="C398" s="4">
        <v>45814</v>
      </c>
      <c r="D398" s="4">
        <v>30338</v>
      </c>
      <c r="E398" s="3">
        <v>43</v>
      </c>
      <c r="F398" s="3" t="s">
        <v>47</v>
      </c>
      <c r="G398" s="3" t="s">
        <v>53</v>
      </c>
      <c r="H398" s="3" t="s">
        <v>72</v>
      </c>
      <c r="I398" s="3" t="s">
        <v>44</v>
      </c>
      <c r="J398" s="3" t="s">
        <v>45</v>
      </c>
      <c r="K398" s="3" t="s">
        <v>15</v>
      </c>
      <c r="L398" s="6">
        <v>752.34</v>
      </c>
      <c r="M398" s="6">
        <v>1278.43</v>
      </c>
      <c r="N398" s="6">
        <v>709.13</v>
      </c>
      <c r="O398" s="6">
        <v>1785.34</v>
      </c>
      <c r="P398" s="3" t="s">
        <v>31</v>
      </c>
      <c r="Q398" s="3" t="s">
        <v>1081</v>
      </c>
      <c r="R398" s="3" t="s">
        <v>10</v>
      </c>
      <c r="S398" s="3" t="s">
        <v>854</v>
      </c>
      <c r="T398" s="3">
        <v>5</v>
      </c>
      <c r="U398" s="3">
        <f>CAPSTONE_PROJECT[[#This Row],[Discharge Date]]-CAPSTONE_PROJECT[[#This Row],[Admission Date]]</f>
        <v>7</v>
      </c>
      <c r="V398" s="6">
        <f>SUM(CAPSTONE_PROJECT[[#This Row],[Room Cost]:[Treatment Cost]])</f>
        <v>4525.24</v>
      </c>
      <c r="W398" s="6">
        <f t="shared" si="6"/>
        <v>646.46285714285716</v>
      </c>
      <c r="X398" s="3" t="str">
        <f>TEXT(CAPSTONE_PROJECT[[#This Row],[Admission Date]],"mmmm")</f>
        <v>May</v>
      </c>
      <c r="Y398" s="3" t="str">
        <f>TEXT(CAPSTONE_PROJECT[[#This Row],[Admission Date]],"yyyy")</f>
        <v>2025</v>
      </c>
      <c r="Z398" s="3" t="str">
        <f>TEXT(CAPSTONE_PROJECT[[#This Row],[Admission Date]],"mmm yyyy")</f>
        <v>May 2025</v>
      </c>
      <c r="AA398" s="3" t="str">
        <f>TEXT(CAPSTONE_PROJECT[[#This Row],[Admission Date]],"dddd")</f>
        <v>Friday</v>
      </c>
      <c r="AB398" s="3" t="str">
        <f>IF(CAPSTONE_PROJECT[[#This Row],[Age]]&lt;=34,"Young Adults",IF(CAPSTONE_PROJECT[[#This Row],[Age]]&lt;=59,"Adults","Elders"))</f>
        <v>Adults</v>
      </c>
      <c r="AC398" s="3" t="str">
        <f>_xlfn.XLOOKUP(CAPSTONE_PROJECT[[#This Row],[Patient ID]],'Lookup table'!A:A,'Lookup table'!B:B,,0)</f>
        <v>Ethan F Taylor</v>
      </c>
      <c r="AD398" s="3" t="str">
        <f>_xlfn.XLOOKUP(CAPSTONE_PROJECT[[#This Row],[Patient ID]],'Lookup table'!A:A,'Lookup table'!C:C,,0)</f>
        <v>Male</v>
      </c>
      <c r="AE398" s="3" t="str">
        <f>IF(CAPSTONE_PROJECT[[#This Row],[Length of Stay]]&lt;=3,"Short Stay",IF(CAPSTONE_PROJECT[[#This Row],[Length of Stay]]&lt;=7,"Moderate Stay",IF(CAPSTONE_PROJECT[[#This Row],[Length of Stay]]&lt;=14,"Long Stay","Extended Stay")))</f>
        <v>Moderate Stay</v>
      </c>
    </row>
    <row r="399" spans="1:31" x14ac:dyDescent="0.3">
      <c r="A399" s="3" t="s">
        <v>855</v>
      </c>
      <c r="B399" s="4">
        <v>45406</v>
      </c>
      <c r="C399" s="4">
        <v>45409</v>
      </c>
      <c r="D399" s="4">
        <v>29374</v>
      </c>
      <c r="E399" s="3">
        <v>46</v>
      </c>
      <c r="F399" s="3" t="s">
        <v>47</v>
      </c>
      <c r="G399" s="3" t="s">
        <v>61</v>
      </c>
      <c r="H399" s="3" t="s">
        <v>111</v>
      </c>
      <c r="I399" s="3" t="s">
        <v>37</v>
      </c>
      <c r="J399" s="3" t="s">
        <v>14</v>
      </c>
      <c r="K399" s="3" t="s">
        <v>15</v>
      </c>
      <c r="L399" s="6">
        <v>2481.56</v>
      </c>
      <c r="M399" s="6">
        <v>834.48</v>
      </c>
      <c r="N399" s="6">
        <v>0</v>
      </c>
      <c r="O399" s="6">
        <v>0</v>
      </c>
      <c r="P399" s="3" t="s">
        <v>51</v>
      </c>
      <c r="Q399" s="3" t="s">
        <v>1084</v>
      </c>
      <c r="R399" s="3" t="s">
        <v>58</v>
      </c>
      <c r="S399" s="3" t="s">
        <v>856</v>
      </c>
      <c r="T399" s="3">
        <v>3</v>
      </c>
      <c r="U399" s="3">
        <f>CAPSTONE_PROJECT[[#This Row],[Discharge Date]]-CAPSTONE_PROJECT[[#This Row],[Admission Date]]</f>
        <v>3</v>
      </c>
      <c r="V399" s="6">
        <f>SUM(CAPSTONE_PROJECT[[#This Row],[Room Cost]:[Treatment Cost]])</f>
        <v>3316.04</v>
      </c>
      <c r="W399" s="6">
        <f t="shared" si="6"/>
        <v>1105.3466666666666</v>
      </c>
      <c r="X399" s="3" t="str">
        <f>TEXT(CAPSTONE_PROJECT[[#This Row],[Admission Date]],"mmmm")</f>
        <v>April</v>
      </c>
      <c r="Y399" s="3" t="str">
        <f>TEXT(CAPSTONE_PROJECT[[#This Row],[Admission Date]],"yyyy")</f>
        <v>2024</v>
      </c>
      <c r="Z399" s="3" t="str">
        <f>TEXT(CAPSTONE_PROJECT[[#This Row],[Admission Date]],"mmm yyyy")</f>
        <v>Apr 2024</v>
      </c>
      <c r="AA399" s="3" t="str">
        <f>TEXT(CAPSTONE_PROJECT[[#This Row],[Admission Date]],"dddd")</f>
        <v>Wednesday</v>
      </c>
      <c r="AB399" s="3" t="str">
        <f>IF(CAPSTONE_PROJECT[[#This Row],[Age]]&lt;=34,"Young Adults",IF(CAPSTONE_PROJECT[[#This Row],[Age]]&lt;=59,"Adults","Elders"))</f>
        <v>Adults</v>
      </c>
      <c r="AC399" s="3" t="str">
        <f>_xlfn.XLOOKUP(CAPSTONE_PROJECT[[#This Row],[Patient ID]],'Lookup table'!A:A,'Lookup table'!B:B,,0)</f>
        <v>Olivia White</v>
      </c>
      <c r="AD399" s="3" t="str">
        <f>_xlfn.XLOOKUP(CAPSTONE_PROJECT[[#This Row],[Patient ID]],'Lookup table'!A:A,'Lookup table'!C:C,,0)</f>
        <v>Female</v>
      </c>
      <c r="AE399" s="3" t="str">
        <f>IF(CAPSTONE_PROJECT[[#This Row],[Length of Stay]]&lt;=3,"Short Stay",IF(CAPSTONE_PROJECT[[#This Row],[Length of Stay]]&lt;=7,"Moderate Stay",IF(CAPSTONE_PROJECT[[#This Row],[Length of Stay]]&lt;=14,"Long Stay","Extended Stay")))</f>
        <v>Short Stay</v>
      </c>
    </row>
    <row r="400" spans="1:31" x14ac:dyDescent="0.3">
      <c r="A400" s="3" t="s">
        <v>857</v>
      </c>
      <c r="B400" s="4">
        <v>45943</v>
      </c>
      <c r="C400" s="4">
        <v>45958</v>
      </c>
      <c r="D400" s="4">
        <v>30814</v>
      </c>
      <c r="E400" s="3">
        <v>42</v>
      </c>
      <c r="F400" s="3" t="s">
        <v>18</v>
      </c>
      <c r="G400" s="3" t="s">
        <v>34</v>
      </c>
      <c r="H400" s="3" t="s">
        <v>1080</v>
      </c>
      <c r="I400" s="3" t="s">
        <v>13</v>
      </c>
      <c r="J400" s="3" t="s">
        <v>45</v>
      </c>
      <c r="K400" s="3" t="s">
        <v>50</v>
      </c>
      <c r="L400" s="6">
        <v>1898.19</v>
      </c>
      <c r="M400" s="6">
        <v>926.18</v>
      </c>
      <c r="N400" s="6">
        <v>980.44</v>
      </c>
      <c r="O400" s="6">
        <v>14890.5</v>
      </c>
      <c r="P400" s="3" t="s">
        <v>25</v>
      </c>
      <c r="Q400" s="3" t="s">
        <v>1087</v>
      </c>
      <c r="R400" s="3" t="s">
        <v>58</v>
      </c>
      <c r="S400" s="3" t="s">
        <v>858</v>
      </c>
      <c r="T400" s="3">
        <v>3</v>
      </c>
      <c r="U400" s="3">
        <f>CAPSTONE_PROJECT[[#This Row],[Discharge Date]]-CAPSTONE_PROJECT[[#This Row],[Admission Date]]</f>
        <v>15</v>
      </c>
      <c r="V400" s="6">
        <f>SUM(CAPSTONE_PROJECT[[#This Row],[Room Cost]:[Treatment Cost]])</f>
        <v>18695.310000000001</v>
      </c>
      <c r="W400" s="6">
        <f t="shared" si="6"/>
        <v>1246.354</v>
      </c>
      <c r="X400" s="3" t="str">
        <f>TEXT(CAPSTONE_PROJECT[[#This Row],[Admission Date]],"mmmm")</f>
        <v>October</v>
      </c>
      <c r="Y400" s="3" t="str">
        <f>TEXT(CAPSTONE_PROJECT[[#This Row],[Admission Date]],"yyyy")</f>
        <v>2025</v>
      </c>
      <c r="Z400" s="3" t="str">
        <f>TEXT(CAPSTONE_PROJECT[[#This Row],[Admission Date]],"mmm yyyy")</f>
        <v>Oct 2025</v>
      </c>
      <c r="AA400" s="3" t="str">
        <f>TEXT(CAPSTONE_PROJECT[[#This Row],[Admission Date]],"dddd")</f>
        <v>Monday</v>
      </c>
      <c r="AB400" s="3" t="str">
        <f>IF(CAPSTONE_PROJECT[[#This Row],[Age]]&lt;=34,"Young Adults",IF(CAPSTONE_PROJECT[[#This Row],[Age]]&lt;=59,"Adults","Elders"))</f>
        <v>Adults</v>
      </c>
      <c r="AC400" s="3" t="str">
        <f>_xlfn.XLOOKUP(CAPSTONE_PROJECT[[#This Row],[Patient ID]],'Lookup table'!A:A,'Lookup table'!B:B,,0)</f>
        <v>Samuel F Taylor</v>
      </c>
      <c r="AD400" s="3" t="str">
        <f>_xlfn.XLOOKUP(CAPSTONE_PROJECT[[#This Row],[Patient ID]],'Lookup table'!A:A,'Lookup table'!C:C,,0)</f>
        <v>Male</v>
      </c>
      <c r="AE400" s="3" t="str">
        <f>IF(CAPSTONE_PROJECT[[#This Row],[Length of Stay]]&lt;=3,"Short Stay",IF(CAPSTONE_PROJECT[[#This Row],[Length of Stay]]&lt;=7,"Moderate Stay",IF(CAPSTONE_PROJECT[[#This Row],[Length of Stay]]&lt;=14,"Long Stay","Extended Stay")))</f>
        <v>Extended Stay</v>
      </c>
    </row>
    <row r="401" spans="1:31" x14ac:dyDescent="0.3">
      <c r="A401" s="3" t="s">
        <v>859</v>
      </c>
      <c r="B401" s="4">
        <v>45664</v>
      </c>
      <c r="C401" s="4">
        <v>45675</v>
      </c>
      <c r="D401" s="4">
        <v>26860</v>
      </c>
      <c r="E401" s="3">
        <v>52</v>
      </c>
      <c r="F401" s="3" t="s">
        <v>8</v>
      </c>
      <c r="G401" s="3" t="s">
        <v>139</v>
      </c>
      <c r="H401" s="3" t="s">
        <v>29</v>
      </c>
      <c r="I401" s="3" t="s">
        <v>44</v>
      </c>
      <c r="J401" s="3" t="s">
        <v>38</v>
      </c>
      <c r="K401" s="3" t="s">
        <v>15</v>
      </c>
      <c r="L401" s="6">
        <v>3481.09</v>
      </c>
      <c r="M401" s="6">
        <v>480.88</v>
      </c>
      <c r="N401" s="6">
        <v>1078.7</v>
      </c>
      <c r="O401" s="6">
        <v>6324.68</v>
      </c>
      <c r="P401" s="3" t="s">
        <v>51</v>
      </c>
      <c r="Q401" s="3" t="s">
        <v>1077</v>
      </c>
      <c r="R401" s="3" t="s">
        <v>35</v>
      </c>
      <c r="S401" s="3" t="s">
        <v>860</v>
      </c>
      <c r="T401" s="3">
        <v>4</v>
      </c>
      <c r="U401" s="3">
        <f>CAPSTONE_PROJECT[[#This Row],[Discharge Date]]-CAPSTONE_PROJECT[[#This Row],[Admission Date]]</f>
        <v>11</v>
      </c>
      <c r="V401" s="6">
        <f>SUM(CAPSTONE_PROJECT[[#This Row],[Room Cost]:[Treatment Cost]])</f>
        <v>11365.35</v>
      </c>
      <c r="W401" s="6">
        <f t="shared" si="6"/>
        <v>1033.2136363636364</v>
      </c>
      <c r="X401" s="3" t="str">
        <f>TEXT(CAPSTONE_PROJECT[[#This Row],[Admission Date]],"mmmm")</f>
        <v>January</v>
      </c>
      <c r="Y401" s="3" t="str">
        <f>TEXT(CAPSTONE_PROJECT[[#This Row],[Admission Date]],"yyyy")</f>
        <v>2025</v>
      </c>
      <c r="Z401" s="3" t="str">
        <f>TEXT(CAPSTONE_PROJECT[[#This Row],[Admission Date]],"mmm yyyy")</f>
        <v>Jan 2025</v>
      </c>
      <c r="AA401" s="3" t="str">
        <f>TEXT(CAPSTONE_PROJECT[[#This Row],[Admission Date]],"dddd")</f>
        <v>Tuesday</v>
      </c>
      <c r="AB401" s="3" t="str">
        <f>IF(CAPSTONE_PROJECT[[#This Row],[Age]]&lt;=34,"Young Adults",IF(CAPSTONE_PROJECT[[#This Row],[Age]]&lt;=59,"Adults","Elders"))</f>
        <v>Adults</v>
      </c>
      <c r="AC401" s="3" t="str">
        <f>_xlfn.XLOOKUP(CAPSTONE_PROJECT[[#This Row],[Patient ID]],'Lookup table'!A:A,'Lookup table'!B:B,,0)</f>
        <v>Sarah O Hall</v>
      </c>
      <c r="AD401" s="3" t="str">
        <f>_xlfn.XLOOKUP(CAPSTONE_PROJECT[[#This Row],[Patient ID]],'Lookup table'!A:A,'Lookup table'!C:C,,0)</f>
        <v>Female</v>
      </c>
      <c r="AE401" s="3" t="str">
        <f>IF(CAPSTONE_PROJECT[[#This Row],[Length of Stay]]&lt;=3,"Short Stay",IF(CAPSTONE_PROJECT[[#This Row],[Length of Stay]]&lt;=7,"Moderate Stay",IF(CAPSTONE_PROJECT[[#This Row],[Length of Stay]]&lt;=14,"Long Stay","Extended Stay")))</f>
        <v>Long Stay</v>
      </c>
    </row>
    <row r="402" spans="1:31" x14ac:dyDescent="0.3">
      <c r="A402" s="3" t="s">
        <v>861</v>
      </c>
      <c r="B402" s="4">
        <v>45476</v>
      </c>
      <c r="C402" s="4">
        <v>45491</v>
      </c>
      <c r="D402" s="4">
        <v>38244</v>
      </c>
      <c r="E402" s="3">
        <v>21</v>
      </c>
      <c r="F402" s="3" t="s">
        <v>18</v>
      </c>
      <c r="G402" s="3" t="s">
        <v>78</v>
      </c>
      <c r="H402" s="3" t="s">
        <v>43</v>
      </c>
      <c r="I402" s="3" t="s">
        <v>13</v>
      </c>
      <c r="J402" s="3" t="s">
        <v>64</v>
      </c>
      <c r="K402" s="3" t="s">
        <v>65</v>
      </c>
      <c r="L402" s="6">
        <v>643.58000000000004</v>
      </c>
      <c r="M402" s="6">
        <v>83.01</v>
      </c>
      <c r="N402" s="6">
        <v>1267.3599999999999</v>
      </c>
      <c r="O402" s="6">
        <v>11675.06</v>
      </c>
      <c r="P402" s="3" t="s">
        <v>51</v>
      </c>
      <c r="Q402" s="3" t="s">
        <v>1078</v>
      </c>
      <c r="R402" s="3" t="s">
        <v>10</v>
      </c>
      <c r="S402" s="3" t="s">
        <v>862</v>
      </c>
      <c r="T402" s="3">
        <v>10</v>
      </c>
      <c r="U402" s="3">
        <f>CAPSTONE_PROJECT[[#This Row],[Discharge Date]]-CAPSTONE_PROJECT[[#This Row],[Admission Date]]</f>
        <v>15</v>
      </c>
      <c r="V402" s="6">
        <f>SUM(CAPSTONE_PROJECT[[#This Row],[Room Cost]:[Treatment Cost]])</f>
        <v>13669.009999999998</v>
      </c>
      <c r="W402" s="6">
        <f t="shared" si="6"/>
        <v>911.26733333333323</v>
      </c>
      <c r="X402" s="3" t="str">
        <f>TEXT(CAPSTONE_PROJECT[[#This Row],[Admission Date]],"mmmm")</f>
        <v>July</v>
      </c>
      <c r="Y402" s="3" t="str">
        <f>TEXT(CAPSTONE_PROJECT[[#This Row],[Admission Date]],"yyyy")</f>
        <v>2024</v>
      </c>
      <c r="Z402" s="3" t="str">
        <f>TEXT(CAPSTONE_PROJECT[[#This Row],[Admission Date]],"mmm yyyy")</f>
        <v>Jul 2024</v>
      </c>
      <c r="AA402" s="3" t="str">
        <f>TEXT(CAPSTONE_PROJECT[[#This Row],[Admission Date]],"dddd")</f>
        <v>Wednesday</v>
      </c>
      <c r="AB402" s="3" t="str">
        <f>IF(CAPSTONE_PROJECT[[#This Row],[Age]]&lt;=34,"Young Adults",IF(CAPSTONE_PROJECT[[#This Row],[Age]]&lt;=59,"Adults","Elders"))</f>
        <v>Young Adults</v>
      </c>
      <c r="AC402" s="3" t="str">
        <f>_xlfn.XLOOKUP(CAPSTONE_PROJECT[[#This Row],[Patient ID]],'Lookup table'!A:A,'Lookup table'!B:B,,0)</f>
        <v>Lucas J Clarke</v>
      </c>
      <c r="AD402" s="3" t="str">
        <f>_xlfn.XLOOKUP(CAPSTONE_PROJECT[[#This Row],[Patient ID]],'Lookup table'!A:A,'Lookup table'!C:C,,0)</f>
        <v>Male</v>
      </c>
      <c r="AE402" s="3" t="str">
        <f>IF(CAPSTONE_PROJECT[[#This Row],[Length of Stay]]&lt;=3,"Short Stay",IF(CAPSTONE_PROJECT[[#This Row],[Length of Stay]]&lt;=7,"Moderate Stay",IF(CAPSTONE_PROJECT[[#This Row],[Length of Stay]]&lt;=14,"Long Stay","Extended Stay")))</f>
        <v>Extended Stay</v>
      </c>
    </row>
    <row r="403" spans="1:31" x14ac:dyDescent="0.3">
      <c r="A403" s="3" t="s">
        <v>863</v>
      </c>
      <c r="B403" s="4">
        <v>45657</v>
      </c>
      <c r="C403" s="4">
        <v>45664</v>
      </c>
      <c r="D403" s="4">
        <v>36202</v>
      </c>
      <c r="E403" s="3">
        <v>27</v>
      </c>
      <c r="F403" s="3" t="s">
        <v>18</v>
      </c>
      <c r="G403" s="3" t="s">
        <v>67</v>
      </c>
      <c r="H403" s="3" t="s">
        <v>114</v>
      </c>
      <c r="I403" s="3" t="s">
        <v>13</v>
      </c>
      <c r="J403" s="3" t="s">
        <v>14</v>
      </c>
      <c r="K403" s="3" t="s">
        <v>15</v>
      </c>
      <c r="L403" s="6">
        <v>4015.99</v>
      </c>
      <c r="M403" s="6">
        <v>629.5</v>
      </c>
      <c r="N403" s="6">
        <v>1598.32</v>
      </c>
      <c r="O403" s="6">
        <v>3654.66</v>
      </c>
      <c r="P403" s="3" t="s">
        <v>31</v>
      </c>
      <c r="Q403" s="3" t="s">
        <v>1079</v>
      </c>
      <c r="R403" s="3" t="s">
        <v>62</v>
      </c>
      <c r="S403" s="3" t="s">
        <v>864</v>
      </c>
      <c r="T403" s="3">
        <v>6</v>
      </c>
      <c r="U403" s="3">
        <f>CAPSTONE_PROJECT[[#This Row],[Discharge Date]]-CAPSTONE_PROJECT[[#This Row],[Admission Date]]</f>
        <v>7</v>
      </c>
      <c r="V403" s="6">
        <f>SUM(CAPSTONE_PROJECT[[#This Row],[Room Cost]:[Treatment Cost]])</f>
        <v>9898.4699999999993</v>
      </c>
      <c r="W403" s="6">
        <f t="shared" si="6"/>
        <v>1414.0671428571427</v>
      </c>
      <c r="X403" s="3" t="str">
        <f>TEXT(CAPSTONE_PROJECT[[#This Row],[Admission Date]],"mmmm")</f>
        <v>December</v>
      </c>
      <c r="Y403" s="3" t="str">
        <f>TEXT(CAPSTONE_PROJECT[[#This Row],[Admission Date]],"yyyy")</f>
        <v>2024</v>
      </c>
      <c r="Z403" s="3" t="str">
        <f>TEXT(CAPSTONE_PROJECT[[#This Row],[Admission Date]],"mmm yyyy")</f>
        <v>Dec 2024</v>
      </c>
      <c r="AA403" s="3" t="str">
        <f>TEXT(CAPSTONE_PROJECT[[#This Row],[Admission Date]],"dddd")</f>
        <v>Tuesday</v>
      </c>
      <c r="AB403" s="3" t="str">
        <f>IF(CAPSTONE_PROJECT[[#This Row],[Age]]&lt;=34,"Young Adults",IF(CAPSTONE_PROJECT[[#This Row],[Age]]&lt;=59,"Adults","Elders"))</f>
        <v>Young Adults</v>
      </c>
      <c r="AC403" s="3" t="str">
        <f>_xlfn.XLOOKUP(CAPSTONE_PROJECT[[#This Row],[Patient ID]],'Lookup table'!A:A,'Lookup table'!B:B,,0)</f>
        <v>Sarah Jones</v>
      </c>
      <c r="AD403" s="3" t="str">
        <f>_xlfn.XLOOKUP(CAPSTONE_PROJECT[[#This Row],[Patient ID]],'Lookup table'!A:A,'Lookup table'!C:C,,0)</f>
        <v>Female</v>
      </c>
      <c r="AE403" s="3" t="str">
        <f>IF(CAPSTONE_PROJECT[[#This Row],[Length of Stay]]&lt;=3,"Short Stay",IF(CAPSTONE_PROJECT[[#This Row],[Length of Stay]]&lt;=7,"Moderate Stay",IF(CAPSTONE_PROJECT[[#This Row],[Length of Stay]]&lt;=14,"Long Stay","Extended Stay")))</f>
        <v>Moderate Stay</v>
      </c>
    </row>
    <row r="404" spans="1:31" x14ac:dyDescent="0.3">
      <c r="A404" s="3" t="s">
        <v>865</v>
      </c>
      <c r="B404" s="4">
        <v>45391</v>
      </c>
      <c r="C404" s="4">
        <v>45393</v>
      </c>
      <c r="D404" s="4">
        <v>31851</v>
      </c>
      <c r="E404" s="3">
        <v>39</v>
      </c>
      <c r="F404" s="3" t="s">
        <v>18</v>
      </c>
      <c r="G404" s="3" t="s">
        <v>139</v>
      </c>
      <c r="H404" s="3" t="s">
        <v>114</v>
      </c>
      <c r="I404" s="3" t="s">
        <v>22</v>
      </c>
      <c r="J404" s="3" t="s">
        <v>14</v>
      </c>
      <c r="K404" s="3" t="s">
        <v>50</v>
      </c>
      <c r="L404" s="6">
        <v>3415.68</v>
      </c>
      <c r="M404" s="6">
        <v>296.64</v>
      </c>
      <c r="N404" s="6">
        <v>824.71</v>
      </c>
      <c r="O404" s="6">
        <v>11024.1</v>
      </c>
      <c r="P404" s="3" t="s">
        <v>16</v>
      </c>
      <c r="Q404" s="3" t="s">
        <v>1086</v>
      </c>
      <c r="R404" s="3" t="s">
        <v>58</v>
      </c>
      <c r="S404" s="3" t="s">
        <v>866</v>
      </c>
      <c r="T404" s="3">
        <v>10</v>
      </c>
      <c r="U404" s="3">
        <f>CAPSTONE_PROJECT[[#This Row],[Discharge Date]]-CAPSTONE_PROJECT[[#This Row],[Admission Date]]</f>
        <v>2</v>
      </c>
      <c r="V404" s="6">
        <f>SUM(CAPSTONE_PROJECT[[#This Row],[Room Cost]:[Treatment Cost]])</f>
        <v>15561.130000000001</v>
      </c>
      <c r="W404" s="6">
        <f t="shared" si="6"/>
        <v>7780.5650000000005</v>
      </c>
      <c r="X404" s="3" t="str">
        <f>TEXT(CAPSTONE_PROJECT[[#This Row],[Admission Date]],"mmmm")</f>
        <v>April</v>
      </c>
      <c r="Y404" s="3" t="str">
        <f>TEXT(CAPSTONE_PROJECT[[#This Row],[Admission Date]],"yyyy")</f>
        <v>2024</v>
      </c>
      <c r="Z404" s="3" t="str">
        <f>TEXT(CAPSTONE_PROJECT[[#This Row],[Admission Date]],"mmm yyyy")</f>
        <v>Apr 2024</v>
      </c>
      <c r="AA404" s="3" t="str">
        <f>TEXT(CAPSTONE_PROJECT[[#This Row],[Admission Date]],"dddd")</f>
        <v>Tuesday</v>
      </c>
      <c r="AB404" s="3" t="str">
        <f>IF(CAPSTONE_PROJECT[[#This Row],[Age]]&lt;=34,"Young Adults",IF(CAPSTONE_PROJECT[[#This Row],[Age]]&lt;=59,"Adults","Elders"))</f>
        <v>Adults</v>
      </c>
      <c r="AC404" s="3" t="str">
        <f>_xlfn.XLOOKUP(CAPSTONE_PROJECT[[#This Row],[Patient ID]],'Lookup table'!A:A,'Lookup table'!B:B,,0)</f>
        <v>Daniel W Robinson</v>
      </c>
      <c r="AD404" s="3" t="str">
        <f>_xlfn.XLOOKUP(CAPSTONE_PROJECT[[#This Row],[Patient ID]],'Lookup table'!A:A,'Lookup table'!C:C,,0)</f>
        <v>Male</v>
      </c>
      <c r="AE404" s="3" t="str">
        <f>IF(CAPSTONE_PROJECT[[#This Row],[Length of Stay]]&lt;=3,"Short Stay",IF(CAPSTONE_PROJECT[[#This Row],[Length of Stay]]&lt;=7,"Moderate Stay",IF(CAPSTONE_PROJECT[[#This Row],[Length of Stay]]&lt;=14,"Long Stay","Extended Stay")))</f>
        <v>Short Stay</v>
      </c>
    </row>
    <row r="405" spans="1:31" x14ac:dyDescent="0.3">
      <c r="A405" s="3" t="s">
        <v>867</v>
      </c>
      <c r="B405" s="4">
        <v>45377</v>
      </c>
      <c r="C405" s="4">
        <v>45389</v>
      </c>
      <c r="D405" s="4">
        <v>23371</v>
      </c>
      <c r="E405" s="3">
        <v>62</v>
      </c>
      <c r="F405" s="3" t="s">
        <v>47</v>
      </c>
      <c r="G405" s="3" t="s">
        <v>139</v>
      </c>
      <c r="H405" s="3" t="s">
        <v>21</v>
      </c>
      <c r="I405" s="3" t="s">
        <v>22</v>
      </c>
      <c r="J405" s="3" t="s">
        <v>38</v>
      </c>
      <c r="K405" s="3" t="s">
        <v>24</v>
      </c>
      <c r="L405" s="6">
        <v>3917.94</v>
      </c>
      <c r="M405" s="6">
        <v>728.56</v>
      </c>
      <c r="N405" s="6">
        <v>778.52</v>
      </c>
      <c r="O405" s="6">
        <v>1434.84</v>
      </c>
      <c r="P405" s="3" t="s">
        <v>16</v>
      </c>
      <c r="Q405" s="3" t="s">
        <v>1087</v>
      </c>
      <c r="R405" s="3" t="s">
        <v>75</v>
      </c>
      <c r="S405" s="3" t="s">
        <v>868</v>
      </c>
      <c r="T405" s="3">
        <v>5</v>
      </c>
      <c r="U405" s="3">
        <f>CAPSTONE_PROJECT[[#This Row],[Discharge Date]]-CAPSTONE_PROJECT[[#This Row],[Admission Date]]</f>
        <v>12</v>
      </c>
      <c r="V405" s="6">
        <f>SUM(CAPSTONE_PROJECT[[#This Row],[Room Cost]:[Treatment Cost]])</f>
        <v>6859.8600000000006</v>
      </c>
      <c r="W405" s="6">
        <f t="shared" si="6"/>
        <v>571.65500000000009</v>
      </c>
      <c r="X405" s="3" t="str">
        <f>TEXT(CAPSTONE_PROJECT[[#This Row],[Admission Date]],"mmmm")</f>
        <v>March</v>
      </c>
      <c r="Y405" s="3" t="str">
        <f>TEXT(CAPSTONE_PROJECT[[#This Row],[Admission Date]],"yyyy")</f>
        <v>2024</v>
      </c>
      <c r="Z405" s="3" t="str">
        <f>TEXT(CAPSTONE_PROJECT[[#This Row],[Admission Date]],"mmm yyyy")</f>
        <v>Mar 2024</v>
      </c>
      <c r="AA405" s="3" t="str">
        <f>TEXT(CAPSTONE_PROJECT[[#This Row],[Admission Date]],"dddd")</f>
        <v>Tuesday</v>
      </c>
      <c r="AB405" s="3" t="str">
        <f>IF(CAPSTONE_PROJECT[[#This Row],[Age]]&lt;=34,"Young Adults",IF(CAPSTONE_PROJECT[[#This Row],[Age]]&lt;=59,"Adults","Elders"))</f>
        <v>Elders</v>
      </c>
      <c r="AC405" s="3" t="str">
        <f>_xlfn.XLOOKUP(CAPSTONE_PROJECT[[#This Row],[Patient ID]],'Lookup table'!A:A,'Lookup table'!B:B,,0)</f>
        <v>Chloe Wood</v>
      </c>
      <c r="AD405" s="3" t="str">
        <f>_xlfn.XLOOKUP(CAPSTONE_PROJECT[[#This Row],[Patient ID]],'Lookup table'!A:A,'Lookup table'!C:C,,0)</f>
        <v>Female</v>
      </c>
      <c r="AE405" s="3" t="str">
        <f>IF(CAPSTONE_PROJECT[[#This Row],[Length of Stay]]&lt;=3,"Short Stay",IF(CAPSTONE_PROJECT[[#This Row],[Length of Stay]]&lt;=7,"Moderate Stay",IF(CAPSTONE_PROJECT[[#This Row],[Length of Stay]]&lt;=14,"Long Stay","Extended Stay")))</f>
        <v>Long Stay</v>
      </c>
    </row>
    <row r="406" spans="1:31" x14ac:dyDescent="0.3">
      <c r="A406" s="3" t="s">
        <v>869</v>
      </c>
      <c r="B406" s="4">
        <v>45601</v>
      </c>
      <c r="C406" s="4">
        <v>45614</v>
      </c>
      <c r="D406" s="4">
        <v>33878</v>
      </c>
      <c r="E406" s="3">
        <v>33</v>
      </c>
      <c r="F406" s="3" t="s">
        <v>33</v>
      </c>
      <c r="G406" s="3" t="s">
        <v>53</v>
      </c>
      <c r="H406" s="3" t="s">
        <v>72</v>
      </c>
      <c r="I406" s="3" t="s">
        <v>13</v>
      </c>
      <c r="J406" s="3" t="s">
        <v>30</v>
      </c>
      <c r="K406" s="3" t="s">
        <v>65</v>
      </c>
      <c r="L406" s="6">
        <v>874.55</v>
      </c>
      <c r="M406" s="6">
        <v>1905.93</v>
      </c>
      <c r="N406" s="6">
        <v>2964.19</v>
      </c>
      <c r="O406" s="6">
        <v>8788.7800000000007</v>
      </c>
      <c r="P406" s="3" t="s">
        <v>31</v>
      </c>
      <c r="Q406" s="3" t="s">
        <v>1085</v>
      </c>
      <c r="R406" s="3" t="s">
        <v>75</v>
      </c>
      <c r="S406" s="3" t="s">
        <v>870</v>
      </c>
      <c r="T406" s="3">
        <v>7</v>
      </c>
      <c r="U406" s="3">
        <f>CAPSTONE_PROJECT[[#This Row],[Discharge Date]]-CAPSTONE_PROJECT[[#This Row],[Admission Date]]</f>
        <v>13</v>
      </c>
      <c r="V406" s="6">
        <f>SUM(CAPSTONE_PROJECT[[#This Row],[Room Cost]:[Treatment Cost]])</f>
        <v>14533.45</v>
      </c>
      <c r="W406" s="6">
        <f t="shared" si="6"/>
        <v>1117.9576923076925</v>
      </c>
      <c r="X406" s="3" t="str">
        <f>TEXT(CAPSTONE_PROJECT[[#This Row],[Admission Date]],"mmmm")</f>
        <v>November</v>
      </c>
      <c r="Y406" s="3" t="str">
        <f>TEXT(CAPSTONE_PROJECT[[#This Row],[Admission Date]],"yyyy")</f>
        <v>2024</v>
      </c>
      <c r="Z406" s="3" t="str">
        <f>TEXT(CAPSTONE_PROJECT[[#This Row],[Admission Date]],"mmm yyyy")</f>
        <v>Nov 2024</v>
      </c>
      <c r="AA406" s="3" t="str">
        <f>TEXT(CAPSTONE_PROJECT[[#This Row],[Admission Date]],"dddd")</f>
        <v>Tuesday</v>
      </c>
      <c r="AB406" s="3" t="str">
        <f>IF(CAPSTONE_PROJECT[[#This Row],[Age]]&lt;=34,"Young Adults",IF(CAPSTONE_PROJECT[[#This Row],[Age]]&lt;=59,"Adults","Elders"))</f>
        <v>Young Adults</v>
      </c>
      <c r="AC406" s="3" t="str">
        <f>_xlfn.XLOOKUP(CAPSTONE_PROJECT[[#This Row],[Patient ID]],'Lookup table'!A:A,'Lookup table'!B:B,,0)</f>
        <v>Michael I Jones</v>
      </c>
      <c r="AD406" s="3" t="str">
        <f>_xlfn.XLOOKUP(CAPSTONE_PROJECT[[#This Row],[Patient ID]],'Lookup table'!A:A,'Lookup table'!C:C,,0)</f>
        <v>Male</v>
      </c>
      <c r="AE406" s="3" t="str">
        <f>IF(CAPSTONE_PROJECT[[#This Row],[Length of Stay]]&lt;=3,"Short Stay",IF(CAPSTONE_PROJECT[[#This Row],[Length of Stay]]&lt;=7,"Moderate Stay",IF(CAPSTONE_PROJECT[[#This Row],[Length of Stay]]&lt;=14,"Long Stay","Extended Stay")))</f>
        <v>Long Stay</v>
      </c>
    </row>
    <row r="407" spans="1:31" x14ac:dyDescent="0.3">
      <c r="A407" s="3" t="s">
        <v>871</v>
      </c>
      <c r="B407" s="4">
        <v>45401</v>
      </c>
      <c r="C407" s="4">
        <v>45409</v>
      </c>
      <c r="D407" s="4">
        <v>35150</v>
      </c>
      <c r="E407" s="3">
        <v>30</v>
      </c>
      <c r="F407" s="3" t="s">
        <v>47</v>
      </c>
      <c r="G407" s="3" t="s">
        <v>78</v>
      </c>
      <c r="H407" s="3" t="s">
        <v>100</v>
      </c>
      <c r="I407" s="3" t="s">
        <v>37</v>
      </c>
      <c r="J407" s="3" t="s">
        <v>14</v>
      </c>
      <c r="K407" s="3" t="s">
        <v>50</v>
      </c>
      <c r="L407" s="6">
        <v>782.56</v>
      </c>
      <c r="M407" s="6">
        <v>1537.57</v>
      </c>
      <c r="N407" s="6">
        <v>493.37</v>
      </c>
      <c r="O407" s="6">
        <v>4686</v>
      </c>
      <c r="P407" s="3" t="s">
        <v>51</v>
      </c>
      <c r="Q407" s="3" t="s">
        <v>1084</v>
      </c>
      <c r="R407" s="3" t="s">
        <v>54</v>
      </c>
      <c r="S407" s="3" t="s">
        <v>872</v>
      </c>
      <c r="T407" s="3">
        <v>1</v>
      </c>
      <c r="U407" s="3">
        <f>CAPSTONE_PROJECT[[#This Row],[Discharge Date]]-CAPSTONE_PROJECT[[#This Row],[Admission Date]]</f>
        <v>8</v>
      </c>
      <c r="V407" s="6">
        <f>SUM(CAPSTONE_PROJECT[[#This Row],[Room Cost]:[Treatment Cost]])</f>
        <v>7499.5</v>
      </c>
      <c r="W407" s="6">
        <f t="shared" si="6"/>
        <v>937.4375</v>
      </c>
      <c r="X407" s="3" t="str">
        <f>TEXT(CAPSTONE_PROJECT[[#This Row],[Admission Date]],"mmmm")</f>
        <v>April</v>
      </c>
      <c r="Y407" s="3" t="str">
        <f>TEXT(CAPSTONE_PROJECT[[#This Row],[Admission Date]],"yyyy")</f>
        <v>2024</v>
      </c>
      <c r="Z407" s="3" t="str">
        <f>TEXT(CAPSTONE_PROJECT[[#This Row],[Admission Date]],"mmm yyyy")</f>
        <v>Apr 2024</v>
      </c>
      <c r="AA407" s="3" t="str">
        <f>TEXT(CAPSTONE_PROJECT[[#This Row],[Admission Date]],"dddd")</f>
        <v>Friday</v>
      </c>
      <c r="AB407" s="3" t="str">
        <f>IF(CAPSTONE_PROJECT[[#This Row],[Age]]&lt;=34,"Young Adults",IF(CAPSTONE_PROJECT[[#This Row],[Age]]&lt;=59,"Adults","Elders"))</f>
        <v>Young Adults</v>
      </c>
      <c r="AC407" s="3" t="str">
        <f>_xlfn.XLOOKUP(CAPSTONE_PROJECT[[#This Row],[Patient ID]],'Lookup table'!A:A,'Lookup table'!B:B,,0)</f>
        <v>Lily Martin</v>
      </c>
      <c r="AD407" s="3" t="str">
        <f>_xlfn.XLOOKUP(CAPSTONE_PROJECT[[#This Row],[Patient ID]],'Lookup table'!A:A,'Lookup table'!C:C,,0)</f>
        <v>Female</v>
      </c>
      <c r="AE407" s="3" t="str">
        <f>IF(CAPSTONE_PROJECT[[#This Row],[Length of Stay]]&lt;=3,"Short Stay",IF(CAPSTONE_PROJECT[[#This Row],[Length of Stay]]&lt;=7,"Moderate Stay",IF(CAPSTONE_PROJECT[[#This Row],[Length of Stay]]&lt;=14,"Long Stay","Extended Stay")))</f>
        <v>Long Stay</v>
      </c>
    </row>
    <row r="408" spans="1:31" x14ac:dyDescent="0.3">
      <c r="A408" s="3" t="s">
        <v>873</v>
      </c>
      <c r="B408" s="4">
        <v>45507</v>
      </c>
      <c r="C408" s="4">
        <v>45509</v>
      </c>
      <c r="D408" s="4">
        <v>35011</v>
      </c>
      <c r="E408" s="3">
        <v>30</v>
      </c>
      <c r="F408" s="3" t="s">
        <v>47</v>
      </c>
      <c r="G408" s="3" t="s">
        <v>139</v>
      </c>
      <c r="H408" s="3" t="s">
        <v>100</v>
      </c>
      <c r="I408" s="3" t="s">
        <v>22</v>
      </c>
      <c r="J408" s="3" t="s">
        <v>23</v>
      </c>
      <c r="K408" s="3" t="s">
        <v>50</v>
      </c>
      <c r="L408" s="6">
        <v>738.82</v>
      </c>
      <c r="M408" s="6">
        <v>1773.07</v>
      </c>
      <c r="N408" s="6">
        <v>2080.7600000000002</v>
      </c>
      <c r="O408" s="6">
        <v>12092.01</v>
      </c>
      <c r="P408" s="3" t="s">
        <v>51</v>
      </c>
      <c r="Q408" s="3" t="s">
        <v>1079</v>
      </c>
      <c r="R408" s="3" t="s">
        <v>41</v>
      </c>
      <c r="S408" s="3" t="s">
        <v>874</v>
      </c>
      <c r="T408" s="3">
        <v>8</v>
      </c>
      <c r="U408" s="3">
        <f>CAPSTONE_PROJECT[[#This Row],[Discharge Date]]-CAPSTONE_PROJECT[[#This Row],[Admission Date]]</f>
        <v>2</v>
      </c>
      <c r="V408" s="6">
        <f>SUM(CAPSTONE_PROJECT[[#This Row],[Room Cost]:[Treatment Cost]])</f>
        <v>16684.66</v>
      </c>
      <c r="W408" s="6">
        <f t="shared" si="6"/>
        <v>8342.33</v>
      </c>
      <c r="X408" s="3" t="str">
        <f>TEXT(CAPSTONE_PROJECT[[#This Row],[Admission Date]],"mmmm")</f>
        <v>August</v>
      </c>
      <c r="Y408" s="3" t="str">
        <f>TEXT(CAPSTONE_PROJECT[[#This Row],[Admission Date]],"yyyy")</f>
        <v>2024</v>
      </c>
      <c r="Z408" s="3" t="str">
        <f>TEXT(CAPSTONE_PROJECT[[#This Row],[Admission Date]],"mmm yyyy")</f>
        <v>Aug 2024</v>
      </c>
      <c r="AA408" s="3" t="str">
        <f>TEXT(CAPSTONE_PROJECT[[#This Row],[Admission Date]],"dddd")</f>
        <v>Saturday</v>
      </c>
      <c r="AB408" s="3" t="str">
        <f>IF(CAPSTONE_PROJECT[[#This Row],[Age]]&lt;=34,"Young Adults",IF(CAPSTONE_PROJECT[[#This Row],[Age]]&lt;=59,"Adults","Elders"))</f>
        <v>Young Adults</v>
      </c>
      <c r="AC408" s="3" t="str">
        <f>_xlfn.XLOOKUP(CAPSTONE_PROJECT[[#This Row],[Patient ID]],'Lookup table'!A:A,'Lookup table'!B:B,,0)</f>
        <v>Oliver R Wilson</v>
      </c>
      <c r="AD408" s="3" t="str">
        <f>_xlfn.XLOOKUP(CAPSTONE_PROJECT[[#This Row],[Patient ID]],'Lookup table'!A:A,'Lookup table'!C:C,,0)</f>
        <v>Male</v>
      </c>
      <c r="AE408" s="3" t="str">
        <f>IF(CAPSTONE_PROJECT[[#This Row],[Length of Stay]]&lt;=3,"Short Stay",IF(CAPSTONE_PROJECT[[#This Row],[Length of Stay]]&lt;=7,"Moderate Stay",IF(CAPSTONE_PROJECT[[#This Row],[Length of Stay]]&lt;=14,"Long Stay","Extended Stay")))</f>
        <v>Short Stay</v>
      </c>
    </row>
    <row r="409" spans="1:31" x14ac:dyDescent="0.3">
      <c r="A409" s="3" t="s">
        <v>875</v>
      </c>
      <c r="B409" s="4">
        <v>45898</v>
      </c>
      <c r="C409" s="4">
        <v>45908</v>
      </c>
      <c r="D409" s="4">
        <v>25899</v>
      </c>
      <c r="E409" s="3">
        <v>55</v>
      </c>
      <c r="F409" s="3" t="s">
        <v>8</v>
      </c>
      <c r="G409" s="3" t="s">
        <v>67</v>
      </c>
      <c r="H409" s="3" t="s">
        <v>21</v>
      </c>
      <c r="I409" s="3" t="s">
        <v>37</v>
      </c>
      <c r="J409" s="3" t="s">
        <v>15</v>
      </c>
      <c r="K409" s="3" t="s">
        <v>15</v>
      </c>
      <c r="L409" s="6">
        <v>853.84</v>
      </c>
      <c r="M409" s="6">
        <v>1644.82</v>
      </c>
      <c r="N409" s="6">
        <v>1822.09</v>
      </c>
      <c r="O409" s="6">
        <v>1673.17</v>
      </c>
      <c r="P409" s="3" t="s">
        <v>51</v>
      </c>
      <c r="Q409" s="3" t="s">
        <v>1077</v>
      </c>
      <c r="R409" s="3" t="s">
        <v>41</v>
      </c>
      <c r="S409" s="3" t="s">
        <v>876</v>
      </c>
      <c r="T409" s="3">
        <v>6</v>
      </c>
      <c r="U409" s="3">
        <f>CAPSTONE_PROJECT[[#This Row],[Discharge Date]]-CAPSTONE_PROJECT[[#This Row],[Admission Date]]</f>
        <v>10</v>
      </c>
      <c r="V409" s="6">
        <f>SUM(CAPSTONE_PROJECT[[#This Row],[Room Cost]:[Treatment Cost]])</f>
        <v>5993.92</v>
      </c>
      <c r="W409" s="6">
        <f t="shared" si="6"/>
        <v>599.39200000000005</v>
      </c>
      <c r="X409" s="3" t="str">
        <f>TEXT(CAPSTONE_PROJECT[[#This Row],[Admission Date]],"mmmm")</f>
        <v>August</v>
      </c>
      <c r="Y409" s="3" t="str">
        <f>TEXT(CAPSTONE_PROJECT[[#This Row],[Admission Date]],"yyyy")</f>
        <v>2025</v>
      </c>
      <c r="Z409" s="3" t="str">
        <f>TEXT(CAPSTONE_PROJECT[[#This Row],[Admission Date]],"mmm yyyy")</f>
        <v>Aug 2025</v>
      </c>
      <c r="AA409" s="3" t="str">
        <f>TEXT(CAPSTONE_PROJECT[[#This Row],[Admission Date]],"dddd")</f>
        <v>Friday</v>
      </c>
      <c r="AB409" s="3" t="str">
        <f>IF(CAPSTONE_PROJECT[[#This Row],[Age]]&lt;=34,"Young Adults",IF(CAPSTONE_PROJECT[[#This Row],[Age]]&lt;=59,"Adults","Elders"))</f>
        <v>Adults</v>
      </c>
      <c r="AC409" s="3" t="str">
        <f>_xlfn.XLOOKUP(CAPSTONE_PROJECT[[#This Row],[Patient ID]],'Lookup table'!A:A,'Lookup table'!B:B,,0)</f>
        <v>Olivia I Thomas</v>
      </c>
      <c r="AD409" s="3" t="str">
        <f>_xlfn.XLOOKUP(CAPSTONE_PROJECT[[#This Row],[Patient ID]],'Lookup table'!A:A,'Lookup table'!C:C,,0)</f>
        <v>Female</v>
      </c>
      <c r="AE409" s="3" t="str">
        <f>IF(CAPSTONE_PROJECT[[#This Row],[Length of Stay]]&lt;=3,"Short Stay",IF(CAPSTONE_PROJECT[[#This Row],[Length of Stay]]&lt;=7,"Moderate Stay",IF(CAPSTONE_PROJECT[[#This Row],[Length of Stay]]&lt;=14,"Long Stay","Extended Stay")))</f>
        <v>Long Stay</v>
      </c>
    </row>
    <row r="410" spans="1:31" x14ac:dyDescent="0.3">
      <c r="A410" s="3" t="s">
        <v>877</v>
      </c>
      <c r="B410" s="4">
        <v>45618</v>
      </c>
      <c r="C410" s="4">
        <v>45633</v>
      </c>
      <c r="D410" s="4">
        <v>29730</v>
      </c>
      <c r="E410" s="3">
        <v>45</v>
      </c>
      <c r="F410" s="3" t="s">
        <v>18</v>
      </c>
      <c r="G410" s="3" t="s">
        <v>126</v>
      </c>
      <c r="H410" s="3" t="s">
        <v>29</v>
      </c>
      <c r="I410" s="3" t="s">
        <v>13</v>
      </c>
      <c r="J410" s="3" t="s">
        <v>38</v>
      </c>
      <c r="K410" s="3" t="s">
        <v>15</v>
      </c>
      <c r="L410" s="6">
        <v>3299.96</v>
      </c>
      <c r="M410" s="6">
        <v>113.67</v>
      </c>
      <c r="N410" s="6">
        <v>1355.34</v>
      </c>
      <c r="O410" s="6">
        <v>3143.08</v>
      </c>
      <c r="P410" s="3" t="s">
        <v>16</v>
      </c>
      <c r="Q410" s="3" t="s">
        <v>1082</v>
      </c>
      <c r="R410" s="3" t="s">
        <v>75</v>
      </c>
      <c r="S410" s="3" t="s">
        <v>878</v>
      </c>
      <c r="T410" s="3">
        <v>6</v>
      </c>
      <c r="U410" s="3">
        <f>CAPSTONE_PROJECT[[#This Row],[Discharge Date]]-CAPSTONE_PROJECT[[#This Row],[Admission Date]]</f>
        <v>15</v>
      </c>
      <c r="V410" s="6">
        <f>SUM(CAPSTONE_PROJECT[[#This Row],[Room Cost]:[Treatment Cost]])</f>
        <v>7912.05</v>
      </c>
      <c r="W410" s="6">
        <f t="shared" si="6"/>
        <v>527.47</v>
      </c>
      <c r="X410" s="3" t="str">
        <f>TEXT(CAPSTONE_PROJECT[[#This Row],[Admission Date]],"mmmm")</f>
        <v>November</v>
      </c>
      <c r="Y410" s="3" t="str">
        <f>TEXT(CAPSTONE_PROJECT[[#This Row],[Admission Date]],"yyyy")</f>
        <v>2024</v>
      </c>
      <c r="Z410" s="3" t="str">
        <f>TEXT(CAPSTONE_PROJECT[[#This Row],[Admission Date]],"mmm yyyy")</f>
        <v>Nov 2024</v>
      </c>
      <c r="AA410" s="3" t="str">
        <f>TEXT(CAPSTONE_PROJECT[[#This Row],[Admission Date]],"dddd")</f>
        <v>Friday</v>
      </c>
      <c r="AB410" s="3" t="str">
        <f>IF(CAPSTONE_PROJECT[[#This Row],[Age]]&lt;=34,"Young Adults",IF(CAPSTONE_PROJECT[[#This Row],[Age]]&lt;=59,"Adults","Elders"))</f>
        <v>Adults</v>
      </c>
      <c r="AC410" s="3" t="str">
        <f>_xlfn.XLOOKUP(CAPSTONE_PROJECT[[#This Row],[Patient ID]],'Lookup table'!A:A,'Lookup table'!B:B,,0)</f>
        <v>Leo Thomas</v>
      </c>
      <c r="AD410" s="3" t="str">
        <f>_xlfn.XLOOKUP(CAPSTONE_PROJECT[[#This Row],[Patient ID]],'Lookup table'!A:A,'Lookup table'!C:C,,0)</f>
        <v>Male</v>
      </c>
      <c r="AE410" s="3" t="str">
        <f>IF(CAPSTONE_PROJECT[[#This Row],[Length of Stay]]&lt;=3,"Short Stay",IF(CAPSTONE_PROJECT[[#This Row],[Length of Stay]]&lt;=7,"Moderate Stay",IF(CAPSTONE_PROJECT[[#This Row],[Length of Stay]]&lt;=14,"Long Stay","Extended Stay")))</f>
        <v>Extended Stay</v>
      </c>
    </row>
    <row r="411" spans="1:31" x14ac:dyDescent="0.3">
      <c r="A411" s="3" t="s">
        <v>879</v>
      </c>
      <c r="B411" s="4">
        <v>45701</v>
      </c>
      <c r="C411" s="4">
        <v>45713</v>
      </c>
      <c r="D411" s="4">
        <v>36835</v>
      </c>
      <c r="E411" s="3">
        <v>25</v>
      </c>
      <c r="F411" s="3" t="s">
        <v>8</v>
      </c>
      <c r="G411" s="3" t="s">
        <v>34</v>
      </c>
      <c r="H411" s="3" t="s">
        <v>43</v>
      </c>
      <c r="I411" s="3" t="s">
        <v>22</v>
      </c>
      <c r="J411" s="3" t="s">
        <v>45</v>
      </c>
      <c r="K411" s="3" t="s">
        <v>15</v>
      </c>
      <c r="L411" s="6">
        <v>3688.51</v>
      </c>
      <c r="M411" s="6">
        <v>1771.99</v>
      </c>
      <c r="N411" s="6">
        <v>727.29</v>
      </c>
      <c r="O411" s="6">
        <v>11165.73</v>
      </c>
      <c r="P411" s="3" t="s">
        <v>51</v>
      </c>
      <c r="Q411" s="3" t="s">
        <v>1076</v>
      </c>
      <c r="R411" s="3" t="s">
        <v>102</v>
      </c>
      <c r="S411" s="3" t="s">
        <v>880</v>
      </c>
      <c r="T411" s="3">
        <v>6</v>
      </c>
      <c r="U411" s="3">
        <f>CAPSTONE_PROJECT[[#This Row],[Discharge Date]]-CAPSTONE_PROJECT[[#This Row],[Admission Date]]</f>
        <v>12</v>
      </c>
      <c r="V411" s="6">
        <f>SUM(CAPSTONE_PROJECT[[#This Row],[Room Cost]:[Treatment Cost]])</f>
        <v>17353.52</v>
      </c>
      <c r="W411" s="6">
        <f t="shared" si="6"/>
        <v>1446.1266666666668</v>
      </c>
      <c r="X411" s="3" t="str">
        <f>TEXT(CAPSTONE_PROJECT[[#This Row],[Admission Date]],"mmmm")</f>
        <v>February</v>
      </c>
      <c r="Y411" s="3" t="str">
        <f>TEXT(CAPSTONE_PROJECT[[#This Row],[Admission Date]],"yyyy")</f>
        <v>2025</v>
      </c>
      <c r="Z411" s="3" t="str">
        <f>TEXT(CAPSTONE_PROJECT[[#This Row],[Admission Date]],"mmm yyyy")</f>
        <v>Feb 2025</v>
      </c>
      <c r="AA411" s="3" t="str">
        <f>TEXT(CAPSTONE_PROJECT[[#This Row],[Admission Date]],"dddd")</f>
        <v>Thursday</v>
      </c>
      <c r="AB411" s="3" t="str">
        <f>IF(CAPSTONE_PROJECT[[#This Row],[Age]]&lt;=34,"Young Adults",IF(CAPSTONE_PROJECT[[#This Row],[Age]]&lt;=59,"Adults","Elders"))</f>
        <v>Young Adults</v>
      </c>
      <c r="AC411" s="3" t="str">
        <f>_xlfn.XLOOKUP(CAPSTONE_PROJECT[[#This Row],[Patient ID]],'Lookup table'!A:A,'Lookup table'!B:B,,0)</f>
        <v>Emma F Smith</v>
      </c>
      <c r="AD411" s="3" t="str">
        <f>_xlfn.XLOOKUP(CAPSTONE_PROJECT[[#This Row],[Patient ID]],'Lookup table'!A:A,'Lookup table'!C:C,,0)</f>
        <v>Female</v>
      </c>
      <c r="AE411" s="3" t="str">
        <f>IF(CAPSTONE_PROJECT[[#This Row],[Length of Stay]]&lt;=3,"Short Stay",IF(CAPSTONE_PROJECT[[#This Row],[Length of Stay]]&lt;=7,"Moderate Stay",IF(CAPSTONE_PROJECT[[#This Row],[Length of Stay]]&lt;=14,"Long Stay","Extended Stay")))</f>
        <v>Long Stay</v>
      </c>
    </row>
    <row r="412" spans="1:31" x14ac:dyDescent="0.3">
      <c r="A412" s="3" t="s">
        <v>881</v>
      </c>
      <c r="B412" s="4">
        <v>45623</v>
      </c>
      <c r="C412" s="4">
        <v>45639</v>
      </c>
      <c r="D412" s="4">
        <v>38751</v>
      </c>
      <c r="E412" s="3">
        <v>20</v>
      </c>
      <c r="F412" s="3" t="s">
        <v>8</v>
      </c>
      <c r="G412" s="3" t="s">
        <v>9</v>
      </c>
      <c r="H412" s="3" t="s">
        <v>21</v>
      </c>
      <c r="I412" s="3" t="s">
        <v>22</v>
      </c>
      <c r="J412" s="3" t="s">
        <v>64</v>
      </c>
      <c r="K412" s="3" t="s">
        <v>50</v>
      </c>
      <c r="L412" s="6">
        <v>3985.31</v>
      </c>
      <c r="M412" s="6">
        <v>953.5</v>
      </c>
      <c r="N412" s="6">
        <v>977.63</v>
      </c>
      <c r="O412" s="6">
        <v>7119.33</v>
      </c>
      <c r="P412" s="3" t="s">
        <v>16</v>
      </c>
      <c r="Q412" s="3" t="s">
        <v>1081</v>
      </c>
      <c r="R412" s="3" t="s">
        <v>54</v>
      </c>
      <c r="S412" s="3" t="s">
        <v>882</v>
      </c>
      <c r="T412" s="3">
        <v>1</v>
      </c>
      <c r="U412" s="3">
        <f>CAPSTONE_PROJECT[[#This Row],[Discharge Date]]-CAPSTONE_PROJECT[[#This Row],[Admission Date]]</f>
        <v>16</v>
      </c>
      <c r="V412" s="6">
        <f>SUM(CAPSTONE_PROJECT[[#This Row],[Room Cost]:[Treatment Cost]])</f>
        <v>13035.77</v>
      </c>
      <c r="W412" s="6">
        <f t="shared" si="6"/>
        <v>814.73562500000003</v>
      </c>
      <c r="X412" s="3" t="str">
        <f>TEXT(CAPSTONE_PROJECT[[#This Row],[Admission Date]],"mmmm")</f>
        <v>November</v>
      </c>
      <c r="Y412" s="3" t="str">
        <f>TEXT(CAPSTONE_PROJECT[[#This Row],[Admission Date]],"yyyy")</f>
        <v>2024</v>
      </c>
      <c r="Z412" s="3" t="str">
        <f>TEXT(CAPSTONE_PROJECT[[#This Row],[Admission Date]],"mmm yyyy")</f>
        <v>Nov 2024</v>
      </c>
      <c r="AA412" s="3" t="str">
        <f>TEXT(CAPSTONE_PROJECT[[#This Row],[Admission Date]],"dddd")</f>
        <v>Wednesday</v>
      </c>
      <c r="AB412" s="3" t="str">
        <f>IF(CAPSTONE_PROJECT[[#This Row],[Age]]&lt;=34,"Young Adults",IF(CAPSTONE_PROJECT[[#This Row],[Age]]&lt;=59,"Adults","Elders"))</f>
        <v>Young Adults</v>
      </c>
      <c r="AC412" s="3" t="str">
        <f>_xlfn.XLOOKUP(CAPSTONE_PROJECT[[#This Row],[Patient ID]],'Lookup table'!A:A,'Lookup table'!B:B,,0)</f>
        <v>Henry Robinson</v>
      </c>
      <c r="AD412" s="3" t="str">
        <f>_xlfn.XLOOKUP(CAPSTONE_PROJECT[[#This Row],[Patient ID]],'Lookup table'!A:A,'Lookup table'!C:C,,0)</f>
        <v>Male</v>
      </c>
      <c r="AE412" s="3" t="str">
        <f>IF(CAPSTONE_PROJECT[[#This Row],[Length of Stay]]&lt;=3,"Short Stay",IF(CAPSTONE_PROJECT[[#This Row],[Length of Stay]]&lt;=7,"Moderate Stay",IF(CAPSTONE_PROJECT[[#This Row],[Length of Stay]]&lt;=14,"Long Stay","Extended Stay")))</f>
        <v>Extended Stay</v>
      </c>
    </row>
    <row r="413" spans="1:31" x14ac:dyDescent="0.3">
      <c r="A413" s="3" t="s">
        <v>883</v>
      </c>
      <c r="B413" s="4">
        <v>45531</v>
      </c>
      <c r="C413" s="4">
        <v>45542</v>
      </c>
      <c r="D413" s="4">
        <v>38526</v>
      </c>
      <c r="E413" s="3">
        <v>20</v>
      </c>
      <c r="F413" s="3" t="s">
        <v>18</v>
      </c>
      <c r="G413" s="3" t="s">
        <v>48</v>
      </c>
      <c r="H413" s="3" t="s">
        <v>1080</v>
      </c>
      <c r="I413" s="3" t="s">
        <v>13</v>
      </c>
      <c r="J413" s="3" t="s">
        <v>73</v>
      </c>
      <c r="K413" s="3" t="s">
        <v>65</v>
      </c>
      <c r="L413" s="6">
        <v>2742.13</v>
      </c>
      <c r="M413" s="6">
        <v>1048.1300000000001</v>
      </c>
      <c r="N413" s="6">
        <v>2929.44</v>
      </c>
      <c r="O413" s="6">
        <v>7543.19</v>
      </c>
      <c r="P413" s="3" t="s">
        <v>25</v>
      </c>
      <c r="Q413" s="3" t="s">
        <v>1081</v>
      </c>
      <c r="R413" s="3" t="s">
        <v>54</v>
      </c>
      <c r="S413" s="3" t="s">
        <v>884</v>
      </c>
      <c r="T413" s="3">
        <v>3</v>
      </c>
      <c r="U413" s="3">
        <f>CAPSTONE_PROJECT[[#This Row],[Discharge Date]]-CAPSTONE_PROJECT[[#This Row],[Admission Date]]</f>
        <v>11</v>
      </c>
      <c r="V413" s="6">
        <f>SUM(CAPSTONE_PROJECT[[#This Row],[Room Cost]:[Treatment Cost]])</f>
        <v>14262.89</v>
      </c>
      <c r="W413" s="6">
        <f t="shared" si="6"/>
        <v>1296.6263636363635</v>
      </c>
      <c r="X413" s="3" t="str">
        <f>TEXT(CAPSTONE_PROJECT[[#This Row],[Admission Date]],"mmmm")</f>
        <v>August</v>
      </c>
      <c r="Y413" s="3" t="str">
        <f>TEXT(CAPSTONE_PROJECT[[#This Row],[Admission Date]],"yyyy")</f>
        <v>2024</v>
      </c>
      <c r="Z413" s="3" t="str">
        <f>TEXT(CAPSTONE_PROJECT[[#This Row],[Admission Date]],"mmm yyyy")</f>
        <v>Aug 2024</v>
      </c>
      <c r="AA413" s="3" t="str">
        <f>TEXT(CAPSTONE_PROJECT[[#This Row],[Admission Date]],"dddd")</f>
        <v>Tuesday</v>
      </c>
      <c r="AB413" s="3" t="str">
        <f>IF(CAPSTONE_PROJECT[[#This Row],[Age]]&lt;=34,"Young Adults",IF(CAPSTONE_PROJECT[[#This Row],[Age]]&lt;=59,"Adults","Elders"))</f>
        <v>Young Adults</v>
      </c>
      <c r="AC413" s="3" t="str">
        <f>_xlfn.XLOOKUP(CAPSTONE_PROJECT[[#This Row],[Patient ID]],'Lookup table'!A:A,'Lookup table'!B:B,,0)</f>
        <v>Charlotte O Robinson</v>
      </c>
      <c r="AD413" s="3" t="str">
        <f>_xlfn.XLOOKUP(CAPSTONE_PROJECT[[#This Row],[Patient ID]],'Lookup table'!A:A,'Lookup table'!C:C,,0)</f>
        <v>Female</v>
      </c>
      <c r="AE413" s="3" t="str">
        <f>IF(CAPSTONE_PROJECT[[#This Row],[Length of Stay]]&lt;=3,"Short Stay",IF(CAPSTONE_PROJECT[[#This Row],[Length of Stay]]&lt;=7,"Moderate Stay",IF(CAPSTONE_PROJECT[[#This Row],[Length of Stay]]&lt;=14,"Long Stay","Extended Stay")))</f>
        <v>Long Stay</v>
      </c>
    </row>
    <row r="414" spans="1:31" x14ac:dyDescent="0.3">
      <c r="A414" s="3" t="s">
        <v>885</v>
      </c>
      <c r="B414" s="4">
        <v>45489</v>
      </c>
      <c r="C414" s="4">
        <v>45498</v>
      </c>
      <c r="D414" s="4">
        <v>26870</v>
      </c>
      <c r="E414" s="3">
        <v>52</v>
      </c>
      <c r="F414" s="3" t="s">
        <v>18</v>
      </c>
      <c r="G414" s="3" t="s">
        <v>67</v>
      </c>
      <c r="H414" s="3" t="s">
        <v>114</v>
      </c>
      <c r="I414" s="3" t="s">
        <v>44</v>
      </c>
      <c r="J414" s="3" t="s">
        <v>14</v>
      </c>
      <c r="K414" s="3" t="s">
        <v>65</v>
      </c>
      <c r="L414" s="6">
        <v>4467.88</v>
      </c>
      <c r="M414" s="6">
        <v>610.41</v>
      </c>
      <c r="N414" s="6">
        <v>1082.33</v>
      </c>
      <c r="O414" s="6">
        <v>13434.77</v>
      </c>
      <c r="P414" s="3" t="s">
        <v>16</v>
      </c>
      <c r="Q414" s="3" t="s">
        <v>1085</v>
      </c>
      <c r="R414" s="3" t="s">
        <v>75</v>
      </c>
      <c r="S414" s="3" t="s">
        <v>886</v>
      </c>
      <c r="T414" s="3">
        <v>1</v>
      </c>
      <c r="U414" s="3">
        <f>CAPSTONE_PROJECT[[#This Row],[Discharge Date]]-CAPSTONE_PROJECT[[#This Row],[Admission Date]]</f>
        <v>9</v>
      </c>
      <c r="V414" s="6">
        <f>SUM(CAPSTONE_PROJECT[[#This Row],[Room Cost]:[Treatment Cost]])</f>
        <v>19595.39</v>
      </c>
      <c r="W414" s="6">
        <f t="shared" si="6"/>
        <v>2177.2655555555557</v>
      </c>
      <c r="X414" s="3" t="str">
        <f>TEXT(CAPSTONE_PROJECT[[#This Row],[Admission Date]],"mmmm")</f>
        <v>July</v>
      </c>
      <c r="Y414" s="3" t="str">
        <f>TEXT(CAPSTONE_PROJECT[[#This Row],[Admission Date]],"yyyy")</f>
        <v>2024</v>
      </c>
      <c r="Z414" s="3" t="str">
        <f>TEXT(CAPSTONE_PROJECT[[#This Row],[Admission Date]],"mmm yyyy")</f>
        <v>Jul 2024</v>
      </c>
      <c r="AA414" s="3" t="str">
        <f>TEXT(CAPSTONE_PROJECT[[#This Row],[Admission Date]],"dddd")</f>
        <v>Tuesday</v>
      </c>
      <c r="AB414" s="3" t="str">
        <f>IF(CAPSTONE_PROJECT[[#This Row],[Age]]&lt;=34,"Young Adults",IF(CAPSTONE_PROJECT[[#This Row],[Age]]&lt;=59,"Adults","Elders"))</f>
        <v>Adults</v>
      </c>
      <c r="AC414" s="3" t="str">
        <f>_xlfn.XLOOKUP(CAPSTONE_PROJECT[[#This Row],[Patient ID]],'Lookup table'!A:A,'Lookup table'!B:B,,0)</f>
        <v>Michael Wood</v>
      </c>
      <c r="AD414" s="3" t="str">
        <f>_xlfn.XLOOKUP(CAPSTONE_PROJECT[[#This Row],[Patient ID]],'Lookup table'!A:A,'Lookup table'!C:C,,0)</f>
        <v>Male</v>
      </c>
      <c r="AE414" s="3" t="str">
        <f>IF(CAPSTONE_PROJECT[[#This Row],[Length of Stay]]&lt;=3,"Short Stay",IF(CAPSTONE_PROJECT[[#This Row],[Length of Stay]]&lt;=7,"Moderate Stay",IF(CAPSTONE_PROJECT[[#This Row],[Length of Stay]]&lt;=14,"Long Stay","Extended Stay")))</f>
        <v>Long Stay</v>
      </c>
    </row>
    <row r="415" spans="1:31" x14ac:dyDescent="0.3">
      <c r="A415" s="3" t="s">
        <v>887</v>
      </c>
      <c r="B415" s="4">
        <v>45559</v>
      </c>
      <c r="C415" s="4">
        <v>45566</v>
      </c>
      <c r="D415" s="4">
        <v>32518</v>
      </c>
      <c r="E415" s="3">
        <v>37</v>
      </c>
      <c r="F415" s="3" t="s">
        <v>33</v>
      </c>
      <c r="G415" s="3" t="s">
        <v>34</v>
      </c>
      <c r="H415" s="3" t="s">
        <v>114</v>
      </c>
      <c r="I415" s="3" t="s">
        <v>13</v>
      </c>
      <c r="J415" s="3" t="s">
        <v>30</v>
      </c>
      <c r="K415" s="3" t="s">
        <v>50</v>
      </c>
      <c r="L415" s="6">
        <v>1120.24</v>
      </c>
      <c r="M415" s="6">
        <v>715.63</v>
      </c>
      <c r="N415" s="6">
        <v>408.86</v>
      </c>
      <c r="O415" s="6">
        <v>6744.11</v>
      </c>
      <c r="P415" s="3" t="s">
        <v>16</v>
      </c>
      <c r="Q415" s="3" t="s">
        <v>1086</v>
      </c>
      <c r="R415" s="3" t="s">
        <v>19</v>
      </c>
      <c r="S415" s="3" t="s">
        <v>888</v>
      </c>
      <c r="T415" s="3">
        <v>3</v>
      </c>
      <c r="U415" s="3">
        <f>CAPSTONE_PROJECT[[#This Row],[Discharge Date]]-CAPSTONE_PROJECT[[#This Row],[Admission Date]]</f>
        <v>7</v>
      </c>
      <c r="V415" s="6">
        <f>SUM(CAPSTONE_PROJECT[[#This Row],[Room Cost]:[Treatment Cost]])</f>
        <v>8988.84</v>
      </c>
      <c r="W415" s="6">
        <f t="shared" si="6"/>
        <v>1284.1200000000001</v>
      </c>
      <c r="X415" s="3" t="str">
        <f>TEXT(CAPSTONE_PROJECT[[#This Row],[Admission Date]],"mmmm")</f>
        <v>September</v>
      </c>
      <c r="Y415" s="3" t="str">
        <f>TEXT(CAPSTONE_PROJECT[[#This Row],[Admission Date]],"yyyy")</f>
        <v>2024</v>
      </c>
      <c r="Z415" s="3" t="str">
        <f>TEXT(CAPSTONE_PROJECT[[#This Row],[Admission Date]],"mmm yyyy")</f>
        <v>Sep 2024</v>
      </c>
      <c r="AA415" s="3" t="str">
        <f>TEXT(CAPSTONE_PROJECT[[#This Row],[Admission Date]],"dddd")</f>
        <v>Tuesday</v>
      </c>
      <c r="AB415" s="3" t="str">
        <f>IF(CAPSTONE_PROJECT[[#This Row],[Age]]&lt;=34,"Young Adults",IF(CAPSTONE_PROJECT[[#This Row],[Age]]&lt;=59,"Adults","Elders"))</f>
        <v>Adults</v>
      </c>
      <c r="AC415" s="3" t="str">
        <f>_xlfn.XLOOKUP(CAPSTONE_PROJECT[[#This Row],[Patient ID]],'Lookup table'!A:A,'Lookup table'!B:B,,0)</f>
        <v>Ella W Robinson</v>
      </c>
      <c r="AD415" s="3" t="str">
        <f>_xlfn.XLOOKUP(CAPSTONE_PROJECT[[#This Row],[Patient ID]],'Lookup table'!A:A,'Lookup table'!C:C,,0)</f>
        <v>Female</v>
      </c>
      <c r="AE415" s="3" t="str">
        <f>IF(CAPSTONE_PROJECT[[#This Row],[Length of Stay]]&lt;=3,"Short Stay",IF(CAPSTONE_PROJECT[[#This Row],[Length of Stay]]&lt;=7,"Moderate Stay",IF(CAPSTONE_PROJECT[[#This Row],[Length of Stay]]&lt;=14,"Long Stay","Extended Stay")))</f>
        <v>Moderate Stay</v>
      </c>
    </row>
    <row r="416" spans="1:31" x14ac:dyDescent="0.3">
      <c r="A416" s="3" t="s">
        <v>889</v>
      </c>
      <c r="B416" s="4">
        <v>45855</v>
      </c>
      <c r="C416" s="4">
        <v>45856</v>
      </c>
      <c r="D416" s="4">
        <v>24089</v>
      </c>
      <c r="E416" s="3">
        <v>60</v>
      </c>
      <c r="F416" s="3" t="s">
        <v>47</v>
      </c>
      <c r="G416" s="3" t="s">
        <v>57</v>
      </c>
      <c r="H416" s="3" t="s">
        <v>111</v>
      </c>
      <c r="I416" s="3" t="s">
        <v>44</v>
      </c>
      <c r="J416" s="3" t="s">
        <v>14</v>
      </c>
      <c r="K416" s="3" t="s">
        <v>50</v>
      </c>
      <c r="L416" s="6">
        <v>3148.23</v>
      </c>
      <c r="M416" s="6">
        <v>716.06</v>
      </c>
      <c r="N416" s="6">
        <v>2644.61</v>
      </c>
      <c r="O416" s="6">
        <v>12430.01</v>
      </c>
      <c r="P416" s="3" t="s">
        <v>25</v>
      </c>
      <c r="Q416" s="3" t="s">
        <v>1079</v>
      </c>
      <c r="R416" s="3" t="s">
        <v>58</v>
      </c>
      <c r="S416" s="3" t="s">
        <v>890</v>
      </c>
      <c r="T416" s="3">
        <v>1</v>
      </c>
      <c r="U416" s="3">
        <f>CAPSTONE_PROJECT[[#This Row],[Discharge Date]]-CAPSTONE_PROJECT[[#This Row],[Admission Date]]</f>
        <v>1</v>
      </c>
      <c r="V416" s="6">
        <f>SUM(CAPSTONE_PROJECT[[#This Row],[Room Cost]:[Treatment Cost]])</f>
        <v>18938.91</v>
      </c>
      <c r="W416" s="6">
        <f t="shared" si="6"/>
        <v>18938.91</v>
      </c>
      <c r="X416" s="3" t="str">
        <f>TEXT(CAPSTONE_PROJECT[[#This Row],[Admission Date]],"mmmm")</f>
        <v>July</v>
      </c>
      <c r="Y416" s="3" t="str">
        <f>TEXT(CAPSTONE_PROJECT[[#This Row],[Admission Date]],"yyyy")</f>
        <v>2025</v>
      </c>
      <c r="Z416" s="3" t="str">
        <f>TEXT(CAPSTONE_PROJECT[[#This Row],[Admission Date]],"mmm yyyy")</f>
        <v>Jul 2025</v>
      </c>
      <c r="AA416" s="3" t="str">
        <f>TEXT(CAPSTONE_PROJECT[[#This Row],[Admission Date]],"dddd")</f>
        <v>Thursday</v>
      </c>
      <c r="AB416" s="3" t="str">
        <f>IF(CAPSTONE_PROJECT[[#This Row],[Age]]&lt;=34,"Young Adults",IF(CAPSTONE_PROJECT[[#This Row],[Age]]&lt;=59,"Adults","Elders"))</f>
        <v>Elders</v>
      </c>
      <c r="AC416" s="3" t="str">
        <f>_xlfn.XLOOKUP(CAPSTONE_PROJECT[[#This Row],[Patient ID]],'Lookup table'!A:A,'Lookup table'!B:B,,0)</f>
        <v>Oliver Q Walker</v>
      </c>
      <c r="AD416" s="3" t="str">
        <f>_xlfn.XLOOKUP(CAPSTONE_PROJECT[[#This Row],[Patient ID]],'Lookup table'!A:A,'Lookup table'!C:C,,0)</f>
        <v>Male</v>
      </c>
      <c r="AE416" s="3" t="str">
        <f>IF(CAPSTONE_PROJECT[[#This Row],[Length of Stay]]&lt;=3,"Short Stay",IF(CAPSTONE_PROJECT[[#This Row],[Length of Stay]]&lt;=7,"Moderate Stay",IF(CAPSTONE_PROJECT[[#This Row],[Length of Stay]]&lt;=14,"Long Stay","Extended Stay")))</f>
        <v>Short Stay</v>
      </c>
    </row>
    <row r="417" spans="1:31" x14ac:dyDescent="0.3">
      <c r="A417" s="3" t="s">
        <v>891</v>
      </c>
      <c r="B417" s="4">
        <v>45355</v>
      </c>
      <c r="C417" s="4">
        <v>45372</v>
      </c>
      <c r="D417" s="4">
        <v>27959</v>
      </c>
      <c r="E417" s="3">
        <v>49</v>
      </c>
      <c r="F417" s="3" t="s">
        <v>8</v>
      </c>
      <c r="G417" s="3" t="s">
        <v>40</v>
      </c>
      <c r="H417" s="3" t="s">
        <v>111</v>
      </c>
      <c r="I417" s="3" t="s">
        <v>44</v>
      </c>
      <c r="J417" s="3" t="s">
        <v>38</v>
      </c>
      <c r="K417" s="3" t="s">
        <v>65</v>
      </c>
      <c r="L417" s="6">
        <v>1445.44</v>
      </c>
      <c r="M417" s="6">
        <v>326.02999999999997</v>
      </c>
      <c r="N417" s="6">
        <v>2377.2800000000002</v>
      </c>
      <c r="O417" s="6">
        <v>4846.53</v>
      </c>
      <c r="P417" s="3" t="s">
        <v>51</v>
      </c>
      <c r="Q417" s="3" t="s">
        <v>1084</v>
      </c>
      <c r="R417" s="3" t="s">
        <v>102</v>
      </c>
      <c r="S417" s="3" t="s">
        <v>892</v>
      </c>
      <c r="T417" s="3">
        <v>4</v>
      </c>
      <c r="U417" s="3">
        <f>CAPSTONE_PROJECT[[#This Row],[Discharge Date]]-CAPSTONE_PROJECT[[#This Row],[Admission Date]]</f>
        <v>17</v>
      </c>
      <c r="V417" s="6">
        <f>SUM(CAPSTONE_PROJECT[[#This Row],[Room Cost]:[Treatment Cost]])</f>
        <v>8995.2799999999988</v>
      </c>
      <c r="W417" s="6">
        <f t="shared" si="6"/>
        <v>529.1341176470587</v>
      </c>
      <c r="X417" s="3" t="str">
        <f>TEXT(CAPSTONE_PROJECT[[#This Row],[Admission Date]],"mmmm")</f>
        <v>March</v>
      </c>
      <c r="Y417" s="3" t="str">
        <f>TEXT(CAPSTONE_PROJECT[[#This Row],[Admission Date]],"yyyy")</f>
        <v>2024</v>
      </c>
      <c r="Z417" s="3" t="str">
        <f>TEXT(CAPSTONE_PROJECT[[#This Row],[Admission Date]],"mmm yyyy")</f>
        <v>Mar 2024</v>
      </c>
      <c r="AA417" s="3" t="str">
        <f>TEXT(CAPSTONE_PROJECT[[#This Row],[Admission Date]],"dddd")</f>
        <v>Monday</v>
      </c>
      <c r="AB417" s="3" t="str">
        <f>IF(CAPSTONE_PROJECT[[#This Row],[Age]]&lt;=34,"Young Adults",IF(CAPSTONE_PROJECT[[#This Row],[Age]]&lt;=59,"Adults","Elders"))</f>
        <v>Adults</v>
      </c>
      <c r="AC417" s="3" t="str">
        <f>_xlfn.XLOOKUP(CAPSTONE_PROJECT[[#This Row],[Patient ID]],'Lookup table'!A:A,'Lookup table'!B:B,,0)</f>
        <v>Emily O Clarke</v>
      </c>
      <c r="AD417" s="3" t="str">
        <f>_xlfn.XLOOKUP(CAPSTONE_PROJECT[[#This Row],[Patient ID]],'Lookup table'!A:A,'Lookup table'!C:C,,0)</f>
        <v>Female</v>
      </c>
      <c r="AE417" s="3" t="str">
        <f>IF(CAPSTONE_PROJECT[[#This Row],[Length of Stay]]&lt;=3,"Short Stay",IF(CAPSTONE_PROJECT[[#This Row],[Length of Stay]]&lt;=7,"Moderate Stay",IF(CAPSTONE_PROJECT[[#This Row],[Length of Stay]]&lt;=14,"Long Stay","Extended Stay")))</f>
        <v>Extended Stay</v>
      </c>
    </row>
    <row r="418" spans="1:31" x14ac:dyDescent="0.3">
      <c r="A418" s="3" t="s">
        <v>893</v>
      </c>
      <c r="B418" s="4">
        <v>45697</v>
      </c>
      <c r="C418" s="4">
        <v>45698</v>
      </c>
      <c r="D418" s="4">
        <v>34295</v>
      </c>
      <c r="E418" s="3">
        <v>32</v>
      </c>
      <c r="F418" s="3" t="s">
        <v>47</v>
      </c>
      <c r="G418" s="3" t="s">
        <v>34</v>
      </c>
      <c r="H418" s="3" t="s">
        <v>104</v>
      </c>
      <c r="I418" s="3" t="s">
        <v>44</v>
      </c>
      <c r="J418" s="3" t="s">
        <v>23</v>
      </c>
      <c r="K418" s="3" t="s">
        <v>65</v>
      </c>
      <c r="L418" s="6">
        <v>2431.56</v>
      </c>
      <c r="M418" s="6">
        <v>811.54</v>
      </c>
      <c r="N418" s="6">
        <v>2308.8000000000002</v>
      </c>
      <c r="O418" s="6">
        <v>11527.25</v>
      </c>
      <c r="P418" s="3" t="s">
        <v>16</v>
      </c>
      <c r="Q418" s="3" t="s">
        <v>1079</v>
      </c>
      <c r="R418" s="3" t="s">
        <v>19</v>
      </c>
      <c r="S418" s="3" t="s">
        <v>894</v>
      </c>
      <c r="T418" s="3">
        <v>4</v>
      </c>
      <c r="U418" s="3">
        <f>CAPSTONE_PROJECT[[#This Row],[Discharge Date]]-CAPSTONE_PROJECT[[#This Row],[Admission Date]]</f>
        <v>1</v>
      </c>
      <c r="V418" s="6">
        <f>SUM(CAPSTONE_PROJECT[[#This Row],[Room Cost]:[Treatment Cost]])</f>
        <v>17079.150000000001</v>
      </c>
      <c r="W418" s="6">
        <f t="shared" si="6"/>
        <v>17079.150000000001</v>
      </c>
      <c r="X418" s="3" t="str">
        <f>TEXT(CAPSTONE_PROJECT[[#This Row],[Admission Date]],"mmmm")</f>
        <v>February</v>
      </c>
      <c r="Y418" s="3" t="str">
        <f>TEXT(CAPSTONE_PROJECT[[#This Row],[Admission Date]],"yyyy")</f>
        <v>2025</v>
      </c>
      <c r="Z418" s="3" t="str">
        <f>TEXT(CAPSTONE_PROJECT[[#This Row],[Admission Date]],"mmm yyyy")</f>
        <v>Feb 2025</v>
      </c>
      <c r="AA418" s="3" t="str">
        <f>TEXT(CAPSTONE_PROJECT[[#This Row],[Admission Date]],"dddd")</f>
        <v>Sunday</v>
      </c>
      <c r="AB418" s="3" t="str">
        <f>IF(CAPSTONE_PROJECT[[#This Row],[Age]]&lt;=34,"Young Adults",IF(CAPSTONE_PROJECT[[#This Row],[Age]]&lt;=59,"Adults","Elders"))</f>
        <v>Young Adults</v>
      </c>
      <c r="AC418" s="3" t="str">
        <f>_xlfn.XLOOKUP(CAPSTONE_PROJECT[[#This Row],[Patient ID]],'Lookup table'!A:A,'Lookup table'!B:B,,0)</f>
        <v>Michael N Smith</v>
      </c>
      <c r="AD418" s="3" t="str">
        <f>_xlfn.XLOOKUP(CAPSTONE_PROJECT[[#This Row],[Patient ID]],'Lookup table'!A:A,'Lookup table'!C:C,,0)</f>
        <v>Male</v>
      </c>
      <c r="AE418" s="3" t="str">
        <f>IF(CAPSTONE_PROJECT[[#This Row],[Length of Stay]]&lt;=3,"Short Stay",IF(CAPSTONE_PROJECT[[#This Row],[Length of Stay]]&lt;=7,"Moderate Stay",IF(CAPSTONE_PROJECT[[#This Row],[Length of Stay]]&lt;=14,"Long Stay","Extended Stay")))</f>
        <v>Short Stay</v>
      </c>
    </row>
    <row r="419" spans="1:31" x14ac:dyDescent="0.3">
      <c r="A419" s="3" t="s">
        <v>895</v>
      </c>
      <c r="B419" s="4">
        <v>45634</v>
      </c>
      <c r="C419" s="4">
        <v>45641</v>
      </c>
      <c r="D419" s="4">
        <v>34251</v>
      </c>
      <c r="E419" s="3">
        <v>32</v>
      </c>
      <c r="F419" s="3" t="s">
        <v>18</v>
      </c>
      <c r="G419" s="3" t="s">
        <v>78</v>
      </c>
      <c r="H419" s="3" t="s">
        <v>29</v>
      </c>
      <c r="I419" s="3" t="s">
        <v>44</v>
      </c>
      <c r="J419" s="3" t="s">
        <v>30</v>
      </c>
      <c r="K419" s="3" t="s">
        <v>24</v>
      </c>
      <c r="L419" s="6">
        <v>2038.68</v>
      </c>
      <c r="M419" s="6">
        <v>1873.18</v>
      </c>
      <c r="N419" s="6">
        <v>1901.88</v>
      </c>
      <c r="O419" s="6">
        <v>6876.78</v>
      </c>
      <c r="P419" s="3" t="s">
        <v>25</v>
      </c>
      <c r="Q419" s="3" t="s">
        <v>1076</v>
      </c>
      <c r="R419" s="3" t="s">
        <v>19</v>
      </c>
      <c r="S419" s="3" t="s">
        <v>896</v>
      </c>
      <c r="T419" s="3">
        <v>10</v>
      </c>
      <c r="U419" s="3">
        <f>CAPSTONE_PROJECT[[#This Row],[Discharge Date]]-CAPSTONE_PROJECT[[#This Row],[Admission Date]]</f>
        <v>7</v>
      </c>
      <c r="V419" s="6">
        <f>SUM(CAPSTONE_PROJECT[[#This Row],[Room Cost]:[Treatment Cost]])</f>
        <v>12690.52</v>
      </c>
      <c r="W419" s="6">
        <f t="shared" si="6"/>
        <v>1812.9314285714286</v>
      </c>
      <c r="X419" s="3" t="str">
        <f>TEXT(CAPSTONE_PROJECT[[#This Row],[Admission Date]],"mmmm")</f>
        <v>December</v>
      </c>
      <c r="Y419" s="3" t="str">
        <f>TEXT(CAPSTONE_PROJECT[[#This Row],[Admission Date]],"yyyy")</f>
        <v>2024</v>
      </c>
      <c r="Z419" s="3" t="str">
        <f>TEXT(CAPSTONE_PROJECT[[#This Row],[Admission Date]],"mmm yyyy")</f>
        <v>Dec 2024</v>
      </c>
      <c r="AA419" s="3" t="str">
        <f>TEXT(CAPSTONE_PROJECT[[#This Row],[Admission Date]],"dddd")</f>
        <v>Sunday</v>
      </c>
      <c r="AB419" s="3" t="str">
        <f>IF(CAPSTONE_PROJECT[[#This Row],[Age]]&lt;=34,"Young Adults",IF(CAPSTONE_PROJECT[[#This Row],[Age]]&lt;=59,"Adults","Elders"))</f>
        <v>Young Adults</v>
      </c>
      <c r="AC419" s="3" t="str">
        <f>_xlfn.XLOOKUP(CAPSTONE_PROJECT[[#This Row],[Patient ID]],'Lookup table'!A:A,'Lookup table'!B:B,,0)</f>
        <v>Ella T Thompson</v>
      </c>
      <c r="AD419" s="3" t="str">
        <f>_xlfn.XLOOKUP(CAPSTONE_PROJECT[[#This Row],[Patient ID]],'Lookup table'!A:A,'Lookup table'!C:C,,0)</f>
        <v>Female</v>
      </c>
      <c r="AE419" s="3" t="str">
        <f>IF(CAPSTONE_PROJECT[[#This Row],[Length of Stay]]&lt;=3,"Short Stay",IF(CAPSTONE_PROJECT[[#This Row],[Length of Stay]]&lt;=7,"Moderate Stay",IF(CAPSTONE_PROJECT[[#This Row],[Length of Stay]]&lt;=14,"Long Stay","Extended Stay")))</f>
        <v>Moderate Stay</v>
      </c>
    </row>
    <row r="420" spans="1:31" x14ac:dyDescent="0.3">
      <c r="A420" s="3" t="s">
        <v>897</v>
      </c>
      <c r="B420" s="4">
        <v>45477</v>
      </c>
      <c r="C420" s="4">
        <v>45488</v>
      </c>
      <c r="D420" s="4">
        <v>23383</v>
      </c>
      <c r="E420" s="3">
        <v>62</v>
      </c>
      <c r="F420" s="3" t="s">
        <v>8</v>
      </c>
      <c r="G420" s="3" t="s">
        <v>9</v>
      </c>
      <c r="H420" s="3" t="s">
        <v>72</v>
      </c>
      <c r="I420" s="3" t="s">
        <v>37</v>
      </c>
      <c r="J420" s="3" t="s">
        <v>73</v>
      </c>
      <c r="K420" s="3" t="s">
        <v>65</v>
      </c>
      <c r="L420" s="6">
        <v>4849.12</v>
      </c>
      <c r="M420" s="6">
        <v>221.68</v>
      </c>
      <c r="N420" s="6">
        <v>2023.42</v>
      </c>
      <c r="O420" s="6">
        <v>5916.06</v>
      </c>
      <c r="P420" s="3" t="s">
        <v>25</v>
      </c>
      <c r="Q420" s="3" t="s">
        <v>1085</v>
      </c>
      <c r="R420" s="3" t="s">
        <v>102</v>
      </c>
      <c r="S420" s="3" t="s">
        <v>898</v>
      </c>
      <c r="T420" s="3">
        <v>10</v>
      </c>
      <c r="U420" s="3">
        <f>CAPSTONE_PROJECT[[#This Row],[Discharge Date]]-CAPSTONE_PROJECT[[#This Row],[Admission Date]]</f>
        <v>11</v>
      </c>
      <c r="V420" s="6">
        <f>SUM(CAPSTONE_PROJECT[[#This Row],[Room Cost]:[Treatment Cost]])</f>
        <v>13010.28</v>
      </c>
      <c r="W420" s="6">
        <f t="shared" si="6"/>
        <v>1182.7527272727273</v>
      </c>
      <c r="X420" s="3" t="str">
        <f>TEXT(CAPSTONE_PROJECT[[#This Row],[Admission Date]],"mmmm")</f>
        <v>July</v>
      </c>
      <c r="Y420" s="3" t="str">
        <f>TEXT(CAPSTONE_PROJECT[[#This Row],[Admission Date]],"yyyy")</f>
        <v>2024</v>
      </c>
      <c r="Z420" s="3" t="str">
        <f>TEXT(CAPSTONE_PROJECT[[#This Row],[Admission Date]],"mmm yyyy")</f>
        <v>Jul 2024</v>
      </c>
      <c r="AA420" s="3" t="str">
        <f>TEXT(CAPSTONE_PROJECT[[#This Row],[Admission Date]],"dddd")</f>
        <v>Thursday</v>
      </c>
      <c r="AB420" s="3" t="str">
        <f>IF(CAPSTONE_PROJECT[[#This Row],[Age]]&lt;=34,"Young Adults",IF(CAPSTONE_PROJECT[[#This Row],[Age]]&lt;=59,"Adults","Elders"))</f>
        <v>Elders</v>
      </c>
      <c r="AC420" s="3" t="str">
        <f>_xlfn.XLOOKUP(CAPSTONE_PROJECT[[#This Row],[Patient ID]],'Lookup table'!A:A,'Lookup table'!B:B,,0)</f>
        <v>Daniel Brown</v>
      </c>
      <c r="AD420" s="3" t="str">
        <f>_xlfn.XLOOKUP(CAPSTONE_PROJECT[[#This Row],[Patient ID]],'Lookup table'!A:A,'Lookup table'!C:C,,0)</f>
        <v>Male</v>
      </c>
      <c r="AE420" s="3" t="str">
        <f>IF(CAPSTONE_PROJECT[[#This Row],[Length of Stay]]&lt;=3,"Short Stay",IF(CAPSTONE_PROJECT[[#This Row],[Length of Stay]]&lt;=7,"Moderate Stay",IF(CAPSTONE_PROJECT[[#This Row],[Length of Stay]]&lt;=14,"Long Stay","Extended Stay")))</f>
        <v>Long Stay</v>
      </c>
    </row>
    <row r="421" spans="1:31" x14ac:dyDescent="0.3">
      <c r="A421" s="3" t="s">
        <v>899</v>
      </c>
      <c r="B421" s="4">
        <v>45369</v>
      </c>
      <c r="C421" s="4">
        <v>45378</v>
      </c>
      <c r="D421" s="4">
        <v>26645</v>
      </c>
      <c r="E421" s="3">
        <v>53</v>
      </c>
      <c r="F421" s="3" t="s">
        <v>18</v>
      </c>
      <c r="G421" s="3" t="s">
        <v>27</v>
      </c>
      <c r="H421" s="3" t="s">
        <v>111</v>
      </c>
      <c r="I421" s="3" t="s">
        <v>44</v>
      </c>
      <c r="J421" s="3" t="s">
        <v>38</v>
      </c>
      <c r="K421" s="3" t="s">
        <v>24</v>
      </c>
      <c r="L421" s="6">
        <v>4760.97</v>
      </c>
      <c r="M421" s="6">
        <v>1551.59</v>
      </c>
      <c r="N421" s="6">
        <v>571.21</v>
      </c>
      <c r="O421" s="6">
        <v>4946.5600000000004</v>
      </c>
      <c r="P421" s="3" t="s">
        <v>31</v>
      </c>
      <c r="Q421" s="3" t="s">
        <v>1078</v>
      </c>
      <c r="R421" s="3" t="s">
        <v>58</v>
      </c>
      <c r="S421" s="3" t="s">
        <v>900</v>
      </c>
      <c r="T421" s="3">
        <v>5</v>
      </c>
      <c r="U421" s="3">
        <f>CAPSTONE_PROJECT[[#This Row],[Discharge Date]]-CAPSTONE_PROJECT[[#This Row],[Admission Date]]</f>
        <v>9</v>
      </c>
      <c r="V421" s="6">
        <f>SUM(CAPSTONE_PROJECT[[#This Row],[Room Cost]:[Treatment Cost]])</f>
        <v>11830.330000000002</v>
      </c>
      <c r="W421" s="6">
        <f t="shared" si="6"/>
        <v>1314.4811111111112</v>
      </c>
      <c r="X421" s="3" t="str">
        <f>TEXT(CAPSTONE_PROJECT[[#This Row],[Admission Date]],"mmmm")</f>
        <v>March</v>
      </c>
      <c r="Y421" s="3" t="str">
        <f>TEXT(CAPSTONE_PROJECT[[#This Row],[Admission Date]],"yyyy")</f>
        <v>2024</v>
      </c>
      <c r="Z421" s="3" t="str">
        <f>TEXT(CAPSTONE_PROJECT[[#This Row],[Admission Date]],"mmm yyyy")</f>
        <v>Mar 2024</v>
      </c>
      <c r="AA421" s="3" t="str">
        <f>TEXT(CAPSTONE_PROJECT[[#This Row],[Admission Date]],"dddd")</f>
        <v>Monday</v>
      </c>
      <c r="AB421" s="3" t="str">
        <f>IF(CAPSTONE_PROJECT[[#This Row],[Age]]&lt;=34,"Young Adults",IF(CAPSTONE_PROJECT[[#This Row],[Age]]&lt;=59,"Adults","Elders"))</f>
        <v>Adults</v>
      </c>
      <c r="AC421" s="3" t="str">
        <f>_xlfn.XLOOKUP(CAPSTONE_PROJECT[[#This Row],[Patient ID]],'Lookup table'!A:A,'Lookup table'!B:B,,0)</f>
        <v>Emma V Jones</v>
      </c>
      <c r="AD421" s="3" t="str">
        <f>_xlfn.XLOOKUP(CAPSTONE_PROJECT[[#This Row],[Patient ID]],'Lookup table'!A:A,'Lookup table'!C:C,,0)</f>
        <v>Female</v>
      </c>
      <c r="AE421" s="3" t="str">
        <f>IF(CAPSTONE_PROJECT[[#This Row],[Length of Stay]]&lt;=3,"Short Stay",IF(CAPSTONE_PROJECT[[#This Row],[Length of Stay]]&lt;=7,"Moderate Stay",IF(CAPSTONE_PROJECT[[#This Row],[Length of Stay]]&lt;=14,"Long Stay","Extended Stay")))</f>
        <v>Long Stay</v>
      </c>
    </row>
    <row r="422" spans="1:31" x14ac:dyDescent="0.3">
      <c r="A422" s="3" t="s">
        <v>901</v>
      </c>
      <c r="B422" s="4">
        <v>45322</v>
      </c>
      <c r="C422" s="4">
        <v>45324</v>
      </c>
      <c r="D422" s="4">
        <v>25885</v>
      </c>
      <c r="E422" s="3">
        <v>55</v>
      </c>
      <c r="F422" s="3" t="s">
        <v>8</v>
      </c>
      <c r="G422" s="3" t="s">
        <v>48</v>
      </c>
      <c r="H422" s="3" t="s">
        <v>1080</v>
      </c>
      <c r="I422" s="3" t="s">
        <v>44</v>
      </c>
      <c r="J422" s="3" t="s">
        <v>45</v>
      </c>
      <c r="K422" s="3" t="s">
        <v>65</v>
      </c>
      <c r="L422" s="6">
        <v>4796.54</v>
      </c>
      <c r="M422" s="6">
        <v>938.95</v>
      </c>
      <c r="N422" s="6">
        <v>161.68</v>
      </c>
      <c r="O422" s="6">
        <v>11196.12</v>
      </c>
      <c r="P422" s="3" t="s">
        <v>51</v>
      </c>
      <c r="Q422" s="3" t="s">
        <v>1082</v>
      </c>
      <c r="R422" s="3" t="s">
        <v>68</v>
      </c>
      <c r="S422" s="3" t="s">
        <v>902</v>
      </c>
      <c r="T422" s="3">
        <v>1</v>
      </c>
      <c r="U422" s="3">
        <f>CAPSTONE_PROJECT[[#This Row],[Discharge Date]]-CAPSTONE_PROJECT[[#This Row],[Admission Date]]</f>
        <v>2</v>
      </c>
      <c r="V422" s="6">
        <f>SUM(CAPSTONE_PROJECT[[#This Row],[Room Cost]:[Treatment Cost]])</f>
        <v>17093.29</v>
      </c>
      <c r="W422" s="6">
        <f t="shared" si="6"/>
        <v>8546.6450000000004</v>
      </c>
      <c r="X422" s="3" t="str">
        <f>TEXT(CAPSTONE_PROJECT[[#This Row],[Admission Date]],"mmmm")</f>
        <v>January</v>
      </c>
      <c r="Y422" s="3" t="str">
        <f>TEXT(CAPSTONE_PROJECT[[#This Row],[Admission Date]],"yyyy")</f>
        <v>2024</v>
      </c>
      <c r="Z422" s="3" t="str">
        <f>TEXT(CAPSTONE_PROJECT[[#This Row],[Admission Date]],"mmm yyyy")</f>
        <v>Jan 2024</v>
      </c>
      <c r="AA422" s="3" t="str">
        <f>TEXT(CAPSTONE_PROJECT[[#This Row],[Admission Date]],"dddd")</f>
        <v>Wednesday</v>
      </c>
      <c r="AB422" s="3" t="str">
        <f>IF(CAPSTONE_PROJECT[[#This Row],[Age]]&lt;=34,"Young Adults",IF(CAPSTONE_PROJECT[[#This Row],[Age]]&lt;=59,"Adults","Elders"))</f>
        <v>Adults</v>
      </c>
      <c r="AC422" s="3" t="str">
        <f>_xlfn.XLOOKUP(CAPSTONE_PROJECT[[#This Row],[Patient ID]],'Lookup table'!A:A,'Lookup table'!B:B,,0)</f>
        <v>Leo Brown</v>
      </c>
      <c r="AD422" s="3" t="str">
        <f>_xlfn.XLOOKUP(CAPSTONE_PROJECT[[#This Row],[Patient ID]],'Lookup table'!A:A,'Lookup table'!C:C,,0)</f>
        <v>Male</v>
      </c>
      <c r="AE422" s="3" t="str">
        <f>IF(CAPSTONE_PROJECT[[#This Row],[Length of Stay]]&lt;=3,"Short Stay",IF(CAPSTONE_PROJECT[[#This Row],[Length of Stay]]&lt;=7,"Moderate Stay",IF(CAPSTONE_PROJECT[[#This Row],[Length of Stay]]&lt;=14,"Long Stay","Extended Stay")))</f>
        <v>Short Stay</v>
      </c>
    </row>
    <row r="423" spans="1:31" x14ac:dyDescent="0.3">
      <c r="A423" s="3" t="s">
        <v>903</v>
      </c>
      <c r="B423" s="4">
        <v>45585</v>
      </c>
      <c r="C423" s="4">
        <v>45597</v>
      </c>
      <c r="D423" s="4">
        <v>33209</v>
      </c>
      <c r="E423" s="3">
        <v>35</v>
      </c>
      <c r="F423" s="3" t="s">
        <v>8</v>
      </c>
      <c r="G423" s="3" t="s">
        <v>53</v>
      </c>
      <c r="H423" s="3" t="s">
        <v>100</v>
      </c>
      <c r="I423" s="3" t="s">
        <v>22</v>
      </c>
      <c r="J423" s="3" t="s">
        <v>23</v>
      </c>
      <c r="K423" s="3" t="s">
        <v>15</v>
      </c>
      <c r="L423" s="6">
        <v>868.22</v>
      </c>
      <c r="M423" s="6">
        <v>1838.88</v>
      </c>
      <c r="N423" s="6">
        <v>2296.39</v>
      </c>
      <c r="O423" s="6">
        <v>7364.39</v>
      </c>
      <c r="P423" s="3" t="s">
        <v>16</v>
      </c>
      <c r="Q423" s="3" t="s">
        <v>1082</v>
      </c>
      <c r="R423" s="3" t="s">
        <v>41</v>
      </c>
      <c r="S423" s="3" t="s">
        <v>904</v>
      </c>
      <c r="T423" s="3">
        <v>6</v>
      </c>
      <c r="U423" s="3">
        <f>CAPSTONE_PROJECT[[#This Row],[Discharge Date]]-CAPSTONE_PROJECT[[#This Row],[Admission Date]]</f>
        <v>12</v>
      </c>
      <c r="V423" s="6">
        <f>SUM(CAPSTONE_PROJECT[[#This Row],[Room Cost]:[Treatment Cost]])</f>
        <v>12367.880000000001</v>
      </c>
      <c r="W423" s="6">
        <f t="shared" si="6"/>
        <v>1030.6566666666668</v>
      </c>
      <c r="X423" s="3" t="str">
        <f>TEXT(CAPSTONE_PROJECT[[#This Row],[Admission Date]],"mmmm")</f>
        <v>October</v>
      </c>
      <c r="Y423" s="3" t="str">
        <f>TEXT(CAPSTONE_PROJECT[[#This Row],[Admission Date]],"yyyy")</f>
        <v>2024</v>
      </c>
      <c r="Z423" s="3" t="str">
        <f>TEXT(CAPSTONE_PROJECT[[#This Row],[Admission Date]],"mmm yyyy")</f>
        <v>Oct 2024</v>
      </c>
      <c r="AA423" s="3" t="str">
        <f>TEXT(CAPSTONE_PROJECT[[#This Row],[Admission Date]],"dddd")</f>
        <v>Sunday</v>
      </c>
      <c r="AB423" s="3" t="str">
        <f>IF(CAPSTONE_PROJECT[[#This Row],[Age]]&lt;=34,"Young Adults",IF(CAPSTONE_PROJECT[[#This Row],[Age]]&lt;=59,"Adults","Elders"))</f>
        <v>Adults</v>
      </c>
      <c r="AC423" s="3" t="str">
        <f>_xlfn.XLOOKUP(CAPSTONE_PROJECT[[#This Row],[Patient ID]],'Lookup table'!A:A,'Lookup table'!B:B,,0)</f>
        <v>Lily S Walker</v>
      </c>
      <c r="AD423" s="3" t="str">
        <f>_xlfn.XLOOKUP(CAPSTONE_PROJECT[[#This Row],[Patient ID]],'Lookup table'!A:A,'Lookup table'!C:C,,0)</f>
        <v>Female</v>
      </c>
      <c r="AE423" s="3" t="str">
        <f>IF(CAPSTONE_PROJECT[[#This Row],[Length of Stay]]&lt;=3,"Short Stay",IF(CAPSTONE_PROJECT[[#This Row],[Length of Stay]]&lt;=7,"Moderate Stay",IF(CAPSTONE_PROJECT[[#This Row],[Length of Stay]]&lt;=14,"Long Stay","Extended Stay")))</f>
        <v>Long Stay</v>
      </c>
    </row>
    <row r="424" spans="1:31" x14ac:dyDescent="0.3">
      <c r="A424" s="3" t="s">
        <v>905</v>
      </c>
      <c r="B424" s="4">
        <v>45988</v>
      </c>
      <c r="C424" s="4">
        <v>45994</v>
      </c>
      <c r="D424" s="4">
        <v>26935</v>
      </c>
      <c r="E424" s="3">
        <v>52</v>
      </c>
      <c r="F424" s="3" t="s">
        <v>18</v>
      </c>
      <c r="G424" s="3" t="s">
        <v>48</v>
      </c>
      <c r="H424" s="3" t="s">
        <v>43</v>
      </c>
      <c r="I424" s="3" t="s">
        <v>37</v>
      </c>
      <c r="J424" s="3" t="s">
        <v>14</v>
      </c>
      <c r="K424" s="3" t="s">
        <v>65</v>
      </c>
      <c r="L424" s="6">
        <v>1522.97</v>
      </c>
      <c r="M424" s="6">
        <v>1455.49</v>
      </c>
      <c r="N424" s="6">
        <v>2536.16</v>
      </c>
      <c r="O424" s="6">
        <v>5607.51</v>
      </c>
      <c r="P424" s="3" t="s">
        <v>51</v>
      </c>
      <c r="Q424" s="3" t="s">
        <v>1078</v>
      </c>
      <c r="R424" s="3" t="s">
        <v>10</v>
      </c>
      <c r="S424" s="3" t="s">
        <v>906</v>
      </c>
      <c r="T424" s="3">
        <v>3</v>
      </c>
      <c r="U424" s="3">
        <f>CAPSTONE_PROJECT[[#This Row],[Discharge Date]]-CAPSTONE_PROJECT[[#This Row],[Admission Date]]</f>
        <v>6</v>
      </c>
      <c r="V424" s="6">
        <f>SUM(CAPSTONE_PROJECT[[#This Row],[Room Cost]:[Treatment Cost]])</f>
        <v>11122.130000000001</v>
      </c>
      <c r="W424" s="6">
        <f t="shared" si="6"/>
        <v>1853.6883333333335</v>
      </c>
      <c r="X424" s="3" t="str">
        <f>TEXT(CAPSTONE_PROJECT[[#This Row],[Admission Date]],"mmmm")</f>
        <v>November</v>
      </c>
      <c r="Y424" s="3" t="str">
        <f>TEXT(CAPSTONE_PROJECT[[#This Row],[Admission Date]],"yyyy")</f>
        <v>2025</v>
      </c>
      <c r="Z424" s="3" t="str">
        <f>TEXT(CAPSTONE_PROJECT[[#This Row],[Admission Date]],"mmm yyyy")</f>
        <v>Nov 2025</v>
      </c>
      <c r="AA424" s="3" t="str">
        <f>TEXT(CAPSTONE_PROJECT[[#This Row],[Admission Date]],"dddd")</f>
        <v>Thursday</v>
      </c>
      <c r="AB424" s="3" t="str">
        <f>IF(CAPSTONE_PROJECT[[#This Row],[Age]]&lt;=34,"Young Adults",IF(CAPSTONE_PROJECT[[#This Row],[Age]]&lt;=59,"Adults","Elders"))</f>
        <v>Adults</v>
      </c>
      <c r="AC424" s="3" t="str">
        <f>_xlfn.XLOOKUP(CAPSTONE_PROJECT[[#This Row],[Patient ID]],'Lookup table'!A:A,'Lookup table'!B:B,,0)</f>
        <v>John White</v>
      </c>
      <c r="AD424" s="3" t="str">
        <f>_xlfn.XLOOKUP(CAPSTONE_PROJECT[[#This Row],[Patient ID]],'Lookup table'!A:A,'Lookup table'!C:C,,0)</f>
        <v>Male</v>
      </c>
      <c r="AE424" s="3" t="str">
        <f>IF(CAPSTONE_PROJECT[[#This Row],[Length of Stay]]&lt;=3,"Short Stay",IF(CAPSTONE_PROJECT[[#This Row],[Length of Stay]]&lt;=7,"Moderate Stay",IF(CAPSTONE_PROJECT[[#This Row],[Length of Stay]]&lt;=14,"Long Stay","Extended Stay")))</f>
        <v>Moderate Stay</v>
      </c>
    </row>
    <row r="425" spans="1:31" x14ac:dyDescent="0.3">
      <c r="A425" s="3" t="s">
        <v>907</v>
      </c>
      <c r="B425" s="4">
        <v>45674</v>
      </c>
      <c r="C425" s="4">
        <v>45692</v>
      </c>
      <c r="D425" s="4">
        <v>19169</v>
      </c>
      <c r="E425" s="3">
        <v>73</v>
      </c>
      <c r="F425" s="3" t="s">
        <v>33</v>
      </c>
      <c r="G425" s="3" t="s">
        <v>78</v>
      </c>
      <c r="H425" s="3" t="s">
        <v>111</v>
      </c>
      <c r="I425" s="3" t="s">
        <v>37</v>
      </c>
      <c r="J425" s="3" t="s">
        <v>30</v>
      </c>
      <c r="K425" s="3" t="s">
        <v>15</v>
      </c>
      <c r="L425" s="6">
        <v>4602.82</v>
      </c>
      <c r="M425" s="6">
        <v>2008.72</v>
      </c>
      <c r="N425" s="6">
        <v>2448.11</v>
      </c>
      <c r="O425" s="6">
        <v>6287.23</v>
      </c>
      <c r="P425" s="3" t="s">
        <v>51</v>
      </c>
      <c r="Q425" s="3" t="s">
        <v>1076</v>
      </c>
      <c r="R425" s="3" t="s">
        <v>102</v>
      </c>
      <c r="S425" s="3" t="s">
        <v>908</v>
      </c>
      <c r="T425" s="3">
        <v>7</v>
      </c>
      <c r="U425" s="3">
        <f>CAPSTONE_PROJECT[[#This Row],[Discharge Date]]-CAPSTONE_PROJECT[[#This Row],[Admission Date]]</f>
        <v>18</v>
      </c>
      <c r="V425" s="6">
        <f>SUM(CAPSTONE_PROJECT[[#This Row],[Room Cost]:[Treatment Cost]])</f>
        <v>15346.88</v>
      </c>
      <c r="W425" s="6">
        <f t="shared" si="6"/>
        <v>852.60444444444443</v>
      </c>
      <c r="X425" s="3" t="str">
        <f>TEXT(CAPSTONE_PROJECT[[#This Row],[Admission Date]],"mmmm")</f>
        <v>January</v>
      </c>
      <c r="Y425" s="3" t="str">
        <f>TEXT(CAPSTONE_PROJECT[[#This Row],[Admission Date]],"yyyy")</f>
        <v>2025</v>
      </c>
      <c r="Z425" s="3" t="str">
        <f>TEXT(CAPSTONE_PROJECT[[#This Row],[Admission Date]],"mmm yyyy")</f>
        <v>Jan 2025</v>
      </c>
      <c r="AA425" s="3" t="str">
        <f>TEXT(CAPSTONE_PROJECT[[#This Row],[Admission Date]],"dddd")</f>
        <v>Friday</v>
      </c>
      <c r="AB425" s="3" t="str">
        <f>IF(CAPSTONE_PROJECT[[#This Row],[Age]]&lt;=34,"Young Adults",IF(CAPSTONE_PROJECT[[#This Row],[Age]]&lt;=59,"Adults","Elders"))</f>
        <v>Elders</v>
      </c>
      <c r="AC425" s="3" t="str">
        <f>_xlfn.XLOOKUP(CAPSTONE_PROJECT[[#This Row],[Patient ID]],'Lookup table'!A:A,'Lookup table'!B:B,,0)</f>
        <v>Mia I Wood</v>
      </c>
      <c r="AD425" s="3" t="str">
        <f>_xlfn.XLOOKUP(CAPSTONE_PROJECT[[#This Row],[Patient ID]],'Lookup table'!A:A,'Lookup table'!C:C,,0)</f>
        <v>Female</v>
      </c>
      <c r="AE425" s="3" t="str">
        <f>IF(CAPSTONE_PROJECT[[#This Row],[Length of Stay]]&lt;=3,"Short Stay",IF(CAPSTONE_PROJECT[[#This Row],[Length of Stay]]&lt;=7,"Moderate Stay",IF(CAPSTONE_PROJECT[[#This Row],[Length of Stay]]&lt;=14,"Long Stay","Extended Stay")))</f>
        <v>Extended Stay</v>
      </c>
    </row>
    <row r="426" spans="1:31" x14ac:dyDescent="0.3">
      <c r="A426" s="3" t="s">
        <v>909</v>
      </c>
      <c r="B426" s="4">
        <v>45504</v>
      </c>
      <c r="C426" s="4">
        <v>45510</v>
      </c>
      <c r="D426" s="4">
        <v>16926</v>
      </c>
      <c r="E426" s="3">
        <v>80</v>
      </c>
      <c r="F426" s="3" t="s">
        <v>8</v>
      </c>
      <c r="G426" s="3" t="s">
        <v>53</v>
      </c>
      <c r="H426" s="3" t="s">
        <v>100</v>
      </c>
      <c r="I426" s="3" t="s">
        <v>13</v>
      </c>
      <c r="J426" s="3" t="s">
        <v>73</v>
      </c>
      <c r="K426" s="3" t="s">
        <v>65</v>
      </c>
      <c r="L426" s="6">
        <v>379.58</v>
      </c>
      <c r="M426" s="6">
        <v>1032.06</v>
      </c>
      <c r="N426" s="6">
        <v>579.19000000000005</v>
      </c>
      <c r="O426" s="6">
        <v>9010.6299999999992</v>
      </c>
      <c r="P426" s="3" t="s">
        <v>16</v>
      </c>
      <c r="Q426" s="3" t="s">
        <v>1082</v>
      </c>
      <c r="R426" s="3" t="s">
        <v>75</v>
      </c>
      <c r="S426" s="3" t="s">
        <v>910</v>
      </c>
      <c r="T426" s="3">
        <v>4</v>
      </c>
      <c r="U426" s="3">
        <f>CAPSTONE_PROJECT[[#This Row],[Discharge Date]]-CAPSTONE_PROJECT[[#This Row],[Admission Date]]</f>
        <v>6</v>
      </c>
      <c r="V426" s="6">
        <f>SUM(CAPSTONE_PROJECT[[#This Row],[Room Cost]:[Treatment Cost]])</f>
        <v>11001.46</v>
      </c>
      <c r="W426" s="6">
        <f t="shared" si="6"/>
        <v>1833.5766666666666</v>
      </c>
      <c r="X426" s="3" t="str">
        <f>TEXT(CAPSTONE_PROJECT[[#This Row],[Admission Date]],"mmmm")</f>
        <v>July</v>
      </c>
      <c r="Y426" s="3" t="str">
        <f>TEXT(CAPSTONE_PROJECT[[#This Row],[Admission Date]],"yyyy")</f>
        <v>2024</v>
      </c>
      <c r="Z426" s="3" t="str">
        <f>TEXT(CAPSTONE_PROJECT[[#This Row],[Admission Date]],"mmm yyyy")</f>
        <v>Jul 2024</v>
      </c>
      <c r="AA426" s="3" t="str">
        <f>TEXT(CAPSTONE_PROJECT[[#This Row],[Admission Date]],"dddd")</f>
        <v>Wednesday</v>
      </c>
      <c r="AB426" s="3" t="str">
        <f>IF(CAPSTONE_PROJECT[[#This Row],[Age]]&lt;=34,"Young Adults",IF(CAPSTONE_PROJECT[[#This Row],[Age]]&lt;=59,"Adults","Elders"))</f>
        <v>Elders</v>
      </c>
      <c r="AC426" s="3" t="str">
        <f>_xlfn.XLOOKUP(CAPSTONE_PROJECT[[#This Row],[Patient ID]],'Lookup table'!A:A,'Lookup table'!B:B,,0)</f>
        <v>David U Hall</v>
      </c>
      <c r="AD426" s="3" t="str">
        <f>_xlfn.XLOOKUP(CAPSTONE_PROJECT[[#This Row],[Patient ID]],'Lookup table'!A:A,'Lookup table'!C:C,,0)</f>
        <v>Male</v>
      </c>
      <c r="AE426" s="3" t="str">
        <f>IF(CAPSTONE_PROJECT[[#This Row],[Length of Stay]]&lt;=3,"Short Stay",IF(CAPSTONE_PROJECT[[#This Row],[Length of Stay]]&lt;=7,"Moderate Stay",IF(CAPSTONE_PROJECT[[#This Row],[Length of Stay]]&lt;=14,"Long Stay","Extended Stay")))</f>
        <v>Moderate Stay</v>
      </c>
    </row>
    <row r="427" spans="1:31" x14ac:dyDescent="0.3">
      <c r="A427" s="3" t="s">
        <v>911</v>
      </c>
      <c r="B427" s="4">
        <v>45927</v>
      </c>
      <c r="C427" s="4">
        <v>45939</v>
      </c>
      <c r="D427" s="4">
        <v>26652</v>
      </c>
      <c r="E427" s="3">
        <v>53</v>
      </c>
      <c r="F427" s="3" t="s">
        <v>47</v>
      </c>
      <c r="G427" s="3" t="s">
        <v>139</v>
      </c>
      <c r="H427" s="3" t="s">
        <v>1080</v>
      </c>
      <c r="I427" s="3" t="s">
        <v>22</v>
      </c>
      <c r="J427" s="3" t="s">
        <v>38</v>
      </c>
      <c r="K427" s="3" t="s">
        <v>15</v>
      </c>
      <c r="L427" s="6">
        <v>1210.3399999999999</v>
      </c>
      <c r="M427" s="6">
        <v>1441.04</v>
      </c>
      <c r="N427" s="6">
        <v>452.49</v>
      </c>
      <c r="O427" s="6">
        <v>2065.29</v>
      </c>
      <c r="P427" s="3" t="s">
        <v>16</v>
      </c>
      <c r="Q427" s="3" t="s">
        <v>1076</v>
      </c>
      <c r="R427" s="3" t="s">
        <v>10</v>
      </c>
      <c r="S427" s="3" t="s">
        <v>912</v>
      </c>
      <c r="T427" s="3">
        <v>9</v>
      </c>
      <c r="U427" s="3">
        <f>CAPSTONE_PROJECT[[#This Row],[Discharge Date]]-CAPSTONE_PROJECT[[#This Row],[Admission Date]]</f>
        <v>12</v>
      </c>
      <c r="V427" s="6">
        <f>SUM(CAPSTONE_PROJECT[[#This Row],[Room Cost]:[Treatment Cost]])</f>
        <v>5169.16</v>
      </c>
      <c r="W427" s="6">
        <f t="shared" si="6"/>
        <v>430.76333333333332</v>
      </c>
      <c r="X427" s="3" t="str">
        <f>TEXT(CAPSTONE_PROJECT[[#This Row],[Admission Date]],"mmmm")</f>
        <v>September</v>
      </c>
      <c r="Y427" s="3" t="str">
        <f>TEXT(CAPSTONE_PROJECT[[#This Row],[Admission Date]],"yyyy")</f>
        <v>2025</v>
      </c>
      <c r="Z427" s="3" t="str">
        <f>TEXT(CAPSTONE_PROJECT[[#This Row],[Admission Date]],"mmm yyyy")</f>
        <v>Sep 2025</v>
      </c>
      <c r="AA427" s="3" t="str">
        <f>TEXT(CAPSTONE_PROJECT[[#This Row],[Admission Date]],"dddd")</f>
        <v>Saturday</v>
      </c>
      <c r="AB427" s="3" t="str">
        <f>IF(CAPSTONE_PROJECT[[#This Row],[Age]]&lt;=34,"Young Adults",IF(CAPSTONE_PROJECT[[#This Row],[Age]]&lt;=59,"Adults","Elders"))</f>
        <v>Adults</v>
      </c>
      <c r="AC427" s="3" t="str">
        <f>_xlfn.XLOOKUP(CAPSTONE_PROJECT[[#This Row],[Patient ID]],'Lookup table'!A:A,'Lookup table'!B:B,,0)</f>
        <v>Chloe C Clarke</v>
      </c>
      <c r="AD427" s="3" t="str">
        <f>_xlfn.XLOOKUP(CAPSTONE_PROJECT[[#This Row],[Patient ID]],'Lookup table'!A:A,'Lookup table'!C:C,,0)</f>
        <v>Female</v>
      </c>
      <c r="AE427" s="3" t="str">
        <f>IF(CAPSTONE_PROJECT[[#This Row],[Length of Stay]]&lt;=3,"Short Stay",IF(CAPSTONE_PROJECT[[#This Row],[Length of Stay]]&lt;=7,"Moderate Stay",IF(CAPSTONE_PROJECT[[#This Row],[Length of Stay]]&lt;=14,"Long Stay","Extended Stay")))</f>
        <v>Long Stay</v>
      </c>
    </row>
    <row r="428" spans="1:31" x14ac:dyDescent="0.3">
      <c r="A428" s="3" t="s">
        <v>913</v>
      </c>
      <c r="B428" s="4">
        <v>45573</v>
      </c>
      <c r="C428" s="4">
        <v>45592</v>
      </c>
      <c r="D428" s="4">
        <v>28199</v>
      </c>
      <c r="E428" s="3">
        <v>49</v>
      </c>
      <c r="F428" s="3" t="s">
        <v>18</v>
      </c>
      <c r="G428" s="3" t="s">
        <v>126</v>
      </c>
      <c r="H428" s="3" t="s">
        <v>111</v>
      </c>
      <c r="I428" s="3" t="s">
        <v>44</v>
      </c>
      <c r="J428" s="3" t="s">
        <v>14</v>
      </c>
      <c r="K428" s="3" t="s">
        <v>15</v>
      </c>
      <c r="L428" s="6">
        <v>3349.57</v>
      </c>
      <c r="M428" s="6">
        <v>1704.69</v>
      </c>
      <c r="N428" s="6">
        <v>1145.57</v>
      </c>
      <c r="O428" s="6">
        <v>8715.0400000000009</v>
      </c>
      <c r="P428" s="3" t="s">
        <v>31</v>
      </c>
      <c r="Q428" s="3" t="s">
        <v>1076</v>
      </c>
      <c r="R428" s="3" t="s">
        <v>62</v>
      </c>
      <c r="S428" s="3" t="s">
        <v>914</v>
      </c>
      <c r="T428" s="3">
        <v>9</v>
      </c>
      <c r="U428" s="3">
        <f>CAPSTONE_PROJECT[[#This Row],[Discharge Date]]-CAPSTONE_PROJECT[[#This Row],[Admission Date]]</f>
        <v>19</v>
      </c>
      <c r="V428" s="6">
        <f>SUM(CAPSTONE_PROJECT[[#This Row],[Room Cost]:[Treatment Cost]])</f>
        <v>14914.87</v>
      </c>
      <c r="W428" s="6">
        <f t="shared" si="6"/>
        <v>784.9931578947369</v>
      </c>
      <c r="X428" s="3" t="str">
        <f>TEXT(CAPSTONE_PROJECT[[#This Row],[Admission Date]],"mmmm")</f>
        <v>October</v>
      </c>
      <c r="Y428" s="3" t="str">
        <f>TEXT(CAPSTONE_PROJECT[[#This Row],[Admission Date]],"yyyy")</f>
        <v>2024</v>
      </c>
      <c r="Z428" s="3" t="str">
        <f>TEXT(CAPSTONE_PROJECT[[#This Row],[Admission Date]],"mmm yyyy")</f>
        <v>Oct 2024</v>
      </c>
      <c r="AA428" s="3" t="str">
        <f>TEXT(CAPSTONE_PROJECT[[#This Row],[Admission Date]],"dddd")</f>
        <v>Tuesday</v>
      </c>
      <c r="AB428" s="3" t="str">
        <f>IF(CAPSTONE_PROJECT[[#This Row],[Age]]&lt;=34,"Young Adults",IF(CAPSTONE_PROJECT[[#This Row],[Age]]&lt;=59,"Adults","Elders"))</f>
        <v>Adults</v>
      </c>
      <c r="AC428" s="3" t="str">
        <f>_xlfn.XLOOKUP(CAPSTONE_PROJECT[[#This Row],[Patient ID]],'Lookup table'!A:A,'Lookup table'!B:B,,0)</f>
        <v>George Evans</v>
      </c>
      <c r="AD428" s="3" t="str">
        <f>_xlfn.XLOOKUP(CAPSTONE_PROJECT[[#This Row],[Patient ID]],'Lookup table'!A:A,'Lookup table'!C:C,,0)</f>
        <v>Male</v>
      </c>
      <c r="AE428" s="3" t="str">
        <f>IF(CAPSTONE_PROJECT[[#This Row],[Length of Stay]]&lt;=3,"Short Stay",IF(CAPSTONE_PROJECT[[#This Row],[Length of Stay]]&lt;=7,"Moderate Stay",IF(CAPSTONE_PROJECT[[#This Row],[Length of Stay]]&lt;=14,"Long Stay","Extended Stay")))</f>
        <v>Extended Stay</v>
      </c>
    </row>
    <row r="429" spans="1:31" x14ac:dyDescent="0.3">
      <c r="A429" s="3" t="s">
        <v>915</v>
      </c>
      <c r="B429" s="4">
        <v>45520</v>
      </c>
      <c r="C429" s="4">
        <v>45531</v>
      </c>
      <c r="D429" s="4">
        <v>17293</v>
      </c>
      <c r="E429" s="3">
        <v>79</v>
      </c>
      <c r="F429" s="3" t="s">
        <v>47</v>
      </c>
      <c r="G429" s="3" t="s">
        <v>139</v>
      </c>
      <c r="H429" s="3" t="s">
        <v>21</v>
      </c>
      <c r="I429" s="3" t="s">
        <v>22</v>
      </c>
      <c r="J429" s="3" t="s">
        <v>14</v>
      </c>
      <c r="K429" s="3" t="s">
        <v>15</v>
      </c>
      <c r="L429" s="6">
        <v>4735.2</v>
      </c>
      <c r="M429" s="6">
        <v>160.26</v>
      </c>
      <c r="N429" s="6">
        <v>3014.8</v>
      </c>
      <c r="O429" s="6">
        <v>1327.9</v>
      </c>
      <c r="P429" s="3" t="s">
        <v>16</v>
      </c>
      <c r="Q429" s="3" t="s">
        <v>1087</v>
      </c>
      <c r="R429" s="3" t="s">
        <v>68</v>
      </c>
      <c r="S429" s="3" t="s">
        <v>916</v>
      </c>
      <c r="T429" s="3">
        <v>2</v>
      </c>
      <c r="U429" s="3">
        <f>CAPSTONE_PROJECT[[#This Row],[Discharge Date]]-CAPSTONE_PROJECT[[#This Row],[Admission Date]]</f>
        <v>11</v>
      </c>
      <c r="V429" s="6">
        <f>SUM(CAPSTONE_PROJECT[[#This Row],[Room Cost]:[Treatment Cost]])</f>
        <v>9238.16</v>
      </c>
      <c r="W429" s="6">
        <f t="shared" si="6"/>
        <v>839.83272727272731</v>
      </c>
      <c r="X429" s="3" t="str">
        <f>TEXT(CAPSTONE_PROJECT[[#This Row],[Admission Date]],"mmmm")</f>
        <v>August</v>
      </c>
      <c r="Y429" s="3" t="str">
        <f>TEXT(CAPSTONE_PROJECT[[#This Row],[Admission Date]],"yyyy")</f>
        <v>2024</v>
      </c>
      <c r="Z429" s="3" t="str">
        <f>TEXT(CAPSTONE_PROJECT[[#This Row],[Admission Date]],"mmm yyyy")</f>
        <v>Aug 2024</v>
      </c>
      <c r="AA429" s="3" t="str">
        <f>TEXT(CAPSTONE_PROJECT[[#This Row],[Admission Date]],"dddd")</f>
        <v>Friday</v>
      </c>
      <c r="AB429" s="3" t="str">
        <f>IF(CAPSTONE_PROJECT[[#This Row],[Age]]&lt;=34,"Young Adults",IF(CAPSTONE_PROJECT[[#This Row],[Age]]&lt;=59,"Adults","Elders"))</f>
        <v>Elders</v>
      </c>
      <c r="AC429" s="3" t="str">
        <f>_xlfn.XLOOKUP(CAPSTONE_PROJECT[[#This Row],[Patient ID]],'Lookup table'!A:A,'Lookup table'!B:B,,0)</f>
        <v>Isabella K Thompson</v>
      </c>
      <c r="AD429" s="3" t="str">
        <f>_xlfn.XLOOKUP(CAPSTONE_PROJECT[[#This Row],[Patient ID]],'Lookup table'!A:A,'Lookup table'!C:C,,0)</f>
        <v>Female</v>
      </c>
      <c r="AE429" s="3" t="str">
        <f>IF(CAPSTONE_PROJECT[[#This Row],[Length of Stay]]&lt;=3,"Short Stay",IF(CAPSTONE_PROJECT[[#This Row],[Length of Stay]]&lt;=7,"Moderate Stay",IF(CAPSTONE_PROJECT[[#This Row],[Length of Stay]]&lt;=14,"Long Stay","Extended Stay")))</f>
        <v>Long Stay</v>
      </c>
    </row>
    <row r="430" spans="1:31" x14ac:dyDescent="0.3">
      <c r="A430" s="3" t="s">
        <v>917</v>
      </c>
      <c r="B430" s="4">
        <v>45541</v>
      </c>
      <c r="C430" s="4">
        <v>45546</v>
      </c>
      <c r="D430" s="4">
        <v>27592</v>
      </c>
      <c r="E430" s="3">
        <v>50</v>
      </c>
      <c r="F430" s="3" t="s">
        <v>8</v>
      </c>
      <c r="G430" s="3" t="s">
        <v>139</v>
      </c>
      <c r="H430" s="3" t="s">
        <v>100</v>
      </c>
      <c r="I430" s="3" t="s">
        <v>37</v>
      </c>
      <c r="J430" s="3" t="s">
        <v>45</v>
      </c>
      <c r="K430" s="3" t="s">
        <v>50</v>
      </c>
      <c r="L430" s="6">
        <v>3301.12</v>
      </c>
      <c r="M430" s="6">
        <v>167.51</v>
      </c>
      <c r="N430" s="6">
        <v>2404.6799999999998</v>
      </c>
      <c r="O430" s="6">
        <v>5553.21</v>
      </c>
      <c r="P430" s="3" t="s">
        <v>31</v>
      </c>
      <c r="Q430" s="3" t="s">
        <v>1076</v>
      </c>
      <c r="R430" s="3" t="s">
        <v>19</v>
      </c>
      <c r="S430" s="3" t="s">
        <v>918</v>
      </c>
      <c r="T430" s="3">
        <v>4</v>
      </c>
      <c r="U430" s="3">
        <f>CAPSTONE_PROJECT[[#This Row],[Discharge Date]]-CAPSTONE_PROJECT[[#This Row],[Admission Date]]</f>
        <v>5</v>
      </c>
      <c r="V430" s="6">
        <f>SUM(CAPSTONE_PROJECT[[#This Row],[Room Cost]:[Treatment Cost]])</f>
        <v>11426.52</v>
      </c>
      <c r="W430" s="6">
        <f t="shared" si="6"/>
        <v>2285.3040000000001</v>
      </c>
      <c r="X430" s="3" t="str">
        <f>TEXT(CAPSTONE_PROJECT[[#This Row],[Admission Date]],"mmmm")</f>
        <v>September</v>
      </c>
      <c r="Y430" s="3" t="str">
        <f>TEXT(CAPSTONE_PROJECT[[#This Row],[Admission Date]],"yyyy")</f>
        <v>2024</v>
      </c>
      <c r="Z430" s="3" t="str">
        <f>TEXT(CAPSTONE_PROJECT[[#This Row],[Admission Date]],"mmm yyyy")</f>
        <v>Sep 2024</v>
      </c>
      <c r="AA430" s="3" t="str">
        <f>TEXT(CAPSTONE_PROJECT[[#This Row],[Admission Date]],"dddd")</f>
        <v>Friday</v>
      </c>
      <c r="AB430" s="3" t="str">
        <f>IF(CAPSTONE_PROJECT[[#This Row],[Age]]&lt;=34,"Young Adults",IF(CAPSTONE_PROJECT[[#This Row],[Age]]&lt;=59,"Adults","Elders"))</f>
        <v>Adults</v>
      </c>
      <c r="AC430" s="3" t="str">
        <f>_xlfn.XLOOKUP(CAPSTONE_PROJECT[[#This Row],[Patient ID]],'Lookup table'!A:A,'Lookup table'!B:B,,0)</f>
        <v>Ethan F Wilson</v>
      </c>
      <c r="AD430" s="3" t="str">
        <f>_xlfn.XLOOKUP(CAPSTONE_PROJECT[[#This Row],[Patient ID]],'Lookup table'!A:A,'Lookup table'!C:C,,0)</f>
        <v>Male</v>
      </c>
      <c r="AE430" s="3" t="str">
        <f>IF(CAPSTONE_PROJECT[[#This Row],[Length of Stay]]&lt;=3,"Short Stay",IF(CAPSTONE_PROJECT[[#This Row],[Length of Stay]]&lt;=7,"Moderate Stay",IF(CAPSTONE_PROJECT[[#This Row],[Length of Stay]]&lt;=14,"Long Stay","Extended Stay")))</f>
        <v>Moderate Stay</v>
      </c>
    </row>
    <row r="431" spans="1:31" x14ac:dyDescent="0.3">
      <c r="A431" s="3" t="s">
        <v>919</v>
      </c>
      <c r="B431" s="4">
        <v>45891</v>
      </c>
      <c r="C431" s="4">
        <v>45908</v>
      </c>
      <c r="D431" s="4">
        <v>28803</v>
      </c>
      <c r="E431" s="3">
        <v>47</v>
      </c>
      <c r="F431" s="3" t="s">
        <v>47</v>
      </c>
      <c r="G431" s="3" t="s">
        <v>78</v>
      </c>
      <c r="H431" s="3" t="s">
        <v>43</v>
      </c>
      <c r="I431" s="3" t="s">
        <v>44</v>
      </c>
      <c r="J431" s="3" t="s">
        <v>23</v>
      </c>
      <c r="K431" s="3" t="s">
        <v>50</v>
      </c>
      <c r="L431" s="6">
        <v>4064.34</v>
      </c>
      <c r="M431" s="6">
        <v>196.31</v>
      </c>
      <c r="N431" s="6">
        <v>1134.06</v>
      </c>
      <c r="O431" s="6">
        <v>15369.52</v>
      </c>
      <c r="P431" s="3" t="s">
        <v>25</v>
      </c>
      <c r="Q431" s="3" t="s">
        <v>1079</v>
      </c>
      <c r="R431" s="3" t="s">
        <v>10</v>
      </c>
      <c r="S431" s="3" t="s">
        <v>920</v>
      </c>
      <c r="T431" s="3">
        <v>4</v>
      </c>
      <c r="U431" s="3">
        <f>CAPSTONE_PROJECT[[#This Row],[Discharge Date]]-CAPSTONE_PROJECT[[#This Row],[Admission Date]]</f>
        <v>17</v>
      </c>
      <c r="V431" s="6">
        <f>SUM(CAPSTONE_PROJECT[[#This Row],[Room Cost]:[Treatment Cost]])</f>
        <v>20764.230000000003</v>
      </c>
      <c r="W431" s="6">
        <f t="shared" si="6"/>
        <v>1221.4252941176474</v>
      </c>
      <c r="X431" s="3" t="str">
        <f>TEXT(CAPSTONE_PROJECT[[#This Row],[Admission Date]],"mmmm")</f>
        <v>August</v>
      </c>
      <c r="Y431" s="3" t="str">
        <f>TEXT(CAPSTONE_PROJECT[[#This Row],[Admission Date]],"yyyy")</f>
        <v>2025</v>
      </c>
      <c r="Z431" s="3" t="str">
        <f>TEXT(CAPSTONE_PROJECT[[#This Row],[Admission Date]],"mmm yyyy")</f>
        <v>Aug 2025</v>
      </c>
      <c r="AA431" s="3" t="str">
        <f>TEXT(CAPSTONE_PROJECT[[#This Row],[Admission Date]],"dddd")</f>
        <v>Friday</v>
      </c>
      <c r="AB431" s="3" t="str">
        <f>IF(CAPSTONE_PROJECT[[#This Row],[Age]]&lt;=34,"Young Adults",IF(CAPSTONE_PROJECT[[#This Row],[Age]]&lt;=59,"Adults","Elders"))</f>
        <v>Adults</v>
      </c>
      <c r="AC431" s="3" t="str">
        <f>_xlfn.XLOOKUP(CAPSTONE_PROJECT[[#This Row],[Patient ID]],'Lookup table'!A:A,'Lookup table'!B:B,,0)</f>
        <v>Grace W Hall</v>
      </c>
      <c r="AD431" s="3" t="str">
        <f>_xlfn.XLOOKUP(CAPSTONE_PROJECT[[#This Row],[Patient ID]],'Lookup table'!A:A,'Lookup table'!C:C,,0)</f>
        <v>Female</v>
      </c>
      <c r="AE431" s="3" t="str">
        <f>IF(CAPSTONE_PROJECT[[#This Row],[Length of Stay]]&lt;=3,"Short Stay",IF(CAPSTONE_PROJECT[[#This Row],[Length of Stay]]&lt;=7,"Moderate Stay",IF(CAPSTONE_PROJECT[[#This Row],[Length of Stay]]&lt;=14,"Long Stay","Extended Stay")))</f>
        <v>Extended Stay</v>
      </c>
    </row>
    <row r="432" spans="1:31" x14ac:dyDescent="0.3">
      <c r="A432" s="3" t="s">
        <v>921</v>
      </c>
      <c r="B432" s="4">
        <v>45522</v>
      </c>
      <c r="C432" s="4">
        <v>45531</v>
      </c>
      <c r="D432" s="4">
        <v>36111</v>
      </c>
      <c r="E432" s="3">
        <v>27</v>
      </c>
      <c r="F432" s="3" t="s">
        <v>33</v>
      </c>
      <c r="G432" s="3" t="s">
        <v>139</v>
      </c>
      <c r="H432" s="3" t="s">
        <v>111</v>
      </c>
      <c r="I432" s="3" t="s">
        <v>13</v>
      </c>
      <c r="J432" s="3" t="s">
        <v>23</v>
      </c>
      <c r="K432" s="3" t="s">
        <v>24</v>
      </c>
      <c r="L432" s="6">
        <v>3704.98</v>
      </c>
      <c r="M432" s="6">
        <v>877.32</v>
      </c>
      <c r="N432" s="6">
        <v>312.07</v>
      </c>
      <c r="O432" s="6">
        <v>9418.1</v>
      </c>
      <c r="P432" s="3" t="s">
        <v>1083</v>
      </c>
      <c r="Q432" s="3" t="s">
        <v>1076</v>
      </c>
      <c r="R432" s="3" t="s">
        <v>54</v>
      </c>
      <c r="S432" s="3" t="s">
        <v>922</v>
      </c>
      <c r="T432" s="3">
        <v>7</v>
      </c>
      <c r="U432" s="3">
        <f>CAPSTONE_PROJECT[[#This Row],[Discharge Date]]-CAPSTONE_PROJECT[[#This Row],[Admission Date]]</f>
        <v>9</v>
      </c>
      <c r="V432" s="6">
        <f>SUM(CAPSTONE_PROJECT[[#This Row],[Room Cost]:[Treatment Cost]])</f>
        <v>14312.470000000001</v>
      </c>
      <c r="W432" s="6">
        <f t="shared" si="6"/>
        <v>1590.2744444444445</v>
      </c>
      <c r="X432" s="3" t="str">
        <f>TEXT(CAPSTONE_PROJECT[[#This Row],[Admission Date]],"mmmm")</f>
        <v>August</v>
      </c>
      <c r="Y432" s="3" t="str">
        <f>TEXT(CAPSTONE_PROJECT[[#This Row],[Admission Date]],"yyyy")</f>
        <v>2024</v>
      </c>
      <c r="Z432" s="3" t="str">
        <f>TEXT(CAPSTONE_PROJECT[[#This Row],[Admission Date]],"mmm yyyy")</f>
        <v>Aug 2024</v>
      </c>
      <c r="AA432" s="3" t="str">
        <f>TEXT(CAPSTONE_PROJECT[[#This Row],[Admission Date]],"dddd")</f>
        <v>Sunday</v>
      </c>
      <c r="AB432" s="3" t="str">
        <f>IF(CAPSTONE_PROJECT[[#This Row],[Age]]&lt;=34,"Young Adults",IF(CAPSTONE_PROJECT[[#This Row],[Age]]&lt;=59,"Adults","Elders"))</f>
        <v>Young Adults</v>
      </c>
      <c r="AC432" s="3" t="str">
        <f>_xlfn.XLOOKUP(CAPSTONE_PROJECT[[#This Row],[Patient ID]],'Lookup table'!A:A,'Lookup table'!B:B,,0)</f>
        <v>George Robinson</v>
      </c>
      <c r="AD432" s="3" t="str">
        <f>_xlfn.XLOOKUP(CAPSTONE_PROJECT[[#This Row],[Patient ID]],'Lookup table'!A:A,'Lookup table'!C:C,,0)</f>
        <v>Male</v>
      </c>
      <c r="AE432" s="3" t="str">
        <f>IF(CAPSTONE_PROJECT[[#This Row],[Length of Stay]]&lt;=3,"Short Stay",IF(CAPSTONE_PROJECT[[#This Row],[Length of Stay]]&lt;=7,"Moderate Stay",IF(CAPSTONE_PROJECT[[#This Row],[Length of Stay]]&lt;=14,"Long Stay","Extended Stay")))</f>
        <v>Long Stay</v>
      </c>
    </row>
    <row r="433" spans="1:31" x14ac:dyDescent="0.3">
      <c r="A433" s="3" t="s">
        <v>923</v>
      </c>
      <c r="B433" s="4">
        <v>45670</v>
      </c>
      <c r="C433" s="4">
        <v>45679</v>
      </c>
      <c r="D433" s="4">
        <v>34640</v>
      </c>
      <c r="E433" s="3">
        <v>31</v>
      </c>
      <c r="F433" s="3" t="s">
        <v>33</v>
      </c>
      <c r="G433" s="3" t="s">
        <v>53</v>
      </c>
      <c r="H433" s="3" t="s">
        <v>111</v>
      </c>
      <c r="I433" s="3" t="s">
        <v>37</v>
      </c>
      <c r="J433" s="3" t="s">
        <v>38</v>
      </c>
      <c r="K433" s="3" t="s">
        <v>65</v>
      </c>
      <c r="L433" s="6">
        <v>2409.48</v>
      </c>
      <c r="M433" s="6">
        <v>1262.68</v>
      </c>
      <c r="N433" s="6">
        <v>1376.63</v>
      </c>
      <c r="O433" s="6">
        <v>5251.12</v>
      </c>
      <c r="P433" s="3" t="s">
        <v>25</v>
      </c>
      <c r="Q433" s="3" t="s">
        <v>1081</v>
      </c>
      <c r="R433" s="3" t="s">
        <v>54</v>
      </c>
      <c r="S433" s="3" t="s">
        <v>924</v>
      </c>
      <c r="T433" s="3">
        <v>10</v>
      </c>
      <c r="U433" s="3">
        <f>CAPSTONE_PROJECT[[#This Row],[Discharge Date]]-CAPSTONE_PROJECT[[#This Row],[Admission Date]]</f>
        <v>9</v>
      </c>
      <c r="V433" s="6">
        <f>SUM(CAPSTONE_PROJECT[[#This Row],[Room Cost]:[Treatment Cost]])</f>
        <v>10299.91</v>
      </c>
      <c r="W433" s="6">
        <f t="shared" si="6"/>
        <v>1144.4344444444444</v>
      </c>
      <c r="X433" s="3" t="str">
        <f>TEXT(CAPSTONE_PROJECT[[#This Row],[Admission Date]],"mmmm")</f>
        <v>January</v>
      </c>
      <c r="Y433" s="3" t="str">
        <f>TEXT(CAPSTONE_PROJECT[[#This Row],[Admission Date]],"yyyy")</f>
        <v>2025</v>
      </c>
      <c r="Z433" s="3" t="str">
        <f>TEXT(CAPSTONE_PROJECT[[#This Row],[Admission Date]],"mmm yyyy")</f>
        <v>Jan 2025</v>
      </c>
      <c r="AA433" s="3" t="str">
        <f>TEXT(CAPSTONE_PROJECT[[#This Row],[Admission Date]],"dddd")</f>
        <v>Monday</v>
      </c>
      <c r="AB433" s="3" t="str">
        <f>IF(CAPSTONE_PROJECT[[#This Row],[Age]]&lt;=34,"Young Adults",IF(CAPSTONE_PROJECT[[#This Row],[Age]]&lt;=59,"Adults","Elders"))</f>
        <v>Young Adults</v>
      </c>
      <c r="AC433" s="3" t="str">
        <f>_xlfn.XLOOKUP(CAPSTONE_PROJECT[[#This Row],[Patient ID]],'Lookup table'!A:A,'Lookup table'!B:B,,0)</f>
        <v>Amelia Green</v>
      </c>
      <c r="AD433" s="3" t="str">
        <f>_xlfn.XLOOKUP(CAPSTONE_PROJECT[[#This Row],[Patient ID]],'Lookup table'!A:A,'Lookup table'!C:C,,0)</f>
        <v>Female</v>
      </c>
      <c r="AE433" s="3" t="str">
        <f>IF(CAPSTONE_PROJECT[[#This Row],[Length of Stay]]&lt;=3,"Short Stay",IF(CAPSTONE_PROJECT[[#This Row],[Length of Stay]]&lt;=7,"Moderate Stay",IF(CAPSTONE_PROJECT[[#This Row],[Length of Stay]]&lt;=14,"Long Stay","Extended Stay")))</f>
        <v>Long Stay</v>
      </c>
    </row>
    <row r="434" spans="1:31" x14ac:dyDescent="0.3">
      <c r="A434" s="3" t="s">
        <v>925</v>
      </c>
      <c r="B434" s="4">
        <v>45487</v>
      </c>
      <c r="C434" s="4">
        <v>45499</v>
      </c>
      <c r="D434" s="4">
        <v>37730</v>
      </c>
      <c r="E434" s="3">
        <v>23</v>
      </c>
      <c r="F434" s="3" t="s">
        <v>18</v>
      </c>
      <c r="G434" s="3" t="s">
        <v>48</v>
      </c>
      <c r="H434" s="3" t="s">
        <v>12</v>
      </c>
      <c r="I434" s="3" t="s">
        <v>22</v>
      </c>
      <c r="J434" s="3" t="s">
        <v>45</v>
      </c>
      <c r="K434" s="3" t="s">
        <v>50</v>
      </c>
      <c r="L434" s="6">
        <v>2550.86</v>
      </c>
      <c r="M434" s="6">
        <v>470.91</v>
      </c>
      <c r="N434" s="6">
        <v>1216.3900000000001</v>
      </c>
      <c r="O434" s="6">
        <v>3144.59</v>
      </c>
      <c r="P434" s="3" t="s">
        <v>16</v>
      </c>
      <c r="Q434" s="3" t="s">
        <v>1082</v>
      </c>
      <c r="R434" s="3" t="s">
        <v>62</v>
      </c>
      <c r="S434" s="3" t="s">
        <v>926</v>
      </c>
      <c r="T434" s="3">
        <v>7</v>
      </c>
      <c r="U434" s="3">
        <f>CAPSTONE_PROJECT[[#This Row],[Discharge Date]]-CAPSTONE_PROJECT[[#This Row],[Admission Date]]</f>
        <v>12</v>
      </c>
      <c r="V434" s="6">
        <f>SUM(CAPSTONE_PROJECT[[#This Row],[Room Cost]:[Treatment Cost]])</f>
        <v>7382.75</v>
      </c>
      <c r="W434" s="6">
        <f t="shared" si="6"/>
        <v>615.22916666666663</v>
      </c>
      <c r="X434" s="3" t="str">
        <f>TEXT(CAPSTONE_PROJECT[[#This Row],[Admission Date]],"mmmm")</f>
        <v>July</v>
      </c>
      <c r="Y434" s="3" t="str">
        <f>TEXT(CAPSTONE_PROJECT[[#This Row],[Admission Date]],"yyyy")</f>
        <v>2024</v>
      </c>
      <c r="Z434" s="3" t="str">
        <f>TEXT(CAPSTONE_PROJECT[[#This Row],[Admission Date]],"mmm yyyy")</f>
        <v>Jul 2024</v>
      </c>
      <c r="AA434" s="3" t="str">
        <f>TEXT(CAPSTONE_PROJECT[[#This Row],[Admission Date]],"dddd")</f>
        <v>Sunday</v>
      </c>
      <c r="AB434" s="3" t="str">
        <f>IF(CAPSTONE_PROJECT[[#This Row],[Age]]&lt;=34,"Young Adults",IF(CAPSTONE_PROJECT[[#This Row],[Age]]&lt;=59,"Adults","Elders"))</f>
        <v>Young Adults</v>
      </c>
      <c r="AC434" s="3" t="str">
        <f>_xlfn.XLOOKUP(CAPSTONE_PROJECT[[#This Row],[Patient ID]],'Lookup table'!A:A,'Lookup table'!B:B,,0)</f>
        <v>Leo O Smith</v>
      </c>
      <c r="AD434" s="3" t="str">
        <f>_xlfn.XLOOKUP(CAPSTONE_PROJECT[[#This Row],[Patient ID]],'Lookup table'!A:A,'Lookup table'!C:C,,0)</f>
        <v>Male</v>
      </c>
      <c r="AE434" s="3" t="str">
        <f>IF(CAPSTONE_PROJECT[[#This Row],[Length of Stay]]&lt;=3,"Short Stay",IF(CAPSTONE_PROJECT[[#This Row],[Length of Stay]]&lt;=7,"Moderate Stay",IF(CAPSTONE_PROJECT[[#This Row],[Length of Stay]]&lt;=14,"Long Stay","Extended Stay")))</f>
        <v>Long Stay</v>
      </c>
    </row>
    <row r="435" spans="1:31" x14ac:dyDescent="0.3">
      <c r="A435" s="3" t="s">
        <v>927</v>
      </c>
      <c r="B435" s="4">
        <v>45800</v>
      </c>
      <c r="C435" s="4">
        <v>45812</v>
      </c>
      <c r="D435" s="4">
        <v>37221</v>
      </c>
      <c r="E435" s="3">
        <v>24</v>
      </c>
      <c r="F435" s="3" t="s">
        <v>33</v>
      </c>
      <c r="G435" s="3" t="s">
        <v>126</v>
      </c>
      <c r="H435" s="3" t="s">
        <v>72</v>
      </c>
      <c r="I435" s="3" t="s">
        <v>22</v>
      </c>
      <c r="J435" s="3" t="s">
        <v>15</v>
      </c>
      <c r="K435" s="3" t="s">
        <v>24</v>
      </c>
      <c r="L435" s="6">
        <v>4169.53</v>
      </c>
      <c r="M435" s="6">
        <v>1016.86</v>
      </c>
      <c r="N435" s="6">
        <v>2285.14</v>
      </c>
      <c r="O435" s="6">
        <v>2316.58</v>
      </c>
      <c r="P435" s="3" t="s">
        <v>16</v>
      </c>
      <c r="Q435" s="3" t="s">
        <v>1076</v>
      </c>
      <c r="R435" s="3" t="s">
        <v>19</v>
      </c>
      <c r="S435" s="3" t="s">
        <v>928</v>
      </c>
      <c r="T435" s="3">
        <v>5</v>
      </c>
      <c r="U435" s="3">
        <f>CAPSTONE_PROJECT[[#This Row],[Discharge Date]]-CAPSTONE_PROJECT[[#This Row],[Admission Date]]</f>
        <v>12</v>
      </c>
      <c r="V435" s="6">
        <f>SUM(CAPSTONE_PROJECT[[#This Row],[Room Cost]:[Treatment Cost]])</f>
        <v>9788.1099999999988</v>
      </c>
      <c r="W435" s="6">
        <f t="shared" si="6"/>
        <v>815.67583333333323</v>
      </c>
      <c r="X435" s="3" t="str">
        <f>TEXT(CAPSTONE_PROJECT[[#This Row],[Admission Date]],"mmmm")</f>
        <v>May</v>
      </c>
      <c r="Y435" s="3" t="str">
        <f>TEXT(CAPSTONE_PROJECT[[#This Row],[Admission Date]],"yyyy")</f>
        <v>2025</v>
      </c>
      <c r="Z435" s="3" t="str">
        <f>TEXT(CAPSTONE_PROJECT[[#This Row],[Admission Date]],"mmm yyyy")</f>
        <v>May 2025</v>
      </c>
      <c r="AA435" s="3" t="str">
        <f>TEXT(CAPSTONE_PROJECT[[#This Row],[Admission Date]],"dddd")</f>
        <v>Friday</v>
      </c>
      <c r="AB435" s="3" t="str">
        <f>IF(CAPSTONE_PROJECT[[#This Row],[Age]]&lt;=34,"Young Adults",IF(CAPSTONE_PROJECT[[#This Row],[Age]]&lt;=59,"Adults","Elders"))</f>
        <v>Young Adults</v>
      </c>
      <c r="AC435" s="3" t="str">
        <f>_xlfn.XLOOKUP(CAPSTONE_PROJECT[[#This Row],[Patient ID]],'Lookup table'!A:A,'Lookup table'!B:B,,0)</f>
        <v>Emma I Thompson</v>
      </c>
      <c r="AD435" s="3" t="str">
        <f>_xlfn.XLOOKUP(CAPSTONE_PROJECT[[#This Row],[Patient ID]],'Lookup table'!A:A,'Lookup table'!C:C,,0)</f>
        <v>Female</v>
      </c>
      <c r="AE435" s="3" t="str">
        <f>IF(CAPSTONE_PROJECT[[#This Row],[Length of Stay]]&lt;=3,"Short Stay",IF(CAPSTONE_PROJECT[[#This Row],[Length of Stay]]&lt;=7,"Moderate Stay",IF(CAPSTONE_PROJECT[[#This Row],[Length of Stay]]&lt;=14,"Long Stay","Extended Stay")))</f>
        <v>Long Stay</v>
      </c>
    </row>
    <row r="436" spans="1:31" x14ac:dyDescent="0.3">
      <c r="A436" s="3" t="s">
        <v>929</v>
      </c>
      <c r="B436" s="4">
        <v>45662</v>
      </c>
      <c r="C436" s="4">
        <v>45664</v>
      </c>
      <c r="D436" s="4">
        <v>19422</v>
      </c>
      <c r="E436" s="3">
        <v>73</v>
      </c>
      <c r="F436" s="3" t="s">
        <v>47</v>
      </c>
      <c r="G436" s="3" t="s">
        <v>27</v>
      </c>
      <c r="H436" s="3" t="s">
        <v>43</v>
      </c>
      <c r="I436" s="3" t="s">
        <v>44</v>
      </c>
      <c r="J436" s="3" t="s">
        <v>45</v>
      </c>
      <c r="K436" s="3" t="s">
        <v>24</v>
      </c>
      <c r="L436" s="6">
        <v>2051.17</v>
      </c>
      <c r="M436" s="6">
        <v>1182.21</v>
      </c>
      <c r="N436" s="6">
        <v>649.39</v>
      </c>
      <c r="O436" s="6">
        <v>9907.5499999999993</v>
      </c>
      <c r="P436" s="3" t="s">
        <v>25</v>
      </c>
      <c r="Q436" s="3" t="s">
        <v>1076</v>
      </c>
      <c r="R436" s="3" t="s">
        <v>75</v>
      </c>
      <c r="S436" s="3" t="s">
        <v>930</v>
      </c>
      <c r="T436" s="3">
        <v>7</v>
      </c>
      <c r="U436" s="3">
        <f>CAPSTONE_PROJECT[[#This Row],[Discharge Date]]-CAPSTONE_PROJECT[[#This Row],[Admission Date]]</f>
        <v>2</v>
      </c>
      <c r="V436" s="6">
        <f>SUM(CAPSTONE_PROJECT[[#This Row],[Room Cost]:[Treatment Cost]])</f>
        <v>13790.32</v>
      </c>
      <c r="W436" s="6">
        <f t="shared" si="6"/>
        <v>6895.16</v>
      </c>
      <c r="X436" s="3" t="str">
        <f>TEXT(CAPSTONE_PROJECT[[#This Row],[Admission Date]],"mmmm")</f>
        <v>January</v>
      </c>
      <c r="Y436" s="3" t="str">
        <f>TEXT(CAPSTONE_PROJECT[[#This Row],[Admission Date]],"yyyy")</f>
        <v>2025</v>
      </c>
      <c r="Z436" s="3" t="str">
        <f>TEXT(CAPSTONE_PROJECT[[#This Row],[Admission Date]],"mmm yyyy")</f>
        <v>Jan 2025</v>
      </c>
      <c r="AA436" s="3" t="str">
        <f>TEXT(CAPSTONE_PROJECT[[#This Row],[Admission Date]],"dddd")</f>
        <v>Sunday</v>
      </c>
      <c r="AB436" s="3" t="str">
        <f>IF(CAPSTONE_PROJECT[[#This Row],[Age]]&lt;=34,"Young Adults",IF(CAPSTONE_PROJECT[[#This Row],[Age]]&lt;=59,"Adults","Elders"))</f>
        <v>Elders</v>
      </c>
      <c r="AC436" s="3" t="str">
        <f>_xlfn.XLOOKUP(CAPSTONE_PROJECT[[#This Row],[Patient ID]],'Lookup table'!A:A,'Lookup table'!B:B,,0)</f>
        <v>Noah Wilson</v>
      </c>
      <c r="AD436" s="3" t="str">
        <f>_xlfn.XLOOKUP(CAPSTONE_PROJECT[[#This Row],[Patient ID]],'Lookup table'!A:A,'Lookup table'!C:C,,0)</f>
        <v>Male</v>
      </c>
      <c r="AE436" s="3" t="str">
        <f>IF(CAPSTONE_PROJECT[[#This Row],[Length of Stay]]&lt;=3,"Short Stay",IF(CAPSTONE_PROJECT[[#This Row],[Length of Stay]]&lt;=7,"Moderate Stay",IF(CAPSTONE_PROJECT[[#This Row],[Length of Stay]]&lt;=14,"Long Stay","Extended Stay")))</f>
        <v>Short Stay</v>
      </c>
    </row>
    <row r="437" spans="1:31" x14ac:dyDescent="0.3">
      <c r="A437" s="3" t="s">
        <v>931</v>
      </c>
      <c r="B437" s="4">
        <v>45846</v>
      </c>
      <c r="C437" s="4">
        <v>45866</v>
      </c>
      <c r="D437" s="4">
        <v>35253</v>
      </c>
      <c r="E437" s="3">
        <v>29</v>
      </c>
      <c r="F437" s="3" t="s">
        <v>18</v>
      </c>
      <c r="G437" s="3" t="s">
        <v>78</v>
      </c>
      <c r="H437" s="3" t="s">
        <v>43</v>
      </c>
      <c r="I437" s="3" t="s">
        <v>22</v>
      </c>
      <c r="J437" s="3" t="s">
        <v>15</v>
      </c>
      <c r="K437" s="3" t="s">
        <v>15</v>
      </c>
      <c r="L437" s="6">
        <v>1006.73</v>
      </c>
      <c r="M437" s="6">
        <v>891.62</v>
      </c>
      <c r="N437" s="6">
        <v>2053.46</v>
      </c>
      <c r="O437" s="6">
        <v>8022.39</v>
      </c>
      <c r="P437" s="3" t="s">
        <v>25</v>
      </c>
      <c r="Q437" s="3" t="s">
        <v>1078</v>
      </c>
      <c r="R437" s="3" t="s">
        <v>102</v>
      </c>
      <c r="S437" s="3" t="s">
        <v>932</v>
      </c>
      <c r="T437" s="3">
        <v>4</v>
      </c>
      <c r="U437" s="3">
        <f>CAPSTONE_PROJECT[[#This Row],[Discharge Date]]-CAPSTONE_PROJECT[[#This Row],[Admission Date]]</f>
        <v>20</v>
      </c>
      <c r="V437" s="6">
        <f>SUM(CAPSTONE_PROJECT[[#This Row],[Room Cost]:[Treatment Cost]])</f>
        <v>11974.2</v>
      </c>
      <c r="W437" s="6">
        <f t="shared" si="6"/>
        <v>598.71</v>
      </c>
      <c r="X437" s="3" t="str">
        <f>TEXT(CAPSTONE_PROJECT[[#This Row],[Admission Date]],"mmmm")</f>
        <v>July</v>
      </c>
      <c r="Y437" s="3" t="str">
        <f>TEXT(CAPSTONE_PROJECT[[#This Row],[Admission Date]],"yyyy")</f>
        <v>2025</v>
      </c>
      <c r="Z437" s="3" t="str">
        <f>TEXT(CAPSTONE_PROJECT[[#This Row],[Admission Date]],"mmm yyyy")</f>
        <v>Jul 2025</v>
      </c>
      <c r="AA437" s="3" t="str">
        <f>TEXT(CAPSTONE_PROJECT[[#This Row],[Admission Date]],"dddd")</f>
        <v>Tuesday</v>
      </c>
      <c r="AB437" s="3" t="str">
        <f>IF(CAPSTONE_PROJECT[[#This Row],[Age]]&lt;=34,"Young Adults",IF(CAPSTONE_PROJECT[[#This Row],[Age]]&lt;=59,"Adults","Elders"))</f>
        <v>Young Adults</v>
      </c>
      <c r="AC437" s="3" t="str">
        <f>_xlfn.XLOOKUP(CAPSTONE_PROJECT[[#This Row],[Patient ID]],'Lookup table'!A:A,'Lookup table'!B:B,,0)</f>
        <v>Lily Green</v>
      </c>
      <c r="AD437" s="3" t="str">
        <f>_xlfn.XLOOKUP(CAPSTONE_PROJECT[[#This Row],[Patient ID]],'Lookup table'!A:A,'Lookup table'!C:C,,0)</f>
        <v>Female</v>
      </c>
      <c r="AE437" s="3" t="str">
        <f>IF(CAPSTONE_PROJECT[[#This Row],[Length of Stay]]&lt;=3,"Short Stay",IF(CAPSTONE_PROJECT[[#This Row],[Length of Stay]]&lt;=7,"Moderate Stay",IF(CAPSTONE_PROJECT[[#This Row],[Length of Stay]]&lt;=14,"Long Stay","Extended Stay")))</f>
        <v>Extended Stay</v>
      </c>
    </row>
    <row r="438" spans="1:31" x14ac:dyDescent="0.3">
      <c r="A438" s="3" t="s">
        <v>933</v>
      </c>
      <c r="B438" s="4">
        <v>45921</v>
      </c>
      <c r="C438" s="4">
        <v>45934</v>
      </c>
      <c r="D438" s="4">
        <v>33813</v>
      </c>
      <c r="E438" s="3">
        <v>33</v>
      </c>
      <c r="F438" s="3" t="s">
        <v>33</v>
      </c>
      <c r="G438" s="3" t="s">
        <v>139</v>
      </c>
      <c r="H438" s="3" t="s">
        <v>43</v>
      </c>
      <c r="I438" s="3" t="s">
        <v>13</v>
      </c>
      <c r="J438" s="3" t="s">
        <v>23</v>
      </c>
      <c r="K438" s="3" t="s">
        <v>50</v>
      </c>
      <c r="L438" s="6">
        <v>3445.41</v>
      </c>
      <c r="M438" s="6">
        <v>1498.53</v>
      </c>
      <c r="N438" s="6">
        <v>1916.96</v>
      </c>
      <c r="O438" s="6">
        <v>4384.21</v>
      </c>
      <c r="P438" s="3" t="s">
        <v>16</v>
      </c>
      <c r="Q438" s="3" t="s">
        <v>1087</v>
      </c>
      <c r="R438" s="3" t="s">
        <v>54</v>
      </c>
      <c r="S438" s="3" t="s">
        <v>934</v>
      </c>
      <c r="T438" s="3">
        <v>5</v>
      </c>
      <c r="U438" s="3">
        <f>CAPSTONE_PROJECT[[#This Row],[Discharge Date]]-CAPSTONE_PROJECT[[#This Row],[Admission Date]]</f>
        <v>13</v>
      </c>
      <c r="V438" s="6">
        <f>SUM(CAPSTONE_PROJECT[[#This Row],[Room Cost]:[Treatment Cost]])</f>
        <v>11245.11</v>
      </c>
      <c r="W438" s="6">
        <f t="shared" si="6"/>
        <v>865.00846153846157</v>
      </c>
      <c r="X438" s="3" t="str">
        <f>TEXT(CAPSTONE_PROJECT[[#This Row],[Admission Date]],"mmmm")</f>
        <v>September</v>
      </c>
      <c r="Y438" s="3" t="str">
        <f>TEXT(CAPSTONE_PROJECT[[#This Row],[Admission Date]],"yyyy")</f>
        <v>2025</v>
      </c>
      <c r="Z438" s="3" t="str">
        <f>TEXT(CAPSTONE_PROJECT[[#This Row],[Admission Date]],"mmm yyyy")</f>
        <v>Sep 2025</v>
      </c>
      <c r="AA438" s="3" t="str">
        <f>TEXT(CAPSTONE_PROJECT[[#This Row],[Admission Date]],"dddd")</f>
        <v>Sunday</v>
      </c>
      <c r="AB438" s="3" t="str">
        <f>IF(CAPSTONE_PROJECT[[#This Row],[Age]]&lt;=34,"Young Adults",IF(CAPSTONE_PROJECT[[#This Row],[Age]]&lt;=59,"Adults","Elders"))</f>
        <v>Young Adults</v>
      </c>
      <c r="AC438" s="3" t="str">
        <f>_xlfn.XLOOKUP(CAPSTONE_PROJECT[[#This Row],[Patient ID]],'Lookup table'!A:A,'Lookup table'!B:B,,0)</f>
        <v>Leo V Brown</v>
      </c>
      <c r="AD438" s="3" t="str">
        <f>_xlfn.XLOOKUP(CAPSTONE_PROJECT[[#This Row],[Patient ID]],'Lookup table'!A:A,'Lookup table'!C:C,,0)</f>
        <v>Male</v>
      </c>
      <c r="AE438" s="3" t="str">
        <f>IF(CAPSTONE_PROJECT[[#This Row],[Length of Stay]]&lt;=3,"Short Stay",IF(CAPSTONE_PROJECT[[#This Row],[Length of Stay]]&lt;=7,"Moderate Stay",IF(CAPSTONE_PROJECT[[#This Row],[Length of Stay]]&lt;=14,"Long Stay","Extended Stay")))</f>
        <v>Long Stay</v>
      </c>
    </row>
    <row r="439" spans="1:31" x14ac:dyDescent="0.3">
      <c r="A439" s="3" t="s">
        <v>935</v>
      </c>
      <c r="B439" s="4">
        <v>45994</v>
      </c>
      <c r="C439" s="4">
        <v>46013</v>
      </c>
      <c r="D439" s="4">
        <v>30529</v>
      </c>
      <c r="E439" s="3">
        <v>42</v>
      </c>
      <c r="F439" s="3" t="s">
        <v>33</v>
      </c>
      <c r="G439" s="3" t="s">
        <v>27</v>
      </c>
      <c r="H439" s="3" t="s">
        <v>72</v>
      </c>
      <c r="I439" s="3" t="s">
        <v>22</v>
      </c>
      <c r="J439" s="3" t="s">
        <v>38</v>
      </c>
      <c r="K439" s="3" t="s">
        <v>50</v>
      </c>
      <c r="L439" s="6">
        <v>4395.91</v>
      </c>
      <c r="M439" s="6">
        <v>1688.79</v>
      </c>
      <c r="N439" s="6">
        <v>1699.17</v>
      </c>
      <c r="O439" s="6">
        <v>4943.6499999999996</v>
      </c>
      <c r="P439" s="3" t="s">
        <v>31</v>
      </c>
      <c r="Q439" s="3" t="s">
        <v>1086</v>
      </c>
      <c r="R439" s="3" t="s">
        <v>10</v>
      </c>
      <c r="S439" s="3" t="s">
        <v>936</v>
      </c>
      <c r="T439" s="3">
        <v>6</v>
      </c>
      <c r="U439" s="3">
        <f>CAPSTONE_PROJECT[[#This Row],[Discharge Date]]-CAPSTONE_PROJECT[[#This Row],[Admission Date]]</f>
        <v>19</v>
      </c>
      <c r="V439" s="6">
        <f>SUM(CAPSTONE_PROJECT[[#This Row],[Room Cost]:[Treatment Cost]])</f>
        <v>12727.52</v>
      </c>
      <c r="W439" s="6">
        <f t="shared" si="6"/>
        <v>669.86947368421056</v>
      </c>
      <c r="X439" s="3" t="str">
        <f>TEXT(CAPSTONE_PROJECT[[#This Row],[Admission Date]],"mmmm")</f>
        <v>December</v>
      </c>
      <c r="Y439" s="3" t="str">
        <f>TEXT(CAPSTONE_PROJECT[[#This Row],[Admission Date]],"yyyy")</f>
        <v>2025</v>
      </c>
      <c r="Z439" s="3" t="str">
        <f>TEXT(CAPSTONE_PROJECT[[#This Row],[Admission Date]],"mmm yyyy")</f>
        <v>Dec 2025</v>
      </c>
      <c r="AA439" s="3" t="str">
        <f>TEXT(CAPSTONE_PROJECT[[#This Row],[Admission Date]],"dddd")</f>
        <v>Wednesday</v>
      </c>
      <c r="AB439" s="3" t="str">
        <f>IF(CAPSTONE_PROJECT[[#This Row],[Age]]&lt;=34,"Young Adults",IF(CAPSTONE_PROJECT[[#This Row],[Age]]&lt;=59,"Adults","Elders"))</f>
        <v>Adults</v>
      </c>
      <c r="AC439" s="3" t="str">
        <f>_xlfn.XLOOKUP(CAPSTONE_PROJECT[[#This Row],[Patient ID]],'Lookup table'!A:A,'Lookup table'!B:B,,0)</f>
        <v>Chloe N Wood</v>
      </c>
      <c r="AD439" s="3" t="str">
        <f>_xlfn.XLOOKUP(CAPSTONE_PROJECT[[#This Row],[Patient ID]],'Lookup table'!A:A,'Lookup table'!C:C,,0)</f>
        <v>Female</v>
      </c>
      <c r="AE439" s="3" t="str">
        <f>IF(CAPSTONE_PROJECT[[#This Row],[Length of Stay]]&lt;=3,"Short Stay",IF(CAPSTONE_PROJECT[[#This Row],[Length of Stay]]&lt;=7,"Moderate Stay",IF(CAPSTONE_PROJECT[[#This Row],[Length of Stay]]&lt;=14,"Long Stay","Extended Stay")))</f>
        <v>Extended Stay</v>
      </c>
    </row>
    <row r="440" spans="1:31" x14ac:dyDescent="0.3">
      <c r="A440" s="3" t="s">
        <v>937</v>
      </c>
      <c r="B440" s="4">
        <v>45526</v>
      </c>
      <c r="C440" s="4">
        <v>45529</v>
      </c>
      <c r="D440" s="4">
        <v>24862</v>
      </c>
      <c r="E440" s="3">
        <v>58</v>
      </c>
      <c r="F440" s="3" t="s">
        <v>8</v>
      </c>
      <c r="G440" s="3" t="s">
        <v>78</v>
      </c>
      <c r="H440" s="3" t="s">
        <v>114</v>
      </c>
      <c r="I440" s="3" t="s">
        <v>44</v>
      </c>
      <c r="J440" s="3" t="s">
        <v>14</v>
      </c>
      <c r="K440" s="3" t="s">
        <v>65</v>
      </c>
      <c r="L440" s="6">
        <v>1569.82</v>
      </c>
      <c r="M440" s="6">
        <v>1030.0999999999999</v>
      </c>
      <c r="N440" s="6">
        <v>1082.93</v>
      </c>
      <c r="O440" s="6">
        <v>10535.62</v>
      </c>
      <c r="P440" s="3" t="s">
        <v>31</v>
      </c>
      <c r="Q440" s="3" t="s">
        <v>1078</v>
      </c>
      <c r="R440" s="3" t="s">
        <v>102</v>
      </c>
      <c r="S440" s="3" t="s">
        <v>938</v>
      </c>
      <c r="T440" s="3">
        <v>5</v>
      </c>
      <c r="U440" s="3">
        <f>CAPSTONE_PROJECT[[#This Row],[Discharge Date]]-CAPSTONE_PROJECT[[#This Row],[Admission Date]]</f>
        <v>3</v>
      </c>
      <c r="V440" s="6">
        <f>SUM(CAPSTONE_PROJECT[[#This Row],[Room Cost]:[Treatment Cost]])</f>
        <v>14218.470000000001</v>
      </c>
      <c r="W440" s="6">
        <f t="shared" si="6"/>
        <v>4739.4900000000007</v>
      </c>
      <c r="X440" s="3" t="str">
        <f>TEXT(CAPSTONE_PROJECT[[#This Row],[Admission Date]],"mmmm")</f>
        <v>August</v>
      </c>
      <c r="Y440" s="3" t="str">
        <f>TEXT(CAPSTONE_PROJECT[[#This Row],[Admission Date]],"yyyy")</f>
        <v>2024</v>
      </c>
      <c r="Z440" s="3" t="str">
        <f>TEXT(CAPSTONE_PROJECT[[#This Row],[Admission Date]],"mmm yyyy")</f>
        <v>Aug 2024</v>
      </c>
      <c r="AA440" s="3" t="str">
        <f>TEXT(CAPSTONE_PROJECT[[#This Row],[Admission Date]],"dddd")</f>
        <v>Thursday</v>
      </c>
      <c r="AB440" s="3" t="str">
        <f>IF(CAPSTONE_PROJECT[[#This Row],[Age]]&lt;=34,"Young Adults",IF(CAPSTONE_PROJECT[[#This Row],[Age]]&lt;=59,"Adults","Elders"))</f>
        <v>Adults</v>
      </c>
      <c r="AC440" s="3" t="str">
        <f>_xlfn.XLOOKUP(CAPSTONE_PROJECT[[#This Row],[Patient ID]],'Lookup table'!A:A,'Lookup table'!B:B,,0)</f>
        <v>John Martin</v>
      </c>
      <c r="AD440" s="3" t="str">
        <f>_xlfn.XLOOKUP(CAPSTONE_PROJECT[[#This Row],[Patient ID]],'Lookup table'!A:A,'Lookup table'!C:C,,0)</f>
        <v>Male</v>
      </c>
      <c r="AE440" s="3" t="str">
        <f>IF(CAPSTONE_PROJECT[[#This Row],[Length of Stay]]&lt;=3,"Short Stay",IF(CAPSTONE_PROJECT[[#This Row],[Length of Stay]]&lt;=7,"Moderate Stay",IF(CAPSTONE_PROJECT[[#This Row],[Length of Stay]]&lt;=14,"Long Stay","Extended Stay")))</f>
        <v>Short Stay</v>
      </c>
    </row>
    <row r="441" spans="1:31" x14ac:dyDescent="0.3">
      <c r="A441" s="3" t="s">
        <v>939</v>
      </c>
      <c r="B441" s="4">
        <v>46021</v>
      </c>
      <c r="C441" s="4">
        <v>46024</v>
      </c>
      <c r="D441" s="4">
        <v>16912</v>
      </c>
      <c r="E441" s="3">
        <v>80</v>
      </c>
      <c r="F441" s="3" t="s">
        <v>18</v>
      </c>
      <c r="G441" s="3" t="s">
        <v>40</v>
      </c>
      <c r="H441" s="3" t="s">
        <v>100</v>
      </c>
      <c r="I441" s="3" t="s">
        <v>37</v>
      </c>
      <c r="J441" s="3" t="s">
        <v>15</v>
      </c>
      <c r="K441" s="3" t="s">
        <v>50</v>
      </c>
      <c r="L441" s="6">
        <v>1207.19</v>
      </c>
      <c r="M441" s="6">
        <v>1308.71</v>
      </c>
      <c r="N441" s="6">
        <v>2249.41</v>
      </c>
      <c r="O441" s="6">
        <v>1761.07</v>
      </c>
      <c r="P441" s="3" t="s">
        <v>51</v>
      </c>
      <c r="Q441" s="3" t="s">
        <v>1086</v>
      </c>
      <c r="R441" s="3" t="s">
        <v>58</v>
      </c>
      <c r="S441" s="3" t="s">
        <v>940</v>
      </c>
      <c r="T441" s="3">
        <v>8</v>
      </c>
      <c r="U441" s="3">
        <f>CAPSTONE_PROJECT[[#This Row],[Discharge Date]]-CAPSTONE_PROJECT[[#This Row],[Admission Date]]</f>
        <v>3</v>
      </c>
      <c r="V441" s="6">
        <f>SUM(CAPSTONE_PROJECT[[#This Row],[Room Cost]:[Treatment Cost]])</f>
        <v>6526.3799999999992</v>
      </c>
      <c r="W441" s="6">
        <f t="shared" si="6"/>
        <v>2175.4599999999996</v>
      </c>
      <c r="X441" s="3" t="str">
        <f>TEXT(CAPSTONE_PROJECT[[#This Row],[Admission Date]],"mmmm")</f>
        <v>December</v>
      </c>
      <c r="Y441" s="3" t="str">
        <f>TEXT(CAPSTONE_PROJECT[[#This Row],[Admission Date]],"yyyy")</f>
        <v>2025</v>
      </c>
      <c r="Z441" s="3" t="str">
        <f>TEXT(CAPSTONE_PROJECT[[#This Row],[Admission Date]],"mmm yyyy")</f>
        <v>Dec 2025</v>
      </c>
      <c r="AA441" s="3" t="str">
        <f>TEXT(CAPSTONE_PROJECT[[#This Row],[Admission Date]],"dddd")</f>
        <v>Tuesday</v>
      </c>
      <c r="AB441" s="3" t="str">
        <f>IF(CAPSTONE_PROJECT[[#This Row],[Age]]&lt;=34,"Young Adults",IF(CAPSTONE_PROJECT[[#This Row],[Age]]&lt;=59,"Adults","Elders"))</f>
        <v>Elders</v>
      </c>
      <c r="AC441" s="3" t="str">
        <f>_xlfn.XLOOKUP(CAPSTONE_PROJECT[[#This Row],[Patient ID]],'Lookup table'!A:A,'Lookup table'!B:B,,0)</f>
        <v>Emily Evans</v>
      </c>
      <c r="AD441" s="3" t="str">
        <f>_xlfn.XLOOKUP(CAPSTONE_PROJECT[[#This Row],[Patient ID]],'Lookup table'!A:A,'Lookup table'!C:C,,0)</f>
        <v>Female</v>
      </c>
      <c r="AE441" s="3" t="str">
        <f>IF(CAPSTONE_PROJECT[[#This Row],[Length of Stay]]&lt;=3,"Short Stay",IF(CAPSTONE_PROJECT[[#This Row],[Length of Stay]]&lt;=7,"Moderate Stay",IF(CAPSTONE_PROJECT[[#This Row],[Length of Stay]]&lt;=14,"Long Stay","Extended Stay")))</f>
        <v>Short Stay</v>
      </c>
    </row>
    <row r="442" spans="1:31" x14ac:dyDescent="0.3">
      <c r="A442" s="3" t="s">
        <v>941</v>
      </c>
      <c r="B442" s="4">
        <v>46019</v>
      </c>
      <c r="C442" s="4">
        <v>46023</v>
      </c>
      <c r="D442" s="4">
        <v>22134</v>
      </c>
      <c r="E442" s="3">
        <v>65</v>
      </c>
      <c r="F442" s="3" t="s">
        <v>33</v>
      </c>
      <c r="G442" s="3" t="s">
        <v>57</v>
      </c>
      <c r="H442" s="3" t="s">
        <v>72</v>
      </c>
      <c r="I442" s="3" t="s">
        <v>22</v>
      </c>
      <c r="J442" s="3" t="s">
        <v>15</v>
      </c>
      <c r="K442" s="3" t="s">
        <v>15</v>
      </c>
      <c r="L442" s="6">
        <v>4205.62</v>
      </c>
      <c r="M442" s="6">
        <v>104.34</v>
      </c>
      <c r="N442" s="6">
        <v>422.29</v>
      </c>
      <c r="O442" s="6">
        <v>3737.15</v>
      </c>
      <c r="P442" s="3" t="s">
        <v>1083</v>
      </c>
      <c r="Q442" s="3" t="s">
        <v>1085</v>
      </c>
      <c r="R442" s="3" t="s">
        <v>35</v>
      </c>
      <c r="S442" s="3" t="s">
        <v>942</v>
      </c>
      <c r="T442" s="3">
        <v>3</v>
      </c>
      <c r="U442" s="3">
        <f>CAPSTONE_PROJECT[[#This Row],[Discharge Date]]-CAPSTONE_PROJECT[[#This Row],[Admission Date]]</f>
        <v>4</v>
      </c>
      <c r="V442" s="6">
        <f>SUM(CAPSTONE_PROJECT[[#This Row],[Room Cost]:[Treatment Cost]])</f>
        <v>8469.4</v>
      </c>
      <c r="W442" s="6">
        <f t="shared" si="6"/>
        <v>2117.35</v>
      </c>
      <c r="X442" s="3" t="str">
        <f>TEXT(CAPSTONE_PROJECT[[#This Row],[Admission Date]],"mmmm")</f>
        <v>December</v>
      </c>
      <c r="Y442" s="3" t="str">
        <f>TEXT(CAPSTONE_PROJECT[[#This Row],[Admission Date]],"yyyy")</f>
        <v>2025</v>
      </c>
      <c r="Z442" s="3" t="str">
        <f>TEXT(CAPSTONE_PROJECT[[#This Row],[Admission Date]],"mmm yyyy")</f>
        <v>Dec 2025</v>
      </c>
      <c r="AA442" s="3" t="str">
        <f>TEXT(CAPSTONE_PROJECT[[#This Row],[Admission Date]],"dddd")</f>
        <v>Sunday</v>
      </c>
      <c r="AB442" s="3" t="str">
        <f>IF(CAPSTONE_PROJECT[[#This Row],[Age]]&lt;=34,"Young Adults",IF(CAPSTONE_PROJECT[[#This Row],[Age]]&lt;=59,"Adults","Elders"))</f>
        <v>Elders</v>
      </c>
      <c r="AC442" s="3" t="str">
        <f>_xlfn.XLOOKUP(CAPSTONE_PROJECT[[#This Row],[Patient ID]],'Lookup table'!A:A,'Lookup table'!B:B,,0)</f>
        <v>Benjamin U Clarke</v>
      </c>
      <c r="AD442" s="3" t="str">
        <f>_xlfn.XLOOKUP(CAPSTONE_PROJECT[[#This Row],[Patient ID]],'Lookup table'!A:A,'Lookup table'!C:C,,0)</f>
        <v>Male</v>
      </c>
      <c r="AE442" s="3" t="str">
        <f>IF(CAPSTONE_PROJECT[[#This Row],[Length of Stay]]&lt;=3,"Short Stay",IF(CAPSTONE_PROJECT[[#This Row],[Length of Stay]]&lt;=7,"Moderate Stay",IF(CAPSTONE_PROJECT[[#This Row],[Length of Stay]]&lt;=14,"Long Stay","Extended Stay")))</f>
        <v>Moderate Stay</v>
      </c>
    </row>
    <row r="443" spans="1:31" x14ac:dyDescent="0.3">
      <c r="A443" s="3" t="s">
        <v>943</v>
      </c>
      <c r="B443" s="4">
        <v>45683</v>
      </c>
      <c r="C443" s="4">
        <v>45696</v>
      </c>
      <c r="D443" s="4">
        <v>19281</v>
      </c>
      <c r="E443" s="3">
        <v>73</v>
      </c>
      <c r="F443" s="3" t="s">
        <v>18</v>
      </c>
      <c r="G443" s="3" t="s">
        <v>9</v>
      </c>
      <c r="H443" s="3" t="s">
        <v>12</v>
      </c>
      <c r="I443" s="3" t="s">
        <v>13</v>
      </c>
      <c r="J443" s="3" t="s">
        <v>30</v>
      </c>
      <c r="K443" s="3" t="s">
        <v>15</v>
      </c>
      <c r="L443" s="6">
        <v>3231.24</v>
      </c>
      <c r="M443" s="6">
        <v>974.52</v>
      </c>
      <c r="N443" s="6">
        <v>136.56</v>
      </c>
      <c r="O443" s="6">
        <v>8852.89</v>
      </c>
      <c r="P443" s="3" t="s">
        <v>51</v>
      </c>
      <c r="Q443" s="3" t="s">
        <v>1082</v>
      </c>
      <c r="R443" s="3" t="s">
        <v>62</v>
      </c>
      <c r="S443" s="3" t="s">
        <v>944</v>
      </c>
      <c r="T443" s="3">
        <v>3</v>
      </c>
      <c r="U443" s="3">
        <f>CAPSTONE_PROJECT[[#This Row],[Discharge Date]]-CAPSTONE_PROJECT[[#This Row],[Admission Date]]</f>
        <v>13</v>
      </c>
      <c r="V443" s="6">
        <f>SUM(CAPSTONE_PROJECT[[#This Row],[Room Cost]:[Treatment Cost]])</f>
        <v>13195.21</v>
      </c>
      <c r="W443" s="6">
        <f t="shared" si="6"/>
        <v>1015.0161538461538</v>
      </c>
      <c r="X443" s="3" t="str">
        <f>TEXT(CAPSTONE_PROJECT[[#This Row],[Admission Date]],"mmmm")</f>
        <v>January</v>
      </c>
      <c r="Y443" s="3" t="str">
        <f>TEXT(CAPSTONE_PROJECT[[#This Row],[Admission Date]],"yyyy")</f>
        <v>2025</v>
      </c>
      <c r="Z443" s="3" t="str">
        <f>TEXT(CAPSTONE_PROJECT[[#This Row],[Admission Date]],"mmm yyyy")</f>
        <v>Jan 2025</v>
      </c>
      <c r="AA443" s="3" t="str">
        <f>TEXT(CAPSTONE_PROJECT[[#This Row],[Admission Date]],"dddd")</f>
        <v>Sunday</v>
      </c>
      <c r="AB443" s="3" t="str">
        <f>IF(CAPSTONE_PROJECT[[#This Row],[Age]]&lt;=34,"Young Adults",IF(CAPSTONE_PROJECT[[#This Row],[Age]]&lt;=59,"Adults","Elders"))</f>
        <v>Elders</v>
      </c>
      <c r="AC443" s="3" t="str">
        <f>_xlfn.XLOOKUP(CAPSTONE_PROJECT[[#This Row],[Patient ID]],'Lookup table'!A:A,'Lookup table'!B:B,,0)</f>
        <v>Mia Smith</v>
      </c>
      <c r="AD443" s="3" t="str">
        <f>_xlfn.XLOOKUP(CAPSTONE_PROJECT[[#This Row],[Patient ID]],'Lookup table'!A:A,'Lookup table'!C:C,,0)</f>
        <v>Female</v>
      </c>
      <c r="AE443" s="3" t="str">
        <f>IF(CAPSTONE_PROJECT[[#This Row],[Length of Stay]]&lt;=3,"Short Stay",IF(CAPSTONE_PROJECT[[#This Row],[Length of Stay]]&lt;=7,"Moderate Stay",IF(CAPSTONE_PROJECT[[#This Row],[Length of Stay]]&lt;=14,"Long Stay","Extended Stay")))</f>
        <v>Long Stay</v>
      </c>
    </row>
    <row r="444" spans="1:31" x14ac:dyDescent="0.3">
      <c r="A444" s="3" t="s">
        <v>945</v>
      </c>
      <c r="B444" s="4">
        <v>45395</v>
      </c>
      <c r="C444" s="4">
        <v>45405</v>
      </c>
      <c r="D444" s="4">
        <v>38432</v>
      </c>
      <c r="E444" s="3">
        <v>21</v>
      </c>
      <c r="F444" s="3" t="s">
        <v>33</v>
      </c>
      <c r="G444" s="3" t="s">
        <v>126</v>
      </c>
      <c r="H444" s="3" t="s">
        <v>29</v>
      </c>
      <c r="I444" s="3" t="s">
        <v>44</v>
      </c>
      <c r="J444" s="3" t="s">
        <v>73</v>
      </c>
      <c r="K444" s="3" t="s">
        <v>50</v>
      </c>
      <c r="L444" s="6">
        <v>2313.9899999999998</v>
      </c>
      <c r="M444" s="6">
        <v>1073.93</v>
      </c>
      <c r="N444" s="6">
        <v>1721.7</v>
      </c>
      <c r="O444" s="6">
        <v>13406.11</v>
      </c>
      <c r="P444" s="3" t="s">
        <v>16</v>
      </c>
      <c r="Q444" s="3" t="s">
        <v>1077</v>
      </c>
      <c r="R444" s="3" t="s">
        <v>68</v>
      </c>
      <c r="S444" s="3" t="s">
        <v>946</v>
      </c>
      <c r="T444" s="3">
        <v>7</v>
      </c>
      <c r="U444" s="3">
        <f>CAPSTONE_PROJECT[[#This Row],[Discharge Date]]-CAPSTONE_PROJECT[[#This Row],[Admission Date]]</f>
        <v>10</v>
      </c>
      <c r="V444" s="6">
        <f>SUM(CAPSTONE_PROJECT[[#This Row],[Room Cost]:[Treatment Cost]])</f>
        <v>18515.73</v>
      </c>
      <c r="W444" s="6">
        <f t="shared" si="6"/>
        <v>1851.5729999999999</v>
      </c>
      <c r="X444" s="3" t="str">
        <f>TEXT(CAPSTONE_PROJECT[[#This Row],[Admission Date]],"mmmm")</f>
        <v>April</v>
      </c>
      <c r="Y444" s="3" t="str">
        <f>TEXT(CAPSTONE_PROJECT[[#This Row],[Admission Date]],"yyyy")</f>
        <v>2024</v>
      </c>
      <c r="Z444" s="3" t="str">
        <f>TEXT(CAPSTONE_PROJECT[[#This Row],[Admission Date]],"mmm yyyy")</f>
        <v>Apr 2024</v>
      </c>
      <c r="AA444" s="3" t="str">
        <f>TEXT(CAPSTONE_PROJECT[[#This Row],[Admission Date]],"dddd")</f>
        <v>Saturday</v>
      </c>
      <c r="AB444" s="3" t="str">
        <f>IF(CAPSTONE_PROJECT[[#This Row],[Age]]&lt;=34,"Young Adults",IF(CAPSTONE_PROJECT[[#This Row],[Age]]&lt;=59,"Adults","Elders"))</f>
        <v>Young Adults</v>
      </c>
      <c r="AC444" s="3" t="str">
        <f>_xlfn.XLOOKUP(CAPSTONE_PROJECT[[#This Row],[Patient ID]],'Lookup table'!A:A,'Lookup table'!B:B,,0)</f>
        <v>James Walker</v>
      </c>
      <c r="AD444" s="3" t="str">
        <f>_xlfn.XLOOKUP(CAPSTONE_PROJECT[[#This Row],[Patient ID]],'Lookup table'!A:A,'Lookup table'!C:C,,0)</f>
        <v>Male</v>
      </c>
      <c r="AE444" s="3" t="str">
        <f>IF(CAPSTONE_PROJECT[[#This Row],[Length of Stay]]&lt;=3,"Short Stay",IF(CAPSTONE_PROJECT[[#This Row],[Length of Stay]]&lt;=7,"Moderate Stay",IF(CAPSTONE_PROJECT[[#This Row],[Length of Stay]]&lt;=14,"Long Stay","Extended Stay")))</f>
        <v>Long Stay</v>
      </c>
    </row>
    <row r="445" spans="1:31" x14ac:dyDescent="0.3">
      <c r="A445" s="3" t="s">
        <v>947</v>
      </c>
      <c r="B445" s="4">
        <v>45919</v>
      </c>
      <c r="C445" s="4">
        <v>45934</v>
      </c>
      <c r="D445" s="4">
        <v>26856</v>
      </c>
      <c r="E445" s="3">
        <v>52</v>
      </c>
      <c r="F445" s="3" t="s">
        <v>47</v>
      </c>
      <c r="G445" s="3" t="s">
        <v>78</v>
      </c>
      <c r="H445" s="3" t="s">
        <v>29</v>
      </c>
      <c r="I445" s="3" t="s">
        <v>22</v>
      </c>
      <c r="J445" s="3" t="s">
        <v>23</v>
      </c>
      <c r="K445" s="3" t="s">
        <v>50</v>
      </c>
      <c r="L445" s="6">
        <v>2398.44</v>
      </c>
      <c r="M445" s="6">
        <v>107.2</v>
      </c>
      <c r="N445" s="6">
        <v>2225.56</v>
      </c>
      <c r="O445" s="6">
        <v>2642.87</v>
      </c>
      <c r="P445" s="3" t="s">
        <v>31</v>
      </c>
      <c r="Q445" s="3" t="s">
        <v>1086</v>
      </c>
      <c r="R445" s="3" t="s">
        <v>10</v>
      </c>
      <c r="S445" s="3" t="s">
        <v>948</v>
      </c>
      <c r="T445" s="3">
        <v>8</v>
      </c>
      <c r="U445" s="3">
        <f>CAPSTONE_PROJECT[[#This Row],[Discharge Date]]-CAPSTONE_PROJECT[[#This Row],[Admission Date]]</f>
        <v>15</v>
      </c>
      <c r="V445" s="6">
        <f>SUM(CAPSTONE_PROJECT[[#This Row],[Room Cost]:[Treatment Cost]])</f>
        <v>7374.07</v>
      </c>
      <c r="W445" s="6">
        <f t="shared" si="6"/>
        <v>491.60466666666667</v>
      </c>
      <c r="X445" s="3" t="str">
        <f>TEXT(CAPSTONE_PROJECT[[#This Row],[Admission Date]],"mmmm")</f>
        <v>September</v>
      </c>
      <c r="Y445" s="3" t="str">
        <f>TEXT(CAPSTONE_PROJECT[[#This Row],[Admission Date]],"yyyy")</f>
        <v>2025</v>
      </c>
      <c r="Z445" s="3" t="str">
        <f>TEXT(CAPSTONE_PROJECT[[#This Row],[Admission Date]],"mmm yyyy")</f>
        <v>Sep 2025</v>
      </c>
      <c r="AA445" s="3" t="str">
        <f>TEXT(CAPSTONE_PROJECT[[#This Row],[Admission Date]],"dddd")</f>
        <v>Friday</v>
      </c>
      <c r="AB445" s="3" t="str">
        <f>IF(CAPSTONE_PROJECT[[#This Row],[Age]]&lt;=34,"Young Adults",IF(CAPSTONE_PROJECT[[#This Row],[Age]]&lt;=59,"Adults","Elders"))</f>
        <v>Adults</v>
      </c>
      <c r="AC445" s="3" t="str">
        <f>_xlfn.XLOOKUP(CAPSTONE_PROJECT[[#This Row],[Patient ID]],'Lookup table'!A:A,'Lookup table'!B:B,,0)</f>
        <v>Emily Thomas</v>
      </c>
      <c r="AD445" s="3" t="str">
        <f>_xlfn.XLOOKUP(CAPSTONE_PROJECT[[#This Row],[Patient ID]],'Lookup table'!A:A,'Lookup table'!C:C,,0)</f>
        <v>Female</v>
      </c>
      <c r="AE445" s="3" t="str">
        <f>IF(CAPSTONE_PROJECT[[#This Row],[Length of Stay]]&lt;=3,"Short Stay",IF(CAPSTONE_PROJECT[[#This Row],[Length of Stay]]&lt;=7,"Moderate Stay",IF(CAPSTONE_PROJECT[[#This Row],[Length of Stay]]&lt;=14,"Long Stay","Extended Stay")))</f>
        <v>Extended Stay</v>
      </c>
    </row>
    <row r="446" spans="1:31" x14ac:dyDescent="0.3">
      <c r="A446" s="3" t="s">
        <v>949</v>
      </c>
      <c r="B446" s="4">
        <v>45490</v>
      </c>
      <c r="C446" s="4">
        <v>45504</v>
      </c>
      <c r="D446" s="4">
        <v>21020</v>
      </c>
      <c r="E446" s="3">
        <v>68</v>
      </c>
      <c r="F446" s="3" t="s">
        <v>47</v>
      </c>
      <c r="G446" s="3" t="s">
        <v>40</v>
      </c>
      <c r="H446" s="3" t="s">
        <v>114</v>
      </c>
      <c r="I446" s="3" t="s">
        <v>13</v>
      </c>
      <c r="J446" s="3" t="s">
        <v>64</v>
      </c>
      <c r="K446" s="3" t="s">
        <v>24</v>
      </c>
      <c r="L446" s="6">
        <v>2271.6999999999998</v>
      </c>
      <c r="M446" s="6">
        <v>1186.46</v>
      </c>
      <c r="N446" s="6">
        <v>151.1</v>
      </c>
      <c r="O446" s="6">
        <v>14904.93</v>
      </c>
      <c r="P446" s="3" t="s">
        <v>51</v>
      </c>
      <c r="Q446" s="3" t="s">
        <v>1078</v>
      </c>
      <c r="R446" s="3" t="s">
        <v>68</v>
      </c>
      <c r="S446" s="3" t="s">
        <v>950</v>
      </c>
      <c r="T446" s="3">
        <v>3</v>
      </c>
      <c r="U446" s="3">
        <f>CAPSTONE_PROJECT[[#This Row],[Discharge Date]]-CAPSTONE_PROJECT[[#This Row],[Admission Date]]</f>
        <v>14</v>
      </c>
      <c r="V446" s="6">
        <f>SUM(CAPSTONE_PROJECT[[#This Row],[Room Cost]:[Treatment Cost]])</f>
        <v>18514.189999999999</v>
      </c>
      <c r="W446" s="6">
        <f t="shared" si="6"/>
        <v>1322.4421428571427</v>
      </c>
      <c r="X446" s="3" t="str">
        <f>TEXT(CAPSTONE_PROJECT[[#This Row],[Admission Date]],"mmmm")</f>
        <v>July</v>
      </c>
      <c r="Y446" s="3" t="str">
        <f>TEXT(CAPSTONE_PROJECT[[#This Row],[Admission Date]],"yyyy")</f>
        <v>2024</v>
      </c>
      <c r="Z446" s="3" t="str">
        <f>TEXT(CAPSTONE_PROJECT[[#This Row],[Admission Date]],"mmm yyyy")</f>
        <v>Jul 2024</v>
      </c>
      <c r="AA446" s="3" t="str">
        <f>TEXT(CAPSTONE_PROJECT[[#This Row],[Admission Date]],"dddd")</f>
        <v>Wednesday</v>
      </c>
      <c r="AB446" s="3" t="str">
        <f>IF(CAPSTONE_PROJECT[[#This Row],[Age]]&lt;=34,"Young Adults",IF(CAPSTONE_PROJECT[[#This Row],[Age]]&lt;=59,"Adults","Elders"))</f>
        <v>Elders</v>
      </c>
      <c r="AC446" s="3" t="str">
        <f>_xlfn.XLOOKUP(CAPSTONE_PROJECT[[#This Row],[Patient ID]],'Lookup table'!A:A,'Lookup table'!B:B,,0)</f>
        <v>Arthur Robinson</v>
      </c>
      <c r="AD446" s="3" t="str">
        <f>_xlfn.XLOOKUP(CAPSTONE_PROJECT[[#This Row],[Patient ID]],'Lookup table'!A:A,'Lookup table'!C:C,,0)</f>
        <v>Male</v>
      </c>
      <c r="AE446" s="3" t="str">
        <f>IF(CAPSTONE_PROJECT[[#This Row],[Length of Stay]]&lt;=3,"Short Stay",IF(CAPSTONE_PROJECT[[#This Row],[Length of Stay]]&lt;=7,"Moderate Stay",IF(CAPSTONE_PROJECT[[#This Row],[Length of Stay]]&lt;=14,"Long Stay","Extended Stay")))</f>
        <v>Long Stay</v>
      </c>
    </row>
    <row r="447" spans="1:31" x14ac:dyDescent="0.3">
      <c r="A447" s="3" t="s">
        <v>951</v>
      </c>
      <c r="B447" s="4">
        <v>45990</v>
      </c>
      <c r="C447" s="4">
        <v>46009</v>
      </c>
      <c r="D447" s="4">
        <v>28571</v>
      </c>
      <c r="E447" s="3">
        <v>48</v>
      </c>
      <c r="F447" s="3" t="s">
        <v>33</v>
      </c>
      <c r="G447" s="3" t="s">
        <v>48</v>
      </c>
      <c r="H447" s="3" t="s">
        <v>104</v>
      </c>
      <c r="I447" s="3" t="s">
        <v>37</v>
      </c>
      <c r="J447" s="3" t="s">
        <v>23</v>
      </c>
      <c r="K447" s="3" t="s">
        <v>50</v>
      </c>
      <c r="L447" s="6">
        <v>2183.4299999999998</v>
      </c>
      <c r="M447" s="6">
        <v>379.3</v>
      </c>
      <c r="N447" s="6">
        <v>1057.49</v>
      </c>
      <c r="O447" s="6">
        <v>15119.48</v>
      </c>
      <c r="P447" s="3" t="s">
        <v>51</v>
      </c>
      <c r="Q447" s="3" t="s">
        <v>1079</v>
      </c>
      <c r="R447" s="3" t="s">
        <v>10</v>
      </c>
      <c r="S447" s="3" t="s">
        <v>952</v>
      </c>
      <c r="T447" s="3">
        <v>7</v>
      </c>
      <c r="U447" s="3">
        <f>CAPSTONE_PROJECT[[#This Row],[Discharge Date]]-CAPSTONE_PROJECT[[#This Row],[Admission Date]]</f>
        <v>19</v>
      </c>
      <c r="V447" s="6">
        <f>SUM(CAPSTONE_PROJECT[[#This Row],[Room Cost]:[Treatment Cost]])</f>
        <v>18739.7</v>
      </c>
      <c r="W447" s="6">
        <f t="shared" si="6"/>
        <v>986.30000000000007</v>
      </c>
      <c r="X447" s="3" t="str">
        <f>TEXT(CAPSTONE_PROJECT[[#This Row],[Admission Date]],"mmmm")</f>
        <v>November</v>
      </c>
      <c r="Y447" s="3" t="str">
        <f>TEXT(CAPSTONE_PROJECT[[#This Row],[Admission Date]],"yyyy")</f>
        <v>2025</v>
      </c>
      <c r="Z447" s="3" t="str">
        <f>TEXT(CAPSTONE_PROJECT[[#This Row],[Admission Date]],"mmm yyyy")</f>
        <v>Nov 2025</v>
      </c>
      <c r="AA447" s="3" t="str">
        <f>TEXT(CAPSTONE_PROJECT[[#This Row],[Admission Date]],"dddd")</f>
        <v>Saturday</v>
      </c>
      <c r="AB447" s="3" t="str">
        <f>IF(CAPSTONE_PROJECT[[#This Row],[Age]]&lt;=34,"Young Adults",IF(CAPSTONE_PROJECT[[#This Row],[Age]]&lt;=59,"Adults","Elders"))</f>
        <v>Adults</v>
      </c>
      <c r="AC447" s="3" t="str">
        <f>_xlfn.XLOOKUP(CAPSTONE_PROJECT[[#This Row],[Patient ID]],'Lookup table'!A:A,'Lookup table'!B:B,,0)</f>
        <v>Mia D Clarke</v>
      </c>
      <c r="AD447" s="3" t="str">
        <f>_xlfn.XLOOKUP(CAPSTONE_PROJECT[[#This Row],[Patient ID]],'Lookup table'!A:A,'Lookup table'!C:C,,0)</f>
        <v>Female</v>
      </c>
      <c r="AE447" s="3" t="str">
        <f>IF(CAPSTONE_PROJECT[[#This Row],[Length of Stay]]&lt;=3,"Short Stay",IF(CAPSTONE_PROJECT[[#This Row],[Length of Stay]]&lt;=7,"Moderate Stay",IF(CAPSTONE_PROJECT[[#This Row],[Length of Stay]]&lt;=14,"Long Stay","Extended Stay")))</f>
        <v>Extended Stay</v>
      </c>
    </row>
    <row r="448" spans="1:31" x14ac:dyDescent="0.3">
      <c r="A448" s="3" t="s">
        <v>953</v>
      </c>
      <c r="B448" s="4">
        <v>45872</v>
      </c>
      <c r="C448" s="4">
        <v>45883</v>
      </c>
      <c r="D448" s="4">
        <v>33799</v>
      </c>
      <c r="E448" s="3">
        <v>33</v>
      </c>
      <c r="F448" s="3" t="s">
        <v>33</v>
      </c>
      <c r="G448" s="3" t="s">
        <v>53</v>
      </c>
      <c r="H448" s="3" t="s">
        <v>12</v>
      </c>
      <c r="I448" s="3" t="s">
        <v>37</v>
      </c>
      <c r="J448" s="3" t="s">
        <v>30</v>
      </c>
      <c r="K448" s="3" t="s">
        <v>15</v>
      </c>
      <c r="L448" s="6">
        <v>3404.84</v>
      </c>
      <c r="M448" s="6">
        <v>871.51</v>
      </c>
      <c r="N448" s="6">
        <v>2650.12</v>
      </c>
      <c r="O448" s="6">
        <v>15900.8</v>
      </c>
      <c r="P448" s="3" t="s">
        <v>51</v>
      </c>
      <c r="Q448" s="3" t="s">
        <v>1076</v>
      </c>
      <c r="R448" s="3" t="s">
        <v>41</v>
      </c>
      <c r="S448" s="3" t="s">
        <v>954</v>
      </c>
      <c r="T448" s="3">
        <v>2</v>
      </c>
      <c r="U448" s="3">
        <f>CAPSTONE_PROJECT[[#This Row],[Discharge Date]]-CAPSTONE_PROJECT[[#This Row],[Admission Date]]</f>
        <v>11</v>
      </c>
      <c r="V448" s="6">
        <f>SUM(CAPSTONE_PROJECT[[#This Row],[Room Cost]:[Treatment Cost]])</f>
        <v>22827.27</v>
      </c>
      <c r="W448" s="6">
        <f t="shared" si="6"/>
        <v>2075.2063636363637</v>
      </c>
      <c r="X448" s="3" t="str">
        <f>TEXT(CAPSTONE_PROJECT[[#This Row],[Admission Date]],"mmmm")</f>
        <v>August</v>
      </c>
      <c r="Y448" s="3" t="str">
        <f>TEXT(CAPSTONE_PROJECT[[#This Row],[Admission Date]],"yyyy")</f>
        <v>2025</v>
      </c>
      <c r="Z448" s="3" t="str">
        <f>TEXT(CAPSTONE_PROJECT[[#This Row],[Admission Date]],"mmm yyyy")</f>
        <v>Aug 2025</v>
      </c>
      <c r="AA448" s="3" t="str">
        <f>TEXT(CAPSTONE_PROJECT[[#This Row],[Admission Date]],"dddd")</f>
        <v>Sunday</v>
      </c>
      <c r="AB448" s="3" t="str">
        <f>IF(CAPSTONE_PROJECT[[#This Row],[Age]]&lt;=34,"Young Adults",IF(CAPSTONE_PROJECT[[#This Row],[Age]]&lt;=59,"Adults","Elders"))</f>
        <v>Young Adults</v>
      </c>
      <c r="AC448" s="3" t="str">
        <f>_xlfn.XLOOKUP(CAPSTONE_PROJECT[[#This Row],[Patient ID]],'Lookup table'!A:A,'Lookup table'!B:B,,0)</f>
        <v>John W Jones</v>
      </c>
      <c r="AD448" s="3" t="str">
        <f>_xlfn.XLOOKUP(CAPSTONE_PROJECT[[#This Row],[Patient ID]],'Lookup table'!A:A,'Lookup table'!C:C,,0)</f>
        <v>Male</v>
      </c>
      <c r="AE448" s="3" t="str">
        <f>IF(CAPSTONE_PROJECT[[#This Row],[Length of Stay]]&lt;=3,"Short Stay",IF(CAPSTONE_PROJECT[[#This Row],[Length of Stay]]&lt;=7,"Moderate Stay",IF(CAPSTONE_PROJECT[[#This Row],[Length of Stay]]&lt;=14,"Long Stay","Extended Stay")))</f>
        <v>Long Stay</v>
      </c>
    </row>
    <row r="449" spans="1:31" x14ac:dyDescent="0.3">
      <c r="A449" s="3" t="s">
        <v>955</v>
      </c>
      <c r="B449" s="4">
        <v>45460</v>
      </c>
      <c r="C449" s="4">
        <v>45471</v>
      </c>
      <c r="D449" s="4">
        <v>22215</v>
      </c>
      <c r="E449" s="3">
        <v>65</v>
      </c>
      <c r="F449" s="3" t="s">
        <v>18</v>
      </c>
      <c r="G449" s="3" t="s">
        <v>126</v>
      </c>
      <c r="H449" s="3" t="s">
        <v>114</v>
      </c>
      <c r="I449" s="3" t="s">
        <v>22</v>
      </c>
      <c r="J449" s="3" t="s">
        <v>64</v>
      </c>
      <c r="K449" s="3" t="s">
        <v>65</v>
      </c>
      <c r="L449" s="6">
        <v>2670.01</v>
      </c>
      <c r="M449" s="6">
        <v>148.82</v>
      </c>
      <c r="N449" s="6">
        <v>470.21</v>
      </c>
      <c r="O449" s="6">
        <v>1327.22</v>
      </c>
      <c r="P449" s="3" t="s">
        <v>31</v>
      </c>
      <c r="Q449" s="3" t="s">
        <v>1078</v>
      </c>
      <c r="R449" s="3" t="s">
        <v>58</v>
      </c>
      <c r="S449" s="3" t="s">
        <v>956</v>
      </c>
      <c r="T449" s="3">
        <v>1</v>
      </c>
      <c r="U449" s="3">
        <f>CAPSTONE_PROJECT[[#This Row],[Discharge Date]]-CAPSTONE_PROJECT[[#This Row],[Admission Date]]</f>
        <v>11</v>
      </c>
      <c r="V449" s="6">
        <f>SUM(CAPSTONE_PROJECT[[#This Row],[Room Cost]:[Treatment Cost]])</f>
        <v>4616.26</v>
      </c>
      <c r="W449" s="6">
        <f t="shared" si="6"/>
        <v>419.66</v>
      </c>
      <c r="X449" s="3" t="str">
        <f>TEXT(CAPSTONE_PROJECT[[#This Row],[Admission Date]],"mmmm")</f>
        <v>June</v>
      </c>
      <c r="Y449" s="3" t="str">
        <f>TEXT(CAPSTONE_PROJECT[[#This Row],[Admission Date]],"yyyy")</f>
        <v>2024</v>
      </c>
      <c r="Z449" s="3" t="str">
        <f>TEXT(CAPSTONE_PROJECT[[#This Row],[Admission Date]],"mmm yyyy")</f>
        <v>Jun 2024</v>
      </c>
      <c r="AA449" s="3" t="str">
        <f>TEXT(CAPSTONE_PROJECT[[#This Row],[Admission Date]],"dddd")</f>
        <v>Monday</v>
      </c>
      <c r="AB449" s="3" t="str">
        <f>IF(CAPSTONE_PROJECT[[#This Row],[Age]]&lt;=34,"Young Adults",IF(CAPSTONE_PROJECT[[#This Row],[Age]]&lt;=59,"Adults","Elders"))</f>
        <v>Elders</v>
      </c>
      <c r="AC449" s="3" t="str">
        <f>_xlfn.XLOOKUP(CAPSTONE_PROJECT[[#This Row],[Patient ID]],'Lookup table'!A:A,'Lookup table'!B:B,,0)</f>
        <v>Sophia Robinson</v>
      </c>
      <c r="AD449" s="3" t="str">
        <f>_xlfn.XLOOKUP(CAPSTONE_PROJECT[[#This Row],[Patient ID]],'Lookup table'!A:A,'Lookup table'!C:C,,0)</f>
        <v>Female</v>
      </c>
      <c r="AE449" s="3" t="str">
        <f>IF(CAPSTONE_PROJECT[[#This Row],[Length of Stay]]&lt;=3,"Short Stay",IF(CAPSTONE_PROJECT[[#This Row],[Length of Stay]]&lt;=7,"Moderate Stay",IF(CAPSTONE_PROJECT[[#This Row],[Length of Stay]]&lt;=14,"Long Stay","Extended Stay")))</f>
        <v>Long Stay</v>
      </c>
    </row>
    <row r="450" spans="1:31" x14ac:dyDescent="0.3">
      <c r="A450" s="3" t="s">
        <v>957</v>
      </c>
      <c r="B450" s="4">
        <v>45488</v>
      </c>
      <c r="C450" s="4">
        <v>45494</v>
      </c>
      <c r="D450" s="4">
        <v>30708</v>
      </c>
      <c r="E450" s="3">
        <v>42</v>
      </c>
      <c r="F450" s="3" t="s">
        <v>33</v>
      </c>
      <c r="G450" s="3" t="s">
        <v>61</v>
      </c>
      <c r="H450" s="3" t="s">
        <v>111</v>
      </c>
      <c r="I450" s="3" t="s">
        <v>44</v>
      </c>
      <c r="J450" s="3" t="s">
        <v>30</v>
      </c>
      <c r="K450" s="3" t="s">
        <v>15</v>
      </c>
      <c r="L450" s="6">
        <v>1502.49</v>
      </c>
      <c r="M450" s="6">
        <v>1701.63</v>
      </c>
      <c r="N450" s="6">
        <v>2509.14</v>
      </c>
      <c r="O450" s="6">
        <v>14799.66</v>
      </c>
      <c r="P450" s="3" t="s">
        <v>25</v>
      </c>
      <c r="Q450" s="3" t="s">
        <v>1084</v>
      </c>
      <c r="R450" s="3" t="s">
        <v>62</v>
      </c>
      <c r="S450" s="3" t="s">
        <v>958</v>
      </c>
      <c r="T450" s="3">
        <v>9</v>
      </c>
      <c r="U450" s="3">
        <f>CAPSTONE_PROJECT[[#This Row],[Discharge Date]]-CAPSTONE_PROJECT[[#This Row],[Admission Date]]</f>
        <v>6</v>
      </c>
      <c r="V450" s="6">
        <f>SUM(CAPSTONE_PROJECT[[#This Row],[Room Cost]:[Treatment Cost]])</f>
        <v>20512.919999999998</v>
      </c>
      <c r="W450" s="6">
        <f t="shared" ref="W450:W501" si="7">V450/U450</f>
        <v>3418.8199999999997</v>
      </c>
      <c r="X450" s="3" t="str">
        <f>TEXT(CAPSTONE_PROJECT[[#This Row],[Admission Date]],"mmmm")</f>
        <v>July</v>
      </c>
      <c r="Y450" s="3" t="str">
        <f>TEXT(CAPSTONE_PROJECT[[#This Row],[Admission Date]],"yyyy")</f>
        <v>2024</v>
      </c>
      <c r="Z450" s="3" t="str">
        <f>TEXT(CAPSTONE_PROJECT[[#This Row],[Admission Date]],"mmm yyyy")</f>
        <v>Jul 2024</v>
      </c>
      <c r="AA450" s="3" t="str">
        <f>TEXT(CAPSTONE_PROJECT[[#This Row],[Admission Date]],"dddd")</f>
        <v>Monday</v>
      </c>
      <c r="AB450" s="3" t="str">
        <f>IF(CAPSTONE_PROJECT[[#This Row],[Age]]&lt;=34,"Young Adults",IF(CAPSTONE_PROJECT[[#This Row],[Age]]&lt;=59,"Adults","Elders"))</f>
        <v>Adults</v>
      </c>
      <c r="AC450" s="3" t="str">
        <f>_xlfn.XLOOKUP(CAPSTONE_PROJECT[[#This Row],[Patient ID]],'Lookup table'!A:A,'Lookup table'!B:B,,0)</f>
        <v>Samuel R Brown</v>
      </c>
      <c r="AD450" s="3" t="str">
        <f>_xlfn.XLOOKUP(CAPSTONE_PROJECT[[#This Row],[Patient ID]],'Lookup table'!A:A,'Lookup table'!C:C,,0)</f>
        <v>Male</v>
      </c>
      <c r="AE450" s="3" t="str">
        <f>IF(CAPSTONE_PROJECT[[#This Row],[Length of Stay]]&lt;=3,"Short Stay",IF(CAPSTONE_PROJECT[[#This Row],[Length of Stay]]&lt;=7,"Moderate Stay",IF(CAPSTONE_PROJECT[[#This Row],[Length of Stay]]&lt;=14,"Long Stay","Extended Stay")))</f>
        <v>Moderate Stay</v>
      </c>
    </row>
    <row r="451" spans="1:31" x14ac:dyDescent="0.3">
      <c r="A451" s="3" t="s">
        <v>959</v>
      </c>
      <c r="B451" s="4">
        <v>45702</v>
      </c>
      <c r="C451" s="4">
        <v>45716</v>
      </c>
      <c r="D451" s="4">
        <v>31773</v>
      </c>
      <c r="E451" s="3">
        <v>39</v>
      </c>
      <c r="F451" s="3" t="s">
        <v>47</v>
      </c>
      <c r="G451" s="3" t="s">
        <v>78</v>
      </c>
      <c r="H451" s="3" t="s">
        <v>72</v>
      </c>
      <c r="I451" s="3" t="s">
        <v>22</v>
      </c>
      <c r="J451" s="3" t="s">
        <v>64</v>
      </c>
      <c r="K451" s="3" t="s">
        <v>50</v>
      </c>
      <c r="L451" s="6">
        <v>3469.26</v>
      </c>
      <c r="M451" s="6">
        <v>1372.41</v>
      </c>
      <c r="N451" s="6">
        <v>936.07</v>
      </c>
      <c r="O451" s="6">
        <v>12755.6</v>
      </c>
      <c r="P451" s="3" t="s">
        <v>25</v>
      </c>
      <c r="Q451" s="3" t="s">
        <v>1081</v>
      </c>
      <c r="R451" s="3" t="s">
        <v>19</v>
      </c>
      <c r="S451" s="3" t="s">
        <v>960</v>
      </c>
      <c r="T451" s="3">
        <v>3</v>
      </c>
      <c r="U451" s="3">
        <f>CAPSTONE_PROJECT[[#This Row],[Discharge Date]]-CAPSTONE_PROJECT[[#This Row],[Admission Date]]</f>
        <v>14</v>
      </c>
      <c r="V451" s="6">
        <f>SUM(CAPSTONE_PROJECT[[#This Row],[Room Cost]:[Treatment Cost]])</f>
        <v>18533.34</v>
      </c>
      <c r="W451" s="6">
        <f t="shared" si="7"/>
        <v>1323.81</v>
      </c>
      <c r="X451" s="3" t="str">
        <f>TEXT(CAPSTONE_PROJECT[[#This Row],[Admission Date]],"mmmm")</f>
        <v>February</v>
      </c>
      <c r="Y451" s="3" t="str">
        <f>TEXT(CAPSTONE_PROJECT[[#This Row],[Admission Date]],"yyyy")</f>
        <v>2025</v>
      </c>
      <c r="Z451" s="3" t="str">
        <f>TEXT(CAPSTONE_PROJECT[[#This Row],[Admission Date]],"mmm yyyy")</f>
        <v>Feb 2025</v>
      </c>
      <c r="AA451" s="3" t="str">
        <f>TEXT(CAPSTONE_PROJECT[[#This Row],[Admission Date]],"dddd")</f>
        <v>Friday</v>
      </c>
      <c r="AB451" s="3" t="str">
        <f>IF(CAPSTONE_PROJECT[[#This Row],[Age]]&lt;=34,"Young Adults",IF(CAPSTONE_PROJECT[[#This Row],[Age]]&lt;=59,"Adults","Elders"))</f>
        <v>Adults</v>
      </c>
      <c r="AC451" s="3" t="str">
        <f>_xlfn.XLOOKUP(CAPSTONE_PROJECT[[#This Row],[Patient ID]],'Lookup table'!A:A,'Lookup table'!B:B,,0)</f>
        <v>Isabella Taylor</v>
      </c>
      <c r="AD451" s="3" t="str">
        <f>_xlfn.XLOOKUP(CAPSTONE_PROJECT[[#This Row],[Patient ID]],'Lookup table'!A:A,'Lookup table'!C:C,,0)</f>
        <v>Female</v>
      </c>
      <c r="AE451" s="3" t="str">
        <f>IF(CAPSTONE_PROJECT[[#This Row],[Length of Stay]]&lt;=3,"Short Stay",IF(CAPSTONE_PROJECT[[#This Row],[Length of Stay]]&lt;=7,"Moderate Stay",IF(CAPSTONE_PROJECT[[#This Row],[Length of Stay]]&lt;=14,"Long Stay","Extended Stay")))</f>
        <v>Long Stay</v>
      </c>
    </row>
    <row r="452" spans="1:31" x14ac:dyDescent="0.3">
      <c r="A452" s="3" t="s">
        <v>961</v>
      </c>
      <c r="B452" s="4">
        <v>45326</v>
      </c>
      <c r="C452" s="4">
        <v>45338</v>
      </c>
      <c r="D452" s="4">
        <v>37489</v>
      </c>
      <c r="E452" s="3">
        <v>23</v>
      </c>
      <c r="F452" s="3" t="s">
        <v>33</v>
      </c>
      <c r="G452" s="3" t="s">
        <v>48</v>
      </c>
      <c r="H452" s="3" t="s">
        <v>114</v>
      </c>
      <c r="I452" s="3" t="s">
        <v>13</v>
      </c>
      <c r="J452" s="3" t="s">
        <v>64</v>
      </c>
      <c r="K452" s="3" t="s">
        <v>50</v>
      </c>
      <c r="L452" s="6">
        <v>1539.43</v>
      </c>
      <c r="M452" s="6">
        <v>875.66</v>
      </c>
      <c r="N452" s="6">
        <v>262.11</v>
      </c>
      <c r="O452" s="6">
        <v>1490.17</v>
      </c>
      <c r="P452" s="3" t="s">
        <v>31</v>
      </c>
      <c r="Q452" s="3" t="s">
        <v>1078</v>
      </c>
      <c r="R452" s="3" t="s">
        <v>75</v>
      </c>
      <c r="S452" s="3" t="s">
        <v>962</v>
      </c>
      <c r="T452" s="3">
        <v>5</v>
      </c>
      <c r="U452" s="3">
        <f>CAPSTONE_PROJECT[[#This Row],[Discharge Date]]-CAPSTONE_PROJECT[[#This Row],[Admission Date]]</f>
        <v>12</v>
      </c>
      <c r="V452" s="6">
        <f>SUM(CAPSTONE_PROJECT[[#This Row],[Room Cost]:[Treatment Cost]])</f>
        <v>4167.3700000000008</v>
      </c>
      <c r="W452" s="6">
        <f t="shared" si="7"/>
        <v>347.28083333333342</v>
      </c>
      <c r="X452" s="3" t="str">
        <f>TEXT(CAPSTONE_PROJECT[[#This Row],[Admission Date]],"mmmm")</f>
        <v>February</v>
      </c>
      <c r="Y452" s="3" t="str">
        <f>TEXT(CAPSTONE_PROJECT[[#This Row],[Admission Date]],"yyyy")</f>
        <v>2024</v>
      </c>
      <c r="Z452" s="3" t="str">
        <f>TEXT(CAPSTONE_PROJECT[[#This Row],[Admission Date]],"mmm yyyy")</f>
        <v>Feb 2024</v>
      </c>
      <c r="AA452" s="3" t="str">
        <f>TEXT(CAPSTONE_PROJECT[[#This Row],[Admission Date]],"dddd")</f>
        <v>Sunday</v>
      </c>
      <c r="AB452" s="3" t="str">
        <f>IF(CAPSTONE_PROJECT[[#This Row],[Age]]&lt;=34,"Young Adults",IF(CAPSTONE_PROJECT[[#This Row],[Age]]&lt;=59,"Adults","Elders"))</f>
        <v>Young Adults</v>
      </c>
      <c r="AC452" s="3" t="str">
        <f>_xlfn.XLOOKUP(CAPSTONE_PROJECT[[#This Row],[Patient ID]],'Lookup table'!A:A,'Lookup table'!B:B,,0)</f>
        <v>James Wilson</v>
      </c>
      <c r="AD452" s="3" t="str">
        <f>_xlfn.XLOOKUP(CAPSTONE_PROJECT[[#This Row],[Patient ID]],'Lookup table'!A:A,'Lookup table'!C:C,,0)</f>
        <v>Male</v>
      </c>
      <c r="AE452" s="3" t="str">
        <f>IF(CAPSTONE_PROJECT[[#This Row],[Length of Stay]]&lt;=3,"Short Stay",IF(CAPSTONE_PROJECT[[#This Row],[Length of Stay]]&lt;=7,"Moderate Stay",IF(CAPSTONE_PROJECT[[#This Row],[Length of Stay]]&lt;=14,"Long Stay","Extended Stay")))</f>
        <v>Long Stay</v>
      </c>
    </row>
    <row r="453" spans="1:31" x14ac:dyDescent="0.3">
      <c r="A453" s="3" t="s">
        <v>963</v>
      </c>
      <c r="B453" s="4">
        <v>45817</v>
      </c>
      <c r="C453" s="4">
        <v>45837</v>
      </c>
      <c r="D453" s="4">
        <v>17234</v>
      </c>
      <c r="E453" s="3">
        <v>79</v>
      </c>
      <c r="F453" s="3" t="s">
        <v>8</v>
      </c>
      <c r="G453" s="3" t="s">
        <v>34</v>
      </c>
      <c r="H453" s="3" t="s">
        <v>1080</v>
      </c>
      <c r="I453" s="3" t="s">
        <v>44</v>
      </c>
      <c r="J453" s="3" t="s">
        <v>64</v>
      </c>
      <c r="K453" s="3" t="s">
        <v>24</v>
      </c>
      <c r="L453" s="6">
        <v>4530.3599999999997</v>
      </c>
      <c r="M453" s="6">
        <v>1320.33</v>
      </c>
      <c r="N453" s="6">
        <v>1764.84</v>
      </c>
      <c r="O453" s="6">
        <v>9587.69</v>
      </c>
      <c r="P453" s="3" t="s">
        <v>51</v>
      </c>
      <c r="Q453" s="3" t="s">
        <v>1079</v>
      </c>
      <c r="R453" s="3" t="s">
        <v>58</v>
      </c>
      <c r="S453" s="3" t="s">
        <v>964</v>
      </c>
      <c r="T453" s="3">
        <v>1</v>
      </c>
      <c r="U453" s="3">
        <f>CAPSTONE_PROJECT[[#This Row],[Discharge Date]]-CAPSTONE_PROJECT[[#This Row],[Admission Date]]</f>
        <v>20</v>
      </c>
      <c r="V453" s="6">
        <f>SUM(CAPSTONE_PROJECT[[#This Row],[Room Cost]:[Treatment Cost]])</f>
        <v>17203.22</v>
      </c>
      <c r="W453" s="6">
        <f t="shared" si="7"/>
        <v>860.16100000000006</v>
      </c>
      <c r="X453" s="3" t="str">
        <f>TEXT(CAPSTONE_PROJECT[[#This Row],[Admission Date]],"mmmm")</f>
        <v>June</v>
      </c>
      <c r="Y453" s="3" t="str">
        <f>TEXT(CAPSTONE_PROJECT[[#This Row],[Admission Date]],"yyyy")</f>
        <v>2025</v>
      </c>
      <c r="Z453" s="3" t="str">
        <f>TEXT(CAPSTONE_PROJECT[[#This Row],[Admission Date]],"mmm yyyy")</f>
        <v>Jun 2025</v>
      </c>
      <c r="AA453" s="3" t="str">
        <f>TEXT(CAPSTONE_PROJECT[[#This Row],[Admission Date]],"dddd")</f>
        <v>Monday</v>
      </c>
      <c r="AB453" s="3" t="str">
        <f>IF(CAPSTONE_PROJECT[[#This Row],[Age]]&lt;=34,"Young Adults",IF(CAPSTONE_PROJECT[[#This Row],[Age]]&lt;=59,"Adults","Elders"))</f>
        <v>Elders</v>
      </c>
      <c r="AC453" s="3" t="str">
        <f>_xlfn.XLOOKUP(CAPSTONE_PROJECT[[#This Row],[Patient ID]],'Lookup table'!A:A,'Lookup table'!B:B,,0)</f>
        <v>Mia U Wilson</v>
      </c>
      <c r="AD453" s="3" t="str">
        <f>_xlfn.XLOOKUP(CAPSTONE_PROJECT[[#This Row],[Patient ID]],'Lookup table'!A:A,'Lookup table'!C:C,,0)</f>
        <v>Female</v>
      </c>
      <c r="AE453" s="3" t="str">
        <f>IF(CAPSTONE_PROJECT[[#This Row],[Length of Stay]]&lt;=3,"Short Stay",IF(CAPSTONE_PROJECT[[#This Row],[Length of Stay]]&lt;=7,"Moderate Stay",IF(CAPSTONE_PROJECT[[#This Row],[Length of Stay]]&lt;=14,"Long Stay","Extended Stay")))</f>
        <v>Extended Stay</v>
      </c>
    </row>
    <row r="454" spans="1:31" x14ac:dyDescent="0.3">
      <c r="A454" s="3" t="s">
        <v>965</v>
      </c>
      <c r="B454" s="4">
        <v>45332</v>
      </c>
      <c r="C454" s="4">
        <v>45347</v>
      </c>
      <c r="D454" s="4">
        <v>34694</v>
      </c>
      <c r="E454" s="3">
        <v>31</v>
      </c>
      <c r="F454" s="3" t="s">
        <v>33</v>
      </c>
      <c r="G454" s="3" t="s">
        <v>53</v>
      </c>
      <c r="H454" s="3" t="s">
        <v>21</v>
      </c>
      <c r="I454" s="3" t="s">
        <v>44</v>
      </c>
      <c r="J454" s="3" t="s">
        <v>38</v>
      </c>
      <c r="K454" s="3" t="s">
        <v>24</v>
      </c>
      <c r="L454" s="6">
        <v>2045.84</v>
      </c>
      <c r="M454" s="6">
        <v>1218.71</v>
      </c>
      <c r="N454" s="6">
        <v>260.45</v>
      </c>
      <c r="O454" s="6">
        <v>12035.16</v>
      </c>
      <c r="P454" s="3" t="s">
        <v>16</v>
      </c>
      <c r="Q454" s="3" t="s">
        <v>1085</v>
      </c>
      <c r="R454" s="3" t="s">
        <v>68</v>
      </c>
      <c r="S454" s="3" t="s">
        <v>966</v>
      </c>
      <c r="T454" s="3">
        <v>1</v>
      </c>
      <c r="U454" s="3">
        <f>CAPSTONE_PROJECT[[#This Row],[Discharge Date]]-CAPSTONE_PROJECT[[#This Row],[Admission Date]]</f>
        <v>15</v>
      </c>
      <c r="V454" s="6">
        <f>SUM(CAPSTONE_PROJECT[[#This Row],[Room Cost]:[Treatment Cost]])</f>
        <v>15560.16</v>
      </c>
      <c r="W454" s="6">
        <f t="shared" si="7"/>
        <v>1037.3440000000001</v>
      </c>
      <c r="X454" s="3" t="str">
        <f>TEXT(CAPSTONE_PROJECT[[#This Row],[Admission Date]],"mmmm")</f>
        <v>February</v>
      </c>
      <c r="Y454" s="3" t="str">
        <f>TEXT(CAPSTONE_PROJECT[[#This Row],[Admission Date]],"yyyy")</f>
        <v>2024</v>
      </c>
      <c r="Z454" s="3" t="str">
        <f>TEXT(CAPSTONE_PROJECT[[#This Row],[Admission Date]],"mmm yyyy")</f>
        <v>Feb 2024</v>
      </c>
      <c r="AA454" s="3" t="str">
        <f>TEXT(CAPSTONE_PROJECT[[#This Row],[Admission Date]],"dddd")</f>
        <v>Saturday</v>
      </c>
      <c r="AB454" s="3" t="str">
        <f>IF(CAPSTONE_PROJECT[[#This Row],[Age]]&lt;=34,"Young Adults",IF(CAPSTONE_PROJECT[[#This Row],[Age]]&lt;=59,"Adults","Elders"))</f>
        <v>Young Adults</v>
      </c>
      <c r="AC454" s="3" t="str">
        <f>_xlfn.XLOOKUP(CAPSTONE_PROJECT[[#This Row],[Patient ID]],'Lookup table'!A:A,'Lookup table'!B:B,,0)</f>
        <v>Leo P Thomas</v>
      </c>
      <c r="AD454" s="3" t="str">
        <f>_xlfn.XLOOKUP(CAPSTONE_PROJECT[[#This Row],[Patient ID]],'Lookup table'!A:A,'Lookup table'!C:C,,0)</f>
        <v>Male</v>
      </c>
      <c r="AE454" s="3" t="str">
        <f>IF(CAPSTONE_PROJECT[[#This Row],[Length of Stay]]&lt;=3,"Short Stay",IF(CAPSTONE_PROJECT[[#This Row],[Length of Stay]]&lt;=7,"Moderate Stay",IF(CAPSTONE_PROJECT[[#This Row],[Length of Stay]]&lt;=14,"Long Stay","Extended Stay")))</f>
        <v>Extended Stay</v>
      </c>
    </row>
    <row r="455" spans="1:31" x14ac:dyDescent="0.3">
      <c r="A455" s="3" t="s">
        <v>967</v>
      </c>
      <c r="B455" s="4">
        <v>45519</v>
      </c>
      <c r="C455" s="4">
        <v>45534</v>
      </c>
      <c r="D455" s="4">
        <v>28582</v>
      </c>
      <c r="E455" s="3">
        <v>48</v>
      </c>
      <c r="F455" s="3" t="s">
        <v>8</v>
      </c>
      <c r="G455" s="3" t="s">
        <v>61</v>
      </c>
      <c r="H455" s="3" t="s">
        <v>72</v>
      </c>
      <c r="I455" s="3" t="s">
        <v>22</v>
      </c>
      <c r="J455" s="3" t="s">
        <v>14</v>
      </c>
      <c r="K455" s="3" t="s">
        <v>15</v>
      </c>
      <c r="L455" s="6">
        <v>1605.51</v>
      </c>
      <c r="M455" s="6">
        <v>430.71</v>
      </c>
      <c r="N455" s="6">
        <v>1223.53</v>
      </c>
      <c r="O455" s="6">
        <v>10412.719999999999</v>
      </c>
      <c r="P455" s="3" t="s">
        <v>31</v>
      </c>
      <c r="Q455" s="3" t="s">
        <v>1076</v>
      </c>
      <c r="R455" s="3" t="s">
        <v>58</v>
      </c>
      <c r="S455" s="3" t="s">
        <v>968</v>
      </c>
      <c r="T455" s="3">
        <v>2</v>
      </c>
      <c r="U455" s="3">
        <f>CAPSTONE_PROJECT[[#This Row],[Discharge Date]]-CAPSTONE_PROJECT[[#This Row],[Admission Date]]</f>
        <v>15</v>
      </c>
      <c r="V455" s="6">
        <f>SUM(CAPSTONE_PROJECT[[#This Row],[Room Cost]:[Treatment Cost]])</f>
        <v>13672.47</v>
      </c>
      <c r="W455" s="6">
        <f t="shared" si="7"/>
        <v>911.49799999999993</v>
      </c>
      <c r="X455" s="3" t="str">
        <f>TEXT(CAPSTONE_PROJECT[[#This Row],[Admission Date]],"mmmm")</f>
        <v>August</v>
      </c>
      <c r="Y455" s="3" t="str">
        <f>TEXT(CAPSTONE_PROJECT[[#This Row],[Admission Date]],"yyyy")</f>
        <v>2024</v>
      </c>
      <c r="Z455" s="3" t="str">
        <f>TEXT(CAPSTONE_PROJECT[[#This Row],[Admission Date]],"mmm yyyy")</f>
        <v>Aug 2024</v>
      </c>
      <c r="AA455" s="3" t="str">
        <f>TEXT(CAPSTONE_PROJECT[[#This Row],[Admission Date]],"dddd")</f>
        <v>Thursday</v>
      </c>
      <c r="AB455" s="3" t="str">
        <f>IF(CAPSTONE_PROJECT[[#This Row],[Age]]&lt;=34,"Young Adults",IF(CAPSTONE_PROJECT[[#This Row],[Age]]&lt;=59,"Adults","Elders"))</f>
        <v>Adults</v>
      </c>
      <c r="AC455" s="3" t="str">
        <f>_xlfn.XLOOKUP(CAPSTONE_PROJECT[[#This Row],[Patient ID]],'Lookup table'!A:A,'Lookup table'!B:B,,0)</f>
        <v>Ella N Walker</v>
      </c>
      <c r="AD455" s="3" t="str">
        <f>_xlfn.XLOOKUP(CAPSTONE_PROJECT[[#This Row],[Patient ID]],'Lookup table'!A:A,'Lookup table'!C:C,,0)</f>
        <v>Female</v>
      </c>
      <c r="AE455" s="3" t="str">
        <f>IF(CAPSTONE_PROJECT[[#This Row],[Length of Stay]]&lt;=3,"Short Stay",IF(CAPSTONE_PROJECT[[#This Row],[Length of Stay]]&lt;=7,"Moderate Stay",IF(CAPSTONE_PROJECT[[#This Row],[Length of Stay]]&lt;=14,"Long Stay","Extended Stay")))</f>
        <v>Extended Stay</v>
      </c>
    </row>
    <row r="456" spans="1:31" x14ac:dyDescent="0.3">
      <c r="A456" s="3" t="s">
        <v>969</v>
      </c>
      <c r="B456" s="4">
        <v>45783</v>
      </c>
      <c r="C456" s="4">
        <v>45784</v>
      </c>
      <c r="D456" s="4">
        <v>24419</v>
      </c>
      <c r="E456" s="3">
        <v>59</v>
      </c>
      <c r="F456" s="3" t="s">
        <v>18</v>
      </c>
      <c r="G456" s="3" t="s">
        <v>34</v>
      </c>
      <c r="H456" s="3" t="s">
        <v>100</v>
      </c>
      <c r="I456" s="3" t="s">
        <v>37</v>
      </c>
      <c r="J456" s="3" t="s">
        <v>14</v>
      </c>
      <c r="K456" s="3" t="s">
        <v>65</v>
      </c>
      <c r="L456" s="6">
        <v>2068.6</v>
      </c>
      <c r="M456" s="6">
        <v>1636.72</v>
      </c>
      <c r="N456" s="6">
        <v>807.75</v>
      </c>
      <c r="O456" s="6">
        <v>15413.1</v>
      </c>
      <c r="P456" s="3" t="s">
        <v>25</v>
      </c>
      <c r="Q456" s="3" t="s">
        <v>1086</v>
      </c>
      <c r="R456" s="3" t="s">
        <v>19</v>
      </c>
      <c r="S456" s="3" t="s">
        <v>970</v>
      </c>
      <c r="T456" s="3">
        <v>5</v>
      </c>
      <c r="U456" s="3">
        <f>CAPSTONE_PROJECT[[#This Row],[Discharge Date]]-CAPSTONE_PROJECT[[#This Row],[Admission Date]]</f>
        <v>1</v>
      </c>
      <c r="V456" s="6">
        <f>SUM(CAPSTONE_PROJECT[[#This Row],[Room Cost]:[Treatment Cost]])</f>
        <v>19926.169999999998</v>
      </c>
      <c r="W456" s="6">
        <f t="shared" si="7"/>
        <v>19926.169999999998</v>
      </c>
      <c r="X456" s="3" t="str">
        <f>TEXT(CAPSTONE_PROJECT[[#This Row],[Admission Date]],"mmmm")</f>
        <v>May</v>
      </c>
      <c r="Y456" s="3" t="str">
        <f>TEXT(CAPSTONE_PROJECT[[#This Row],[Admission Date]],"yyyy")</f>
        <v>2025</v>
      </c>
      <c r="Z456" s="3" t="str">
        <f>TEXT(CAPSTONE_PROJECT[[#This Row],[Admission Date]],"mmm yyyy")</f>
        <v>May 2025</v>
      </c>
      <c r="AA456" s="3" t="str">
        <f>TEXT(CAPSTONE_PROJECT[[#This Row],[Admission Date]],"dddd")</f>
        <v>Tuesday</v>
      </c>
      <c r="AB456" s="3" t="str">
        <f>IF(CAPSTONE_PROJECT[[#This Row],[Age]]&lt;=34,"Young Adults",IF(CAPSTONE_PROJECT[[#This Row],[Age]]&lt;=59,"Adults","Elders"))</f>
        <v>Adults</v>
      </c>
      <c r="AC456" s="3" t="str">
        <f>_xlfn.XLOOKUP(CAPSTONE_PROJECT[[#This Row],[Patient ID]],'Lookup table'!A:A,'Lookup table'!B:B,,0)</f>
        <v>Leo P Clarke</v>
      </c>
      <c r="AD456" s="3" t="str">
        <f>_xlfn.XLOOKUP(CAPSTONE_PROJECT[[#This Row],[Patient ID]],'Lookup table'!A:A,'Lookup table'!C:C,,0)</f>
        <v>Male</v>
      </c>
      <c r="AE456" s="3" t="str">
        <f>IF(CAPSTONE_PROJECT[[#This Row],[Length of Stay]]&lt;=3,"Short Stay",IF(CAPSTONE_PROJECT[[#This Row],[Length of Stay]]&lt;=7,"Moderate Stay",IF(CAPSTONE_PROJECT[[#This Row],[Length of Stay]]&lt;=14,"Long Stay","Extended Stay")))</f>
        <v>Short Stay</v>
      </c>
    </row>
    <row r="457" spans="1:31" x14ac:dyDescent="0.3">
      <c r="A457" s="3" t="s">
        <v>971</v>
      </c>
      <c r="B457" s="4">
        <v>45416</v>
      </c>
      <c r="C457" s="4">
        <v>45433</v>
      </c>
      <c r="D457" s="4">
        <v>19217</v>
      </c>
      <c r="E457" s="3">
        <v>73</v>
      </c>
      <c r="F457" s="3" t="s">
        <v>8</v>
      </c>
      <c r="G457" s="3" t="s">
        <v>48</v>
      </c>
      <c r="H457" s="3" t="s">
        <v>104</v>
      </c>
      <c r="I457" s="3" t="s">
        <v>44</v>
      </c>
      <c r="J457" s="3" t="s">
        <v>64</v>
      </c>
      <c r="K457" s="3" t="s">
        <v>50</v>
      </c>
      <c r="L457" s="6">
        <v>2980.98</v>
      </c>
      <c r="M457" s="6">
        <v>1786.46</v>
      </c>
      <c r="N457" s="6">
        <v>426.63</v>
      </c>
      <c r="O457" s="6">
        <v>9333.11</v>
      </c>
      <c r="P457" s="3" t="s">
        <v>25</v>
      </c>
      <c r="Q457" s="3" t="s">
        <v>1086</v>
      </c>
      <c r="R457" s="3" t="s">
        <v>58</v>
      </c>
      <c r="S457" s="3" t="s">
        <v>972</v>
      </c>
      <c r="T457" s="3">
        <v>2</v>
      </c>
      <c r="U457" s="3">
        <f>CAPSTONE_PROJECT[[#This Row],[Discharge Date]]-CAPSTONE_PROJECT[[#This Row],[Admission Date]]</f>
        <v>17</v>
      </c>
      <c r="V457" s="6">
        <f>SUM(CAPSTONE_PROJECT[[#This Row],[Room Cost]:[Treatment Cost]])</f>
        <v>14527.18</v>
      </c>
      <c r="W457" s="6">
        <f t="shared" si="7"/>
        <v>854.54</v>
      </c>
      <c r="X457" s="3" t="str">
        <f>TEXT(CAPSTONE_PROJECT[[#This Row],[Admission Date]],"mmmm")</f>
        <v>May</v>
      </c>
      <c r="Y457" s="3" t="str">
        <f>TEXT(CAPSTONE_PROJECT[[#This Row],[Admission Date]],"yyyy")</f>
        <v>2024</v>
      </c>
      <c r="Z457" s="3" t="str">
        <f>TEXT(CAPSTONE_PROJECT[[#This Row],[Admission Date]],"mmm yyyy")</f>
        <v>May 2024</v>
      </c>
      <c r="AA457" s="3" t="str">
        <f>TEXT(CAPSTONE_PROJECT[[#This Row],[Admission Date]],"dddd")</f>
        <v>Saturday</v>
      </c>
      <c r="AB457" s="3" t="str">
        <f>IF(CAPSTONE_PROJECT[[#This Row],[Age]]&lt;=34,"Young Adults",IF(CAPSTONE_PROJECT[[#This Row],[Age]]&lt;=59,"Adults","Elders"))</f>
        <v>Elders</v>
      </c>
      <c r="AC457" s="3" t="str">
        <f>_xlfn.XLOOKUP(CAPSTONE_PROJECT[[#This Row],[Patient ID]],'Lookup table'!A:A,'Lookup table'!B:B,,0)</f>
        <v>Olivia R Wood</v>
      </c>
      <c r="AD457" s="3" t="str">
        <f>_xlfn.XLOOKUP(CAPSTONE_PROJECT[[#This Row],[Patient ID]],'Lookup table'!A:A,'Lookup table'!C:C,,0)</f>
        <v>Female</v>
      </c>
      <c r="AE457" s="3" t="str">
        <f>IF(CAPSTONE_PROJECT[[#This Row],[Length of Stay]]&lt;=3,"Short Stay",IF(CAPSTONE_PROJECT[[#This Row],[Length of Stay]]&lt;=7,"Moderate Stay",IF(CAPSTONE_PROJECT[[#This Row],[Length of Stay]]&lt;=14,"Long Stay","Extended Stay")))</f>
        <v>Extended Stay</v>
      </c>
    </row>
    <row r="458" spans="1:31" x14ac:dyDescent="0.3">
      <c r="A458" s="3" t="s">
        <v>973</v>
      </c>
      <c r="B458" s="4">
        <v>45704</v>
      </c>
      <c r="C458" s="4">
        <v>45711</v>
      </c>
      <c r="D458" s="4">
        <v>35333</v>
      </c>
      <c r="E458" s="3">
        <v>29</v>
      </c>
      <c r="F458" s="3" t="s">
        <v>8</v>
      </c>
      <c r="G458" s="3" t="s">
        <v>40</v>
      </c>
      <c r="H458" s="3" t="s">
        <v>114</v>
      </c>
      <c r="I458" s="3" t="s">
        <v>22</v>
      </c>
      <c r="J458" s="3" t="s">
        <v>73</v>
      </c>
      <c r="K458" s="3" t="s">
        <v>24</v>
      </c>
      <c r="L458" s="6">
        <v>256.95999999999998</v>
      </c>
      <c r="M458" s="6">
        <v>1808.17</v>
      </c>
      <c r="N458" s="6">
        <v>1061.45</v>
      </c>
      <c r="O458" s="6">
        <v>8057.73</v>
      </c>
      <c r="P458" s="3" t="s">
        <v>31</v>
      </c>
      <c r="Q458" s="3" t="s">
        <v>1081</v>
      </c>
      <c r="R458" s="3" t="s">
        <v>58</v>
      </c>
      <c r="S458" s="3" t="s">
        <v>974</v>
      </c>
      <c r="T458" s="3">
        <v>8</v>
      </c>
      <c r="U458" s="3">
        <f>CAPSTONE_PROJECT[[#This Row],[Discharge Date]]-CAPSTONE_PROJECT[[#This Row],[Admission Date]]</f>
        <v>7</v>
      </c>
      <c r="V458" s="6">
        <f>SUM(CAPSTONE_PROJECT[[#This Row],[Room Cost]:[Treatment Cost]])</f>
        <v>11184.31</v>
      </c>
      <c r="W458" s="6">
        <f t="shared" si="7"/>
        <v>1597.7585714285713</v>
      </c>
      <c r="X458" s="3" t="str">
        <f>TEXT(CAPSTONE_PROJECT[[#This Row],[Admission Date]],"mmmm")</f>
        <v>February</v>
      </c>
      <c r="Y458" s="3" t="str">
        <f>TEXT(CAPSTONE_PROJECT[[#This Row],[Admission Date]],"yyyy")</f>
        <v>2025</v>
      </c>
      <c r="Z458" s="3" t="str">
        <f>TEXT(CAPSTONE_PROJECT[[#This Row],[Admission Date]],"mmm yyyy")</f>
        <v>Feb 2025</v>
      </c>
      <c r="AA458" s="3" t="str">
        <f>TEXT(CAPSTONE_PROJECT[[#This Row],[Admission Date]],"dddd")</f>
        <v>Sunday</v>
      </c>
      <c r="AB458" s="3" t="str">
        <f>IF(CAPSTONE_PROJECT[[#This Row],[Age]]&lt;=34,"Young Adults",IF(CAPSTONE_PROJECT[[#This Row],[Age]]&lt;=59,"Adults","Elders"))</f>
        <v>Young Adults</v>
      </c>
      <c r="AC458" s="3" t="str">
        <f>_xlfn.XLOOKUP(CAPSTONE_PROJECT[[#This Row],[Patient ID]],'Lookup table'!A:A,'Lookup table'!B:B,,0)</f>
        <v>David G Green</v>
      </c>
      <c r="AD458" s="3" t="str">
        <f>_xlfn.XLOOKUP(CAPSTONE_PROJECT[[#This Row],[Patient ID]],'Lookup table'!A:A,'Lookup table'!C:C,,0)</f>
        <v>Male</v>
      </c>
      <c r="AE458" s="3" t="str">
        <f>IF(CAPSTONE_PROJECT[[#This Row],[Length of Stay]]&lt;=3,"Short Stay",IF(CAPSTONE_PROJECT[[#This Row],[Length of Stay]]&lt;=7,"Moderate Stay",IF(CAPSTONE_PROJECT[[#This Row],[Length of Stay]]&lt;=14,"Long Stay","Extended Stay")))</f>
        <v>Moderate Stay</v>
      </c>
    </row>
    <row r="459" spans="1:31" x14ac:dyDescent="0.3">
      <c r="A459" s="3" t="s">
        <v>975</v>
      </c>
      <c r="B459" s="4">
        <v>45411</v>
      </c>
      <c r="C459" s="4">
        <v>45430</v>
      </c>
      <c r="D459" s="4">
        <v>30577</v>
      </c>
      <c r="E459" s="3">
        <v>42</v>
      </c>
      <c r="F459" s="3" t="s">
        <v>33</v>
      </c>
      <c r="G459" s="3" t="s">
        <v>67</v>
      </c>
      <c r="H459" s="3" t="s">
        <v>114</v>
      </c>
      <c r="I459" s="3" t="s">
        <v>22</v>
      </c>
      <c r="J459" s="3" t="s">
        <v>15</v>
      </c>
      <c r="K459" s="3" t="s">
        <v>24</v>
      </c>
      <c r="L459" s="6">
        <v>806.51</v>
      </c>
      <c r="M459" s="6">
        <v>768.76</v>
      </c>
      <c r="N459" s="6">
        <v>602.49</v>
      </c>
      <c r="O459" s="6">
        <v>6918.74</v>
      </c>
      <c r="P459" s="3" t="s">
        <v>25</v>
      </c>
      <c r="Q459" s="3" t="s">
        <v>1086</v>
      </c>
      <c r="R459" s="3" t="s">
        <v>58</v>
      </c>
      <c r="S459" s="3" t="s">
        <v>976</v>
      </c>
      <c r="T459" s="3">
        <v>1</v>
      </c>
      <c r="U459" s="3">
        <f>CAPSTONE_PROJECT[[#This Row],[Discharge Date]]-CAPSTONE_PROJECT[[#This Row],[Admission Date]]</f>
        <v>19</v>
      </c>
      <c r="V459" s="6">
        <f>SUM(CAPSTONE_PROJECT[[#This Row],[Room Cost]:[Treatment Cost]])</f>
        <v>9096.5</v>
      </c>
      <c r="W459" s="6">
        <f t="shared" si="7"/>
        <v>478.76315789473682</v>
      </c>
      <c r="X459" s="3" t="str">
        <f>TEXT(CAPSTONE_PROJECT[[#This Row],[Admission Date]],"mmmm")</f>
        <v>April</v>
      </c>
      <c r="Y459" s="3" t="str">
        <f>TEXT(CAPSTONE_PROJECT[[#This Row],[Admission Date]],"yyyy")</f>
        <v>2024</v>
      </c>
      <c r="Z459" s="3" t="str">
        <f>TEXT(CAPSTONE_PROJECT[[#This Row],[Admission Date]],"mmm yyyy")</f>
        <v>Apr 2024</v>
      </c>
      <c r="AA459" s="3" t="str">
        <f>TEXT(CAPSTONE_PROJECT[[#This Row],[Admission Date]],"dddd")</f>
        <v>Monday</v>
      </c>
      <c r="AB459" s="3" t="str">
        <f>IF(CAPSTONE_PROJECT[[#This Row],[Age]]&lt;=34,"Young Adults",IF(CAPSTONE_PROJECT[[#This Row],[Age]]&lt;=59,"Adults","Elders"))</f>
        <v>Adults</v>
      </c>
      <c r="AC459" s="3" t="str">
        <f>_xlfn.XLOOKUP(CAPSTONE_PROJECT[[#This Row],[Patient ID]],'Lookup table'!A:A,'Lookup table'!B:B,,0)</f>
        <v>Freya C Thomas</v>
      </c>
      <c r="AD459" s="3" t="str">
        <f>_xlfn.XLOOKUP(CAPSTONE_PROJECT[[#This Row],[Patient ID]],'Lookup table'!A:A,'Lookup table'!C:C,,0)</f>
        <v>Female</v>
      </c>
      <c r="AE459" s="3" t="str">
        <f>IF(CAPSTONE_PROJECT[[#This Row],[Length of Stay]]&lt;=3,"Short Stay",IF(CAPSTONE_PROJECT[[#This Row],[Length of Stay]]&lt;=7,"Moderate Stay",IF(CAPSTONE_PROJECT[[#This Row],[Length of Stay]]&lt;=14,"Long Stay","Extended Stay")))</f>
        <v>Extended Stay</v>
      </c>
    </row>
    <row r="460" spans="1:31" x14ac:dyDescent="0.3">
      <c r="A460" s="3" t="s">
        <v>977</v>
      </c>
      <c r="B460" s="4">
        <v>45583</v>
      </c>
      <c r="C460" s="4">
        <v>45594</v>
      </c>
      <c r="D460" s="4">
        <v>25934</v>
      </c>
      <c r="E460" s="3">
        <v>55</v>
      </c>
      <c r="F460" s="3" t="s">
        <v>18</v>
      </c>
      <c r="G460" s="3" t="s">
        <v>61</v>
      </c>
      <c r="H460" s="3" t="s">
        <v>114</v>
      </c>
      <c r="I460" s="3" t="s">
        <v>37</v>
      </c>
      <c r="J460" s="3" t="s">
        <v>30</v>
      </c>
      <c r="K460" s="3" t="s">
        <v>24</v>
      </c>
      <c r="L460" s="6">
        <v>464.19</v>
      </c>
      <c r="M460" s="6">
        <v>1839.01</v>
      </c>
      <c r="N460" s="6">
        <v>1545.34</v>
      </c>
      <c r="O460" s="6">
        <v>3040.33</v>
      </c>
      <c r="P460" s="3" t="s">
        <v>31</v>
      </c>
      <c r="Q460" s="3" t="s">
        <v>1079</v>
      </c>
      <c r="R460" s="3" t="s">
        <v>19</v>
      </c>
      <c r="S460" s="3" t="s">
        <v>978</v>
      </c>
      <c r="T460" s="3">
        <v>5</v>
      </c>
      <c r="U460" s="3">
        <f>CAPSTONE_PROJECT[[#This Row],[Discharge Date]]-CAPSTONE_PROJECT[[#This Row],[Admission Date]]</f>
        <v>11</v>
      </c>
      <c r="V460" s="6">
        <f>SUM(CAPSTONE_PROJECT[[#This Row],[Room Cost]:[Treatment Cost]])</f>
        <v>6888.87</v>
      </c>
      <c r="W460" s="6">
        <f t="shared" si="7"/>
        <v>626.26090909090908</v>
      </c>
      <c r="X460" s="3" t="str">
        <f>TEXT(CAPSTONE_PROJECT[[#This Row],[Admission Date]],"mmmm")</f>
        <v>October</v>
      </c>
      <c r="Y460" s="3" t="str">
        <f>TEXT(CAPSTONE_PROJECT[[#This Row],[Admission Date]],"yyyy")</f>
        <v>2024</v>
      </c>
      <c r="Z460" s="3" t="str">
        <f>TEXT(CAPSTONE_PROJECT[[#This Row],[Admission Date]],"mmm yyyy")</f>
        <v>Oct 2024</v>
      </c>
      <c r="AA460" s="3" t="str">
        <f>TEXT(CAPSTONE_PROJECT[[#This Row],[Admission Date]],"dddd")</f>
        <v>Friday</v>
      </c>
      <c r="AB460" s="3" t="str">
        <f>IF(CAPSTONE_PROJECT[[#This Row],[Age]]&lt;=34,"Young Adults",IF(CAPSTONE_PROJECT[[#This Row],[Age]]&lt;=59,"Adults","Elders"))</f>
        <v>Adults</v>
      </c>
      <c r="AC460" s="3" t="str">
        <f>_xlfn.XLOOKUP(CAPSTONE_PROJECT[[#This Row],[Patient ID]],'Lookup table'!A:A,'Lookup table'!B:B,,0)</f>
        <v>Arthur Walker</v>
      </c>
      <c r="AD460" s="3" t="str">
        <f>_xlfn.XLOOKUP(CAPSTONE_PROJECT[[#This Row],[Patient ID]],'Lookup table'!A:A,'Lookup table'!C:C,,0)</f>
        <v>Male</v>
      </c>
      <c r="AE460" s="3" t="str">
        <f>IF(CAPSTONE_PROJECT[[#This Row],[Length of Stay]]&lt;=3,"Short Stay",IF(CAPSTONE_PROJECT[[#This Row],[Length of Stay]]&lt;=7,"Moderate Stay",IF(CAPSTONE_PROJECT[[#This Row],[Length of Stay]]&lt;=14,"Long Stay","Extended Stay")))</f>
        <v>Long Stay</v>
      </c>
    </row>
    <row r="461" spans="1:31" x14ac:dyDescent="0.3">
      <c r="A461" s="3" t="s">
        <v>979</v>
      </c>
      <c r="B461" s="4">
        <v>45362</v>
      </c>
      <c r="C461" s="4">
        <v>45366</v>
      </c>
      <c r="D461" s="4">
        <v>33608</v>
      </c>
      <c r="E461" s="3">
        <v>34</v>
      </c>
      <c r="F461" s="3" t="s">
        <v>18</v>
      </c>
      <c r="G461" s="3" t="s">
        <v>27</v>
      </c>
      <c r="H461" s="3" t="s">
        <v>21</v>
      </c>
      <c r="I461" s="3" t="s">
        <v>37</v>
      </c>
      <c r="J461" s="3" t="s">
        <v>38</v>
      </c>
      <c r="K461" s="3" t="s">
        <v>50</v>
      </c>
      <c r="L461" s="6">
        <v>4298.8599999999997</v>
      </c>
      <c r="M461" s="6">
        <v>855.26</v>
      </c>
      <c r="N461" s="6">
        <v>270.92</v>
      </c>
      <c r="O461" s="6">
        <v>4011.86</v>
      </c>
      <c r="P461" s="3" t="s">
        <v>16</v>
      </c>
      <c r="Q461" s="3" t="s">
        <v>1076</v>
      </c>
      <c r="R461" s="3" t="s">
        <v>75</v>
      </c>
      <c r="S461" s="3" t="s">
        <v>980</v>
      </c>
      <c r="T461" s="3">
        <v>6</v>
      </c>
      <c r="U461" s="3">
        <f>CAPSTONE_PROJECT[[#This Row],[Discharge Date]]-CAPSTONE_PROJECT[[#This Row],[Admission Date]]</f>
        <v>4</v>
      </c>
      <c r="V461" s="6">
        <f>SUM(CAPSTONE_PROJECT[[#This Row],[Room Cost]:[Treatment Cost]])</f>
        <v>9436.9</v>
      </c>
      <c r="W461" s="6">
        <f t="shared" si="7"/>
        <v>2359.2249999999999</v>
      </c>
      <c r="X461" s="3" t="str">
        <f>TEXT(CAPSTONE_PROJECT[[#This Row],[Admission Date]],"mmmm")</f>
        <v>March</v>
      </c>
      <c r="Y461" s="3" t="str">
        <f>TEXT(CAPSTONE_PROJECT[[#This Row],[Admission Date]],"yyyy")</f>
        <v>2024</v>
      </c>
      <c r="Z461" s="3" t="str">
        <f>TEXT(CAPSTONE_PROJECT[[#This Row],[Admission Date]],"mmm yyyy")</f>
        <v>Mar 2024</v>
      </c>
      <c r="AA461" s="3" t="str">
        <f>TEXT(CAPSTONE_PROJECT[[#This Row],[Admission Date]],"dddd")</f>
        <v>Monday</v>
      </c>
      <c r="AB461" s="3" t="str">
        <f>IF(CAPSTONE_PROJECT[[#This Row],[Age]]&lt;=34,"Young Adults",IF(CAPSTONE_PROJECT[[#This Row],[Age]]&lt;=59,"Adults","Elders"))</f>
        <v>Young Adults</v>
      </c>
      <c r="AC461" s="3" t="str">
        <f>_xlfn.XLOOKUP(CAPSTONE_PROJECT[[#This Row],[Patient ID]],'Lookup table'!A:A,'Lookup table'!B:B,,0)</f>
        <v>Chloe Brown</v>
      </c>
      <c r="AD461" s="3" t="str">
        <f>_xlfn.XLOOKUP(CAPSTONE_PROJECT[[#This Row],[Patient ID]],'Lookup table'!A:A,'Lookup table'!C:C,,0)</f>
        <v>Female</v>
      </c>
      <c r="AE461" s="3" t="str">
        <f>IF(CAPSTONE_PROJECT[[#This Row],[Length of Stay]]&lt;=3,"Short Stay",IF(CAPSTONE_PROJECT[[#This Row],[Length of Stay]]&lt;=7,"Moderate Stay",IF(CAPSTONE_PROJECT[[#This Row],[Length of Stay]]&lt;=14,"Long Stay","Extended Stay")))</f>
        <v>Moderate Stay</v>
      </c>
    </row>
    <row r="462" spans="1:31" x14ac:dyDescent="0.3">
      <c r="A462" s="3" t="s">
        <v>981</v>
      </c>
      <c r="B462" s="4">
        <v>45352</v>
      </c>
      <c r="C462" s="4">
        <v>45366</v>
      </c>
      <c r="D462" s="4">
        <v>28011</v>
      </c>
      <c r="E462" s="3">
        <v>49</v>
      </c>
      <c r="F462" s="3" t="s">
        <v>47</v>
      </c>
      <c r="G462" s="3" t="s">
        <v>48</v>
      </c>
      <c r="H462" s="3" t="s">
        <v>72</v>
      </c>
      <c r="I462" s="3" t="s">
        <v>13</v>
      </c>
      <c r="J462" s="3" t="s">
        <v>45</v>
      </c>
      <c r="K462" s="3" t="s">
        <v>50</v>
      </c>
      <c r="L462" s="6">
        <v>4865</v>
      </c>
      <c r="M462" s="6">
        <v>1406.44</v>
      </c>
      <c r="N462" s="6">
        <v>1473.62</v>
      </c>
      <c r="O462" s="6">
        <v>10131.36</v>
      </c>
      <c r="P462" s="3" t="s">
        <v>25</v>
      </c>
      <c r="Q462" s="3" t="s">
        <v>1085</v>
      </c>
      <c r="R462" s="3" t="s">
        <v>10</v>
      </c>
      <c r="S462" s="3" t="s">
        <v>982</v>
      </c>
      <c r="T462" s="3">
        <v>10</v>
      </c>
      <c r="U462" s="3">
        <f>CAPSTONE_PROJECT[[#This Row],[Discharge Date]]-CAPSTONE_PROJECT[[#This Row],[Admission Date]]</f>
        <v>14</v>
      </c>
      <c r="V462" s="6">
        <f>SUM(CAPSTONE_PROJECT[[#This Row],[Room Cost]:[Treatment Cost]])</f>
        <v>17876.420000000002</v>
      </c>
      <c r="W462" s="6">
        <f t="shared" si="7"/>
        <v>1276.8871428571431</v>
      </c>
      <c r="X462" s="3" t="str">
        <f>TEXT(CAPSTONE_PROJECT[[#This Row],[Admission Date]],"mmmm")</f>
        <v>March</v>
      </c>
      <c r="Y462" s="3" t="str">
        <f>TEXT(CAPSTONE_PROJECT[[#This Row],[Admission Date]],"yyyy")</f>
        <v>2024</v>
      </c>
      <c r="Z462" s="3" t="str">
        <f>TEXT(CAPSTONE_PROJECT[[#This Row],[Admission Date]],"mmm yyyy")</f>
        <v>Mar 2024</v>
      </c>
      <c r="AA462" s="3" t="str">
        <f>TEXT(CAPSTONE_PROJECT[[#This Row],[Admission Date]],"dddd")</f>
        <v>Friday</v>
      </c>
      <c r="AB462" s="3" t="str">
        <f>IF(CAPSTONE_PROJECT[[#This Row],[Age]]&lt;=34,"Young Adults",IF(CAPSTONE_PROJECT[[#This Row],[Age]]&lt;=59,"Adults","Elders"))</f>
        <v>Adults</v>
      </c>
      <c r="AC462" s="3" t="str">
        <f>_xlfn.XLOOKUP(CAPSTONE_PROJECT[[#This Row],[Patient ID]],'Lookup table'!A:A,'Lookup table'!B:B,,0)</f>
        <v>Daniel S Robinson</v>
      </c>
      <c r="AD462" s="3" t="str">
        <f>_xlfn.XLOOKUP(CAPSTONE_PROJECT[[#This Row],[Patient ID]],'Lookup table'!A:A,'Lookup table'!C:C,,0)</f>
        <v>Male</v>
      </c>
      <c r="AE462" s="3" t="str">
        <f>IF(CAPSTONE_PROJECT[[#This Row],[Length of Stay]]&lt;=3,"Short Stay",IF(CAPSTONE_PROJECT[[#This Row],[Length of Stay]]&lt;=7,"Moderate Stay",IF(CAPSTONE_PROJECT[[#This Row],[Length of Stay]]&lt;=14,"Long Stay","Extended Stay")))</f>
        <v>Long Stay</v>
      </c>
    </row>
    <row r="463" spans="1:31" x14ac:dyDescent="0.3">
      <c r="A463" s="3" t="s">
        <v>983</v>
      </c>
      <c r="B463" s="4">
        <v>45365</v>
      </c>
      <c r="C463" s="4">
        <v>45378</v>
      </c>
      <c r="D463" s="4">
        <v>22252</v>
      </c>
      <c r="E463" s="3">
        <v>65</v>
      </c>
      <c r="F463" s="3" t="s">
        <v>47</v>
      </c>
      <c r="G463" s="3" t="s">
        <v>34</v>
      </c>
      <c r="H463" s="3" t="s">
        <v>114</v>
      </c>
      <c r="I463" s="3" t="s">
        <v>37</v>
      </c>
      <c r="J463" s="3" t="s">
        <v>64</v>
      </c>
      <c r="K463" s="3" t="s">
        <v>15</v>
      </c>
      <c r="L463" s="6">
        <v>2397.34</v>
      </c>
      <c r="M463" s="6">
        <v>474.89</v>
      </c>
      <c r="N463" s="6">
        <v>0</v>
      </c>
      <c r="O463" s="6">
        <v>0</v>
      </c>
      <c r="P463" s="3" t="s">
        <v>31</v>
      </c>
      <c r="Q463" s="3" t="s">
        <v>1081</v>
      </c>
      <c r="R463" s="3" t="s">
        <v>102</v>
      </c>
      <c r="S463" s="3" t="s">
        <v>984</v>
      </c>
      <c r="T463" s="3">
        <v>4</v>
      </c>
      <c r="U463" s="3">
        <f>CAPSTONE_PROJECT[[#This Row],[Discharge Date]]-CAPSTONE_PROJECT[[#This Row],[Admission Date]]</f>
        <v>13</v>
      </c>
      <c r="V463" s="6">
        <f>SUM(CAPSTONE_PROJECT[[#This Row],[Room Cost]:[Treatment Cost]])</f>
        <v>2872.23</v>
      </c>
      <c r="W463" s="6">
        <f t="shared" si="7"/>
        <v>220.94076923076923</v>
      </c>
      <c r="X463" s="3" t="str">
        <f>TEXT(CAPSTONE_PROJECT[[#This Row],[Admission Date]],"mmmm")</f>
        <v>March</v>
      </c>
      <c r="Y463" s="3" t="str">
        <f>TEXT(CAPSTONE_PROJECT[[#This Row],[Admission Date]],"yyyy")</f>
        <v>2024</v>
      </c>
      <c r="Z463" s="3" t="str">
        <f>TEXT(CAPSTONE_PROJECT[[#This Row],[Admission Date]],"mmm yyyy")</f>
        <v>Mar 2024</v>
      </c>
      <c r="AA463" s="3" t="str">
        <f>TEXT(CAPSTONE_PROJECT[[#This Row],[Admission Date]],"dddd")</f>
        <v>Thursday</v>
      </c>
      <c r="AB463" s="3" t="str">
        <f>IF(CAPSTONE_PROJECT[[#This Row],[Age]]&lt;=34,"Young Adults",IF(CAPSTONE_PROJECT[[#This Row],[Age]]&lt;=59,"Adults","Elders"))</f>
        <v>Elders</v>
      </c>
      <c r="AC463" s="3" t="str">
        <f>_xlfn.XLOOKUP(CAPSTONE_PROJECT[[#This Row],[Patient ID]],'Lookup table'!A:A,'Lookup table'!B:B,,0)</f>
        <v>Charlotte Clarke</v>
      </c>
      <c r="AD463" s="3" t="str">
        <f>_xlfn.XLOOKUP(CAPSTONE_PROJECT[[#This Row],[Patient ID]],'Lookup table'!A:A,'Lookup table'!C:C,,0)</f>
        <v>Female</v>
      </c>
      <c r="AE463" s="3" t="str">
        <f>IF(CAPSTONE_PROJECT[[#This Row],[Length of Stay]]&lt;=3,"Short Stay",IF(CAPSTONE_PROJECT[[#This Row],[Length of Stay]]&lt;=7,"Moderate Stay",IF(CAPSTONE_PROJECT[[#This Row],[Length of Stay]]&lt;=14,"Long Stay","Extended Stay")))</f>
        <v>Long Stay</v>
      </c>
    </row>
    <row r="464" spans="1:31" x14ac:dyDescent="0.3">
      <c r="A464" s="3" t="s">
        <v>985</v>
      </c>
      <c r="B464" s="4">
        <v>45973</v>
      </c>
      <c r="C464" s="4">
        <v>45981</v>
      </c>
      <c r="D464" s="4">
        <v>25361</v>
      </c>
      <c r="E464" s="3">
        <v>57</v>
      </c>
      <c r="F464" s="3" t="s">
        <v>33</v>
      </c>
      <c r="G464" s="3" t="s">
        <v>57</v>
      </c>
      <c r="H464" s="3" t="s">
        <v>1080</v>
      </c>
      <c r="I464" s="3" t="s">
        <v>22</v>
      </c>
      <c r="J464" s="3" t="s">
        <v>30</v>
      </c>
      <c r="K464" s="3" t="s">
        <v>15</v>
      </c>
      <c r="L464" s="6">
        <v>4444.53</v>
      </c>
      <c r="M464" s="6">
        <v>967.39</v>
      </c>
      <c r="N464" s="6">
        <v>1082.31</v>
      </c>
      <c r="O464" s="6">
        <v>13113.77</v>
      </c>
      <c r="P464" s="3" t="s">
        <v>31</v>
      </c>
      <c r="Q464" s="3" t="s">
        <v>1086</v>
      </c>
      <c r="R464" s="3" t="s">
        <v>62</v>
      </c>
      <c r="S464" s="3" t="s">
        <v>986</v>
      </c>
      <c r="T464" s="3">
        <v>8</v>
      </c>
      <c r="U464" s="3">
        <f>CAPSTONE_PROJECT[[#This Row],[Discharge Date]]-CAPSTONE_PROJECT[[#This Row],[Admission Date]]</f>
        <v>8</v>
      </c>
      <c r="V464" s="6">
        <f>SUM(CAPSTONE_PROJECT[[#This Row],[Room Cost]:[Treatment Cost]])</f>
        <v>19608</v>
      </c>
      <c r="W464" s="6">
        <f t="shared" si="7"/>
        <v>2451</v>
      </c>
      <c r="X464" s="3" t="str">
        <f>TEXT(CAPSTONE_PROJECT[[#This Row],[Admission Date]],"mmmm")</f>
        <v>November</v>
      </c>
      <c r="Y464" s="3" t="str">
        <f>TEXT(CAPSTONE_PROJECT[[#This Row],[Admission Date]],"yyyy")</f>
        <v>2025</v>
      </c>
      <c r="Z464" s="3" t="str">
        <f>TEXT(CAPSTONE_PROJECT[[#This Row],[Admission Date]],"mmm yyyy")</f>
        <v>Nov 2025</v>
      </c>
      <c r="AA464" s="3" t="str">
        <f>TEXT(CAPSTONE_PROJECT[[#This Row],[Admission Date]],"dddd")</f>
        <v>Wednesday</v>
      </c>
      <c r="AB464" s="3" t="str">
        <f>IF(CAPSTONE_PROJECT[[#This Row],[Age]]&lt;=34,"Young Adults",IF(CAPSTONE_PROJECT[[#This Row],[Age]]&lt;=59,"Adults","Elders"))</f>
        <v>Adults</v>
      </c>
      <c r="AC464" s="3" t="str">
        <f>_xlfn.XLOOKUP(CAPSTONE_PROJECT[[#This Row],[Patient ID]],'Lookup table'!A:A,'Lookup table'!B:B,,0)</f>
        <v>Leo O Thomas</v>
      </c>
      <c r="AD464" s="3" t="str">
        <f>_xlfn.XLOOKUP(CAPSTONE_PROJECT[[#This Row],[Patient ID]],'Lookup table'!A:A,'Lookup table'!C:C,,0)</f>
        <v>Male</v>
      </c>
      <c r="AE464" s="3" t="str">
        <f>IF(CAPSTONE_PROJECT[[#This Row],[Length of Stay]]&lt;=3,"Short Stay",IF(CAPSTONE_PROJECT[[#This Row],[Length of Stay]]&lt;=7,"Moderate Stay",IF(CAPSTONE_PROJECT[[#This Row],[Length of Stay]]&lt;=14,"Long Stay","Extended Stay")))</f>
        <v>Long Stay</v>
      </c>
    </row>
    <row r="465" spans="1:31" x14ac:dyDescent="0.3">
      <c r="A465" s="3" t="s">
        <v>987</v>
      </c>
      <c r="B465" s="4">
        <v>45574</v>
      </c>
      <c r="C465" s="4">
        <v>45590</v>
      </c>
      <c r="D465" s="4">
        <v>21182</v>
      </c>
      <c r="E465" s="3">
        <v>68</v>
      </c>
      <c r="F465" s="3" t="s">
        <v>18</v>
      </c>
      <c r="G465" s="3" t="s">
        <v>27</v>
      </c>
      <c r="H465" s="3" t="s">
        <v>111</v>
      </c>
      <c r="I465" s="3" t="s">
        <v>22</v>
      </c>
      <c r="J465" s="3" t="s">
        <v>30</v>
      </c>
      <c r="K465" s="3" t="s">
        <v>65</v>
      </c>
      <c r="L465" s="6">
        <v>1001.12</v>
      </c>
      <c r="M465" s="6">
        <v>611.6</v>
      </c>
      <c r="N465" s="6">
        <v>597.71</v>
      </c>
      <c r="O465" s="6">
        <v>2098.16</v>
      </c>
      <c r="P465" s="3" t="s">
        <v>16</v>
      </c>
      <c r="Q465" s="3" t="s">
        <v>1087</v>
      </c>
      <c r="R465" s="3" t="s">
        <v>62</v>
      </c>
      <c r="S465" s="3" t="s">
        <v>988</v>
      </c>
      <c r="T465" s="3">
        <v>4</v>
      </c>
      <c r="U465" s="3">
        <f>CAPSTONE_PROJECT[[#This Row],[Discharge Date]]-CAPSTONE_PROJECT[[#This Row],[Admission Date]]</f>
        <v>16</v>
      </c>
      <c r="V465" s="6">
        <f>SUM(CAPSTONE_PROJECT[[#This Row],[Room Cost]:[Treatment Cost]])</f>
        <v>4308.59</v>
      </c>
      <c r="W465" s="6">
        <f t="shared" si="7"/>
        <v>269.28687500000001</v>
      </c>
      <c r="X465" s="3" t="str">
        <f>TEXT(CAPSTONE_PROJECT[[#This Row],[Admission Date]],"mmmm")</f>
        <v>October</v>
      </c>
      <c r="Y465" s="3" t="str">
        <f>TEXT(CAPSTONE_PROJECT[[#This Row],[Admission Date]],"yyyy")</f>
        <v>2024</v>
      </c>
      <c r="Z465" s="3" t="str">
        <f>TEXT(CAPSTONE_PROJECT[[#This Row],[Admission Date]],"mmm yyyy")</f>
        <v>Oct 2024</v>
      </c>
      <c r="AA465" s="3" t="str">
        <f>TEXT(CAPSTONE_PROJECT[[#This Row],[Admission Date]],"dddd")</f>
        <v>Wednesday</v>
      </c>
      <c r="AB465" s="3" t="str">
        <f>IF(CAPSTONE_PROJECT[[#This Row],[Age]]&lt;=34,"Young Adults",IF(CAPSTONE_PROJECT[[#This Row],[Age]]&lt;=59,"Adults","Elders"))</f>
        <v>Elders</v>
      </c>
      <c r="AC465" s="3" t="str">
        <f>_xlfn.XLOOKUP(CAPSTONE_PROJECT[[#This Row],[Patient ID]],'Lookup table'!A:A,'Lookup table'!B:B,,0)</f>
        <v>Emily L Clarke</v>
      </c>
      <c r="AD465" s="3" t="str">
        <f>_xlfn.XLOOKUP(CAPSTONE_PROJECT[[#This Row],[Patient ID]],'Lookup table'!A:A,'Lookup table'!C:C,,0)</f>
        <v>Female</v>
      </c>
      <c r="AE465" s="3" t="str">
        <f>IF(CAPSTONE_PROJECT[[#This Row],[Length of Stay]]&lt;=3,"Short Stay",IF(CAPSTONE_PROJECT[[#This Row],[Length of Stay]]&lt;=7,"Moderate Stay",IF(CAPSTONE_PROJECT[[#This Row],[Length of Stay]]&lt;=14,"Long Stay","Extended Stay")))</f>
        <v>Extended Stay</v>
      </c>
    </row>
    <row r="466" spans="1:31" x14ac:dyDescent="0.3">
      <c r="A466" s="3" t="s">
        <v>989</v>
      </c>
      <c r="B466" s="4">
        <v>45295</v>
      </c>
      <c r="C466" s="4">
        <v>45300</v>
      </c>
      <c r="D466" s="4">
        <v>31276</v>
      </c>
      <c r="E466" s="3">
        <v>40</v>
      </c>
      <c r="F466" s="3" t="s">
        <v>33</v>
      </c>
      <c r="G466" s="3" t="s">
        <v>67</v>
      </c>
      <c r="H466" s="3" t="s">
        <v>43</v>
      </c>
      <c r="I466" s="3" t="s">
        <v>22</v>
      </c>
      <c r="J466" s="3" t="s">
        <v>14</v>
      </c>
      <c r="K466" s="3" t="s">
        <v>15</v>
      </c>
      <c r="L466" s="6">
        <v>2138.4699999999998</v>
      </c>
      <c r="M466" s="6">
        <v>1792.81</v>
      </c>
      <c r="N466" s="6">
        <v>2410.13</v>
      </c>
      <c r="O466" s="6">
        <v>10929.27</v>
      </c>
      <c r="P466" s="3" t="s">
        <v>16</v>
      </c>
      <c r="Q466" s="3" t="s">
        <v>1087</v>
      </c>
      <c r="R466" s="3" t="s">
        <v>62</v>
      </c>
      <c r="S466" s="3" t="s">
        <v>990</v>
      </c>
      <c r="T466" s="3">
        <v>8</v>
      </c>
      <c r="U466" s="3">
        <f>CAPSTONE_PROJECT[[#This Row],[Discharge Date]]-CAPSTONE_PROJECT[[#This Row],[Admission Date]]</f>
        <v>5</v>
      </c>
      <c r="V466" s="6">
        <f>SUM(CAPSTONE_PROJECT[[#This Row],[Room Cost]:[Treatment Cost]])</f>
        <v>17270.68</v>
      </c>
      <c r="W466" s="6">
        <f t="shared" si="7"/>
        <v>3454.136</v>
      </c>
      <c r="X466" s="3" t="str">
        <f>TEXT(CAPSTONE_PROJECT[[#This Row],[Admission Date]],"mmmm")</f>
        <v>January</v>
      </c>
      <c r="Y466" s="3" t="str">
        <f>TEXT(CAPSTONE_PROJECT[[#This Row],[Admission Date]],"yyyy")</f>
        <v>2024</v>
      </c>
      <c r="Z466" s="3" t="str">
        <f>TEXT(CAPSTONE_PROJECT[[#This Row],[Admission Date]],"mmm yyyy")</f>
        <v>Jan 2024</v>
      </c>
      <c r="AA466" s="3" t="str">
        <f>TEXT(CAPSTONE_PROJECT[[#This Row],[Admission Date]],"dddd")</f>
        <v>Thursday</v>
      </c>
      <c r="AB466" s="3" t="str">
        <f>IF(CAPSTONE_PROJECT[[#This Row],[Age]]&lt;=34,"Young Adults",IF(CAPSTONE_PROJECT[[#This Row],[Age]]&lt;=59,"Adults","Elders"))</f>
        <v>Adults</v>
      </c>
      <c r="AC466" s="3" t="str">
        <f>_xlfn.XLOOKUP(CAPSTONE_PROJECT[[#This Row],[Patient ID]],'Lookup table'!A:A,'Lookup table'!B:B,,0)</f>
        <v>Noah O Green</v>
      </c>
      <c r="AD466" s="3" t="str">
        <f>_xlfn.XLOOKUP(CAPSTONE_PROJECT[[#This Row],[Patient ID]],'Lookup table'!A:A,'Lookup table'!C:C,,0)</f>
        <v>Male</v>
      </c>
      <c r="AE466" s="3" t="str">
        <f>IF(CAPSTONE_PROJECT[[#This Row],[Length of Stay]]&lt;=3,"Short Stay",IF(CAPSTONE_PROJECT[[#This Row],[Length of Stay]]&lt;=7,"Moderate Stay",IF(CAPSTONE_PROJECT[[#This Row],[Length of Stay]]&lt;=14,"Long Stay","Extended Stay")))</f>
        <v>Moderate Stay</v>
      </c>
    </row>
    <row r="467" spans="1:31" x14ac:dyDescent="0.3">
      <c r="A467" s="3" t="s">
        <v>991</v>
      </c>
      <c r="B467" s="4">
        <v>45525</v>
      </c>
      <c r="C467" s="4">
        <v>45539</v>
      </c>
      <c r="D467" s="4">
        <v>29022</v>
      </c>
      <c r="E467" s="3">
        <v>46</v>
      </c>
      <c r="F467" s="3" t="s">
        <v>33</v>
      </c>
      <c r="G467" s="3" t="s">
        <v>57</v>
      </c>
      <c r="H467" s="3" t="s">
        <v>104</v>
      </c>
      <c r="I467" s="3" t="s">
        <v>44</v>
      </c>
      <c r="J467" s="3" t="s">
        <v>45</v>
      </c>
      <c r="K467" s="3" t="s">
        <v>50</v>
      </c>
      <c r="L467" s="6">
        <v>2201.17</v>
      </c>
      <c r="M467" s="6">
        <v>1243.46</v>
      </c>
      <c r="N467" s="6">
        <v>528.52</v>
      </c>
      <c r="O467" s="6">
        <v>6672.86</v>
      </c>
      <c r="P467" s="3" t="s">
        <v>31</v>
      </c>
      <c r="Q467" s="3" t="s">
        <v>1076</v>
      </c>
      <c r="R467" s="3" t="s">
        <v>19</v>
      </c>
      <c r="S467" s="3" t="s">
        <v>992</v>
      </c>
      <c r="T467" s="3">
        <v>3</v>
      </c>
      <c r="U467" s="3">
        <f>CAPSTONE_PROJECT[[#This Row],[Discharge Date]]-CAPSTONE_PROJECT[[#This Row],[Admission Date]]</f>
        <v>14</v>
      </c>
      <c r="V467" s="6">
        <f>SUM(CAPSTONE_PROJECT[[#This Row],[Room Cost]:[Treatment Cost]])</f>
        <v>10646.01</v>
      </c>
      <c r="W467" s="6">
        <f t="shared" si="7"/>
        <v>760.4292857142857</v>
      </c>
      <c r="X467" s="3" t="str">
        <f>TEXT(CAPSTONE_PROJECT[[#This Row],[Admission Date]],"mmmm")</f>
        <v>August</v>
      </c>
      <c r="Y467" s="3" t="str">
        <f>TEXT(CAPSTONE_PROJECT[[#This Row],[Admission Date]],"yyyy")</f>
        <v>2024</v>
      </c>
      <c r="Z467" s="3" t="str">
        <f>TEXT(CAPSTONE_PROJECT[[#This Row],[Admission Date]],"mmm yyyy")</f>
        <v>Aug 2024</v>
      </c>
      <c r="AA467" s="3" t="str">
        <f>TEXT(CAPSTONE_PROJECT[[#This Row],[Admission Date]],"dddd")</f>
        <v>Wednesday</v>
      </c>
      <c r="AB467" s="3" t="str">
        <f>IF(CAPSTONE_PROJECT[[#This Row],[Age]]&lt;=34,"Young Adults",IF(CAPSTONE_PROJECT[[#This Row],[Age]]&lt;=59,"Adults","Elders"))</f>
        <v>Adults</v>
      </c>
      <c r="AC467" s="3" t="str">
        <f>_xlfn.XLOOKUP(CAPSTONE_PROJECT[[#This Row],[Patient ID]],'Lookup table'!A:A,'Lookup table'!B:B,,0)</f>
        <v>Freya Thompson</v>
      </c>
      <c r="AD467" s="3" t="str">
        <f>_xlfn.XLOOKUP(CAPSTONE_PROJECT[[#This Row],[Patient ID]],'Lookup table'!A:A,'Lookup table'!C:C,,0)</f>
        <v>Female</v>
      </c>
      <c r="AE467" s="3" t="str">
        <f>IF(CAPSTONE_PROJECT[[#This Row],[Length of Stay]]&lt;=3,"Short Stay",IF(CAPSTONE_PROJECT[[#This Row],[Length of Stay]]&lt;=7,"Moderate Stay",IF(CAPSTONE_PROJECT[[#This Row],[Length of Stay]]&lt;=14,"Long Stay","Extended Stay")))</f>
        <v>Long Stay</v>
      </c>
    </row>
    <row r="468" spans="1:31" x14ac:dyDescent="0.3">
      <c r="A468" s="3" t="s">
        <v>993</v>
      </c>
      <c r="B468" s="4">
        <v>45640</v>
      </c>
      <c r="C468" s="4">
        <v>45648</v>
      </c>
      <c r="D468" s="4">
        <v>37349</v>
      </c>
      <c r="E468" s="3">
        <v>24</v>
      </c>
      <c r="F468" s="3" t="s">
        <v>47</v>
      </c>
      <c r="G468" s="3" t="s">
        <v>139</v>
      </c>
      <c r="H468" s="3" t="s">
        <v>21</v>
      </c>
      <c r="I468" s="3" t="s">
        <v>44</v>
      </c>
      <c r="J468" s="3" t="s">
        <v>30</v>
      </c>
      <c r="K468" s="3" t="s">
        <v>15</v>
      </c>
      <c r="L468" s="6">
        <v>3098.33</v>
      </c>
      <c r="M468" s="6">
        <v>1193.8</v>
      </c>
      <c r="N468" s="6">
        <v>277.60000000000002</v>
      </c>
      <c r="O468" s="6">
        <v>12257.96</v>
      </c>
      <c r="P468" s="3" t="s">
        <v>51</v>
      </c>
      <c r="Q468" s="3" t="s">
        <v>1084</v>
      </c>
      <c r="R468" s="3" t="s">
        <v>102</v>
      </c>
      <c r="S468" s="3" t="s">
        <v>994</v>
      </c>
      <c r="T468" s="3">
        <v>5</v>
      </c>
      <c r="U468" s="3">
        <f>CAPSTONE_PROJECT[[#This Row],[Discharge Date]]-CAPSTONE_PROJECT[[#This Row],[Admission Date]]</f>
        <v>8</v>
      </c>
      <c r="V468" s="6">
        <f>SUM(CAPSTONE_PROJECT[[#This Row],[Room Cost]:[Treatment Cost]])</f>
        <v>16827.689999999999</v>
      </c>
      <c r="W468" s="6">
        <f t="shared" si="7"/>
        <v>2103.4612499999998</v>
      </c>
      <c r="X468" s="3" t="str">
        <f>TEXT(CAPSTONE_PROJECT[[#This Row],[Admission Date]],"mmmm")</f>
        <v>December</v>
      </c>
      <c r="Y468" s="3" t="str">
        <f>TEXT(CAPSTONE_PROJECT[[#This Row],[Admission Date]],"yyyy")</f>
        <v>2024</v>
      </c>
      <c r="Z468" s="3" t="str">
        <f>TEXT(CAPSTONE_PROJECT[[#This Row],[Admission Date]],"mmm yyyy")</f>
        <v>Dec 2024</v>
      </c>
      <c r="AA468" s="3" t="str">
        <f>TEXT(CAPSTONE_PROJECT[[#This Row],[Admission Date]],"dddd")</f>
        <v>Saturday</v>
      </c>
      <c r="AB468" s="3" t="str">
        <f>IF(CAPSTONE_PROJECT[[#This Row],[Age]]&lt;=34,"Young Adults",IF(CAPSTONE_PROJECT[[#This Row],[Age]]&lt;=59,"Adults","Elders"))</f>
        <v>Young Adults</v>
      </c>
      <c r="AC468" s="3" t="str">
        <f>_xlfn.XLOOKUP(CAPSTONE_PROJECT[[#This Row],[Patient ID]],'Lookup table'!A:A,'Lookup table'!B:B,,0)</f>
        <v>Leo Martin</v>
      </c>
      <c r="AD468" s="3" t="str">
        <f>_xlfn.XLOOKUP(CAPSTONE_PROJECT[[#This Row],[Patient ID]],'Lookup table'!A:A,'Lookup table'!C:C,,0)</f>
        <v>Male</v>
      </c>
      <c r="AE468" s="3" t="str">
        <f>IF(CAPSTONE_PROJECT[[#This Row],[Length of Stay]]&lt;=3,"Short Stay",IF(CAPSTONE_PROJECT[[#This Row],[Length of Stay]]&lt;=7,"Moderate Stay",IF(CAPSTONE_PROJECT[[#This Row],[Length of Stay]]&lt;=14,"Long Stay","Extended Stay")))</f>
        <v>Long Stay</v>
      </c>
    </row>
    <row r="469" spans="1:31" x14ac:dyDescent="0.3">
      <c r="A469" s="3" t="s">
        <v>995</v>
      </c>
      <c r="B469" s="4">
        <v>45975</v>
      </c>
      <c r="C469" s="4">
        <v>45984</v>
      </c>
      <c r="D469" s="4">
        <v>31321</v>
      </c>
      <c r="E469" s="3">
        <v>40</v>
      </c>
      <c r="F469" s="3" t="s">
        <v>33</v>
      </c>
      <c r="G469" s="3" t="s">
        <v>40</v>
      </c>
      <c r="H469" s="3" t="s">
        <v>72</v>
      </c>
      <c r="I469" s="3" t="s">
        <v>44</v>
      </c>
      <c r="J469" s="3" t="s">
        <v>64</v>
      </c>
      <c r="K469" s="3" t="s">
        <v>15</v>
      </c>
      <c r="L469" s="6">
        <v>1450.37</v>
      </c>
      <c r="M469" s="6">
        <v>43.57</v>
      </c>
      <c r="N469" s="6">
        <v>803.59</v>
      </c>
      <c r="O469" s="6">
        <v>3708.92</v>
      </c>
      <c r="P469" s="3" t="s">
        <v>31</v>
      </c>
      <c r="Q469" s="3" t="s">
        <v>1085</v>
      </c>
      <c r="R469" s="3" t="s">
        <v>54</v>
      </c>
      <c r="S469" s="3" t="s">
        <v>996</v>
      </c>
      <c r="T469" s="3">
        <v>4</v>
      </c>
      <c r="U469" s="3">
        <f>CAPSTONE_PROJECT[[#This Row],[Discharge Date]]-CAPSTONE_PROJECT[[#This Row],[Admission Date]]</f>
        <v>9</v>
      </c>
      <c r="V469" s="6">
        <f>SUM(CAPSTONE_PROJECT[[#This Row],[Room Cost]:[Treatment Cost]])</f>
        <v>6006.45</v>
      </c>
      <c r="W469" s="6">
        <f t="shared" si="7"/>
        <v>667.38333333333333</v>
      </c>
      <c r="X469" s="3" t="str">
        <f>TEXT(CAPSTONE_PROJECT[[#This Row],[Admission Date]],"mmmm")</f>
        <v>November</v>
      </c>
      <c r="Y469" s="3" t="str">
        <f>TEXT(CAPSTONE_PROJECT[[#This Row],[Admission Date]],"yyyy")</f>
        <v>2025</v>
      </c>
      <c r="Z469" s="3" t="str">
        <f>TEXT(CAPSTONE_PROJECT[[#This Row],[Admission Date]],"mmm yyyy")</f>
        <v>Nov 2025</v>
      </c>
      <c r="AA469" s="3" t="str">
        <f>TEXT(CAPSTONE_PROJECT[[#This Row],[Admission Date]],"dddd")</f>
        <v>Friday</v>
      </c>
      <c r="AB469" s="3" t="str">
        <f>IF(CAPSTONE_PROJECT[[#This Row],[Age]]&lt;=34,"Young Adults",IF(CAPSTONE_PROJECT[[#This Row],[Age]]&lt;=59,"Adults","Elders"))</f>
        <v>Adults</v>
      </c>
      <c r="AC469" s="3" t="str">
        <f>_xlfn.XLOOKUP(CAPSTONE_PROJECT[[#This Row],[Patient ID]],'Lookup table'!A:A,'Lookup table'!B:B,,0)</f>
        <v>Ella Jones</v>
      </c>
      <c r="AD469" s="3" t="str">
        <f>_xlfn.XLOOKUP(CAPSTONE_PROJECT[[#This Row],[Patient ID]],'Lookup table'!A:A,'Lookup table'!C:C,,0)</f>
        <v>Female</v>
      </c>
      <c r="AE469" s="3" t="str">
        <f>IF(CAPSTONE_PROJECT[[#This Row],[Length of Stay]]&lt;=3,"Short Stay",IF(CAPSTONE_PROJECT[[#This Row],[Length of Stay]]&lt;=7,"Moderate Stay",IF(CAPSTONE_PROJECT[[#This Row],[Length of Stay]]&lt;=14,"Long Stay","Extended Stay")))</f>
        <v>Long Stay</v>
      </c>
    </row>
    <row r="470" spans="1:31" x14ac:dyDescent="0.3">
      <c r="A470" s="3" t="s">
        <v>997</v>
      </c>
      <c r="B470" s="4">
        <v>45378</v>
      </c>
      <c r="C470" s="4">
        <v>45384</v>
      </c>
      <c r="D470" s="4">
        <v>32328</v>
      </c>
      <c r="E470" s="3">
        <v>37</v>
      </c>
      <c r="F470" s="3" t="s">
        <v>8</v>
      </c>
      <c r="G470" s="3" t="s">
        <v>139</v>
      </c>
      <c r="H470" s="3" t="s">
        <v>72</v>
      </c>
      <c r="I470" s="3" t="s">
        <v>44</v>
      </c>
      <c r="J470" s="3" t="s">
        <v>38</v>
      </c>
      <c r="K470" s="3" t="s">
        <v>24</v>
      </c>
      <c r="L470" s="6">
        <v>283.63</v>
      </c>
      <c r="M470" s="6">
        <v>643.78</v>
      </c>
      <c r="N470" s="6">
        <v>537.46</v>
      </c>
      <c r="O470" s="6">
        <v>5369.28</v>
      </c>
      <c r="P470" s="3" t="s">
        <v>16</v>
      </c>
      <c r="Q470" s="3" t="s">
        <v>1085</v>
      </c>
      <c r="R470" s="3" t="s">
        <v>41</v>
      </c>
      <c r="S470" s="3" t="s">
        <v>998</v>
      </c>
      <c r="T470" s="3">
        <v>3</v>
      </c>
      <c r="U470" s="3">
        <f>CAPSTONE_PROJECT[[#This Row],[Discharge Date]]-CAPSTONE_PROJECT[[#This Row],[Admission Date]]</f>
        <v>6</v>
      </c>
      <c r="V470" s="6">
        <f>SUM(CAPSTONE_PROJECT[[#This Row],[Room Cost]:[Treatment Cost]])</f>
        <v>6834.15</v>
      </c>
      <c r="W470" s="6">
        <f t="shared" si="7"/>
        <v>1139.0249999999999</v>
      </c>
      <c r="X470" s="3" t="str">
        <f>TEXT(CAPSTONE_PROJECT[[#This Row],[Admission Date]],"mmmm")</f>
        <v>March</v>
      </c>
      <c r="Y470" s="3" t="str">
        <f>TEXT(CAPSTONE_PROJECT[[#This Row],[Admission Date]],"yyyy")</f>
        <v>2024</v>
      </c>
      <c r="Z470" s="3" t="str">
        <f>TEXT(CAPSTONE_PROJECT[[#This Row],[Admission Date]],"mmm yyyy")</f>
        <v>Mar 2024</v>
      </c>
      <c r="AA470" s="3" t="str">
        <f>TEXT(CAPSTONE_PROJECT[[#This Row],[Admission Date]],"dddd")</f>
        <v>Wednesday</v>
      </c>
      <c r="AB470" s="3" t="str">
        <f>IF(CAPSTONE_PROJECT[[#This Row],[Age]]&lt;=34,"Young Adults",IF(CAPSTONE_PROJECT[[#This Row],[Age]]&lt;=59,"Adults","Elders"))</f>
        <v>Adults</v>
      </c>
      <c r="AC470" s="3" t="str">
        <f>_xlfn.XLOOKUP(CAPSTONE_PROJECT[[#This Row],[Patient ID]],'Lookup table'!A:A,'Lookup table'!B:B,,0)</f>
        <v>Benjamin H Green</v>
      </c>
      <c r="AD470" s="3" t="str">
        <f>_xlfn.XLOOKUP(CAPSTONE_PROJECT[[#This Row],[Patient ID]],'Lookup table'!A:A,'Lookup table'!C:C,,0)</f>
        <v>Male</v>
      </c>
      <c r="AE470" s="3" t="str">
        <f>IF(CAPSTONE_PROJECT[[#This Row],[Length of Stay]]&lt;=3,"Short Stay",IF(CAPSTONE_PROJECT[[#This Row],[Length of Stay]]&lt;=7,"Moderate Stay",IF(CAPSTONE_PROJECT[[#This Row],[Length of Stay]]&lt;=14,"Long Stay","Extended Stay")))</f>
        <v>Moderate Stay</v>
      </c>
    </row>
    <row r="471" spans="1:31" x14ac:dyDescent="0.3">
      <c r="A471" s="3" t="s">
        <v>999</v>
      </c>
      <c r="B471" s="4">
        <v>46003</v>
      </c>
      <c r="C471" s="4">
        <v>46008</v>
      </c>
      <c r="D471" s="4">
        <v>36803</v>
      </c>
      <c r="E471" s="3">
        <v>25</v>
      </c>
      <c r="F471" s="3" t="s">
        <v>18</v>
      </c>
      <c r="G471" s="3" t="s">
        <v>57</v>
      </c>
      <c r="H471" s="3" t="s">
        <v>43</v>
      </c>
      <c r="I471" s="3" t="s">
        <v>37</v>
      </c>
      <c r="J471" s="3" t="s">
        <v>45</v>
      </c>
      <c r="K471" s="3" t="s">
        <v>65</v>
      </c>
      <c r="L471" s="6">
        <v>891.97</v>
      </c>
      <c r="M471" s="6">
        <v>727.45</v>
      </c>
      <c r="N471" s="6">
        <v>2391.9299999999998</v>
      </c>
      <c r="O471" s="6">
        <v>6581.08</v>
      </c>
      <c r="P471" s="3" t="s">
        <v>31</v>
      </c>
      <c r="Q471" s="3" t="s">
        <v>1079</v>
      </c>
      <c r="R471" s="3" t="s">
        <v>102</v>
      </c>
      <c r="S471" s="3" t="s">
        <v>1000</v>
      </c>
      <c r="T471" s="3">
        <v>10</v>
      </c>
      <c r="U471" s="3">
        <f>CAPSTONE_PROJECT[[#This Row],[Discharge Date]]-CAPSTONE_PROJECT[[#This Row],[Admission Date]]</f>
        <v>5</v>
      </c>
      <c r="V471" s="6">
        <f>SUM(CAPSTONE_PROJECT[[#This Row],[Room Cost]:[Treatment Cost]])</f>
        <v>10592.43</v>
      </c>
      <c r="W471" s="6">
        <f t="shared" si="7"/>
        <v>2118.4859999999999</v>
      </c>
      <c r="X471" s="3" t="str">
        <f>TEXT(CAPSTONE_PROJECT[[#This Row],[Admission Date]],"mmmm")</f>
        <v>December</v>
      </c>
      <c r="Y471" s="3" t="str">
        <f>TEXT(CAPSTONE_PROJECT[[#This Row],[Admission Date]],"yyyy")</f>
        <v>2025</v>
      </c>
      <c r="Z471" s="3" t="str">
        <f>TEXT(CAPSTONE_PROJECT[[#This Row],[Admission Date]],"mmm yyyy")</f>
        <v>Dec 2025</v>
      </c>
      <c r="AA471" s="3" t="str">
        <f>TEXT(CAPSTONE_PROJECT[[#This Row],[Admission Date]],"dddd")</f>
        <v>Friday</v>
      </c>
      <c r="AB471" s="3" t="str">
        <f>IF(CAPSTONE_PROJECT[[#This Row],[Age]]&lt;=34,"Young Adults",IF(CAPSTONE_PROJECT[[#This Row],[Age]]&lt;=59,"Adults","Elders"))</f>
        <v>Young Adults</v>
      </c>
      <c r="AC471" s="3" t="str">
        <f>_xlfn.XLOOKUP(CAPSTONE_PROJECT[[#This Row],[Patient ID]],'Lookup table'!A:A,'Lookup table'!B:B,,0)</f>
        <v>Chloe B Hall</v>
      </c>
      <c r="AD471" s="3" t="str">
        <f>_xlfn.XLOOKUP(CAPSTONE_PROJECT[[#This Row],[Patient ID]],'Lookup table'!A:A,'Lookup table'!C:C,,0)</f>
        <v>Female</v>
      </c>
      <c r="AE471" s="3" t="str">
        <f>IF(CAPSTONE_PROJECT[[#This Row],[Length of Stay]]&lt;=3,"Short Stay",IF(CAPSTONE_PROJECT[[#This Row],[Length of Stay]]&lt;=7,"Moderate Stay",IF(CAPSTONE_PROJECT[[#This Row],[Length of Stay]]&lt;=14,"Long Stay","Extended Stay")))</f>
        <v>Moderate Stay</v>
      </c>
    </row>
    <row r="472" spans="1:31" x14ac:dyDescent="0.3">
      <c r="A472" s="3" t="s">
        <v>1001</v>
      </c>
      <c r="B472" s="4">
        <v>45502</v>
      </c>
      <c r="C472" s="4">
        <v>45507</v>
      </c>
      <c r="D472" s="4">
        <v>26539</v>
      </c>
      <c r="E472" s="3">
        <v>53</v>
      </c>
      <c r="F472" s="3" t="s">
        <v>8</v>
      </c>
      <c r="G472" s="3" t="s">
        <v>139</v>
      </c>
      <c r="H472" s="3" t="s">
        <v>72</v>
      </c>
      <c r="I472" s="3" t="s">
        <v>37</v>
      </c>
      <c r="J472" s="3" t="s">
        <v>73</v>
      </c>
      <c r="K472" s="3" t="s">
        <v>65</v>
      </c>
      <c r="L472" s="6">
        <v>4907.1099999999997</v>
      </c>
      <c r="M472" s="6">
        <v>1437.52</v>
      </c>
      <c r="N472" s="6">
        <v>2653.23</v>
      </c>
      <c r="O472" s="6">
        <v>2192.5</v>
      </c>
      <c r="P472" s="3" t="s">
        <v>51</v>
      </c>
      <c r="Q472" s="3" t="s">
        <v>1084</v>
      </c>
      <c r="R472" s="3" t="s">
        <v>41</v>
      </c>
      <c r="S472" s="3" t="s">
        <v>1002</v>
      </c>
      <c r="T472" s="3">
        <v>7</v>
      </c>
      <c r="U472" s="3">
        <f>CAPSTONE_PROJECT[[#This Row],[Discharge Date]]-CAPSTONE_PROJECT[[#This Row],[Admission Date]]</f>
        <v>5</v>
      </c>
      <c r="V472" s="6">
        <f>SUM(CAPSTONE_PROJECT[[#This Row],[Room Cost]:[Treatment Cost]])</f>
        <v>11190.359999999999</v>
      </c>
      <c r="W472" s="6">
        <f t="shared" si="7"/>
        <v>2238.0719999999997</v>
      </c>
      <c r="X472" s="3" t="str">
        <f>TEXT(CAPSTONE_PROJECT[[#This Row],[Admission Date]],"mmmm")</f>
        <v>July</v>
      </c>
      <c r="Y472" s="3" t="str">
        <f>TEXT(CAPSTONE_PROJECT[[#This Row],[Admission Date]],"yyyy")</f>
        <v>2024</v>
      </c>
      <c r="Z472" s="3" t="str">
        <f>TEXT(CAPSTONE_PROJECT[[#This Row],[Admission Date]],"mmm yyyy")</f>
        <v>Jul 2024</v>
      </c>
      <c r="AA472" s="3" t="str">
        <f>TEXT(CAPSTONE_PROJECT[[#This Row],[Admission Date]],"dddd")</f>
        <v>Monday</v>
      </c>
      <c r="AB472" s="3" t="str">
        <f>IF(CAPSTONE_PROJECT[[#This Row],[Age]]&lt;=34,"Young Adults",IF(CAPSTONE_PROJECT[[#This Row],[Age]]&lt;=59,"Adults","Elders"))</f>
        <v>Adults</v>
      </c>
      <c r="AC472" s="3" t="str">
        <f>_xlfn.XLOOKUP(CAPSTONE_PROJECT[[#This Row],[Patient ID]],'Lookup table'!A:A,'Lookup table'!B:B,,0)</f>
        <v>Noah Clarke</v>
      </c>
      <c r="AD472" s="3" t="str">
        <f>_xlfn.XLOOKUP(CAPSTONE_PROJECT[[#This Row],[Patient ID]],'Lookup table'!A:A,'Lookup table'!C:C,,0)</f>
        <v>Male</v>
      </c>
      <c r="AE472" s="3" t="str">
        <f>IF(CAPSTONE_PROJECT[[#This Row],[Length of Stay]]&lt;=3,"Short Stay",IF(CAPSTONE_PROJECT[[#This Row],[Length of Stay]]&lt;=7,"Moderate Stay",IF(CAPSTONE_PROJECT[[#This Row],[Length of Stay]]&lt;=14,"Long Stay","Extended Stay")))</f>
        <v>Moderate Stay</v>
      </c>
    </row>
    <row r="473" spans="1:31" x14ac:dyDescent="0.3">
      <c r="A473" s="3" t="s">
        <v>1003</v>
      </c>
      <c r="B473" s="4">
        <v>45672</v>
      </c>
      <c r="C473" s="4">
        <v>45674</v>
      </c>
      <c r="D473" s="4">
        <v>34963</v>
      </c>
      <c r="E473" s="3">
        <v>30</v>
      </c>
      <c r="F473" s="3" t="s">
        <v>8</v>
      </c>
      <c r="G473" s="3" t="s">
        <v>67</v>
      </c>
      <c r="H473" s="3" t="s">
        <v>21</v>
      </c>
      <c r="I473" s="3" t="s">
        <v>13</v>
      </c>
      <c r="J473" s="3" t="s">
        <v>30</v>
      </c>
      <c r="K473" s="3" t="s">
        <v>65</v>
      </c>
      <c r="L473" s="6">
        <v>2517.14</v>
      </c>
      <c r="M473" s="6">
        <v>1636.12</v>
      </c>
      <c r="N473" s="6">
        <v>1528.28</v>
      </c>
      <c r="O473" s="6">
        <v>3142.72</v>
      </c>
      <c r="P473" s="3" t="s">
        <v>51</v>
      </c>
      <c r="Q473" s="3" t="s">
        <v>1082</v>
      </c>
      <c r="R473" s="3" t="s">
        <v>41</v>
      </c>
      <c r="S473" s="3" t="s">
        <v>1004</v>
      </c>
      <c r="T473" s="3">
        <v>2</v>
      </c>
      <c r="U473" s="3">
        <f>CAPSTONE_PROJECT[[#This Row],[Discharge Date]]-CAPSTONE_PROJECT[[#This Row],[Admission Date]]</f>
        <v>2</v>
      </c>
      <c r="V473" s="6">
        <f>SUM(CAPSTONE_PROJECT[[#This Row],[Room Cost]:[Treatment Cost]])</f>
        <v>8824.26</v>
      </c>
      <c r="W473" s="6">
        <f t="shared" si="7"/>
        <v>4412.13</v>
      </c>
      <c r="X473" s="3" t="str">
        <f>TEXT(CAPSTONE_PROJECT[[#This Row],[Admission Date]],"mmmm")</f>
        <v>January</v>
      </c>
      <c r="Y473" s="3" t="str">
        <f>TEXT(CAPSTONE_PROJECT[[#This Row],[Admission Date]],"yyyy")</f>
        <v>2025</v>
      </c>
      <c r="Z473" s="3" t="str">
        <f>TEXT(CAPSTONE_PROJECT[[#This Row],[Admission Date]],"mmm yyyy")</f>
        <v>Jan 2025</v>
      </c>
      <c r="AA473" s="3" t="str">
        <f>TEXT(CAPSTONE_PROJECT[[#This Row],[Admission Date]],"dddd")</f>
        <v>Wednesday</v>
      </c>
      <c r="AB473" s="3" t="str">
        <f>IF(CAPSTONE_PROJECT[[#This Row],[Age]]&lt;=34,"Young Adults",IF(CAPSTONE_PROJECT[[#This Row],[Age]]&lt;=59,"Adults","Elders"))</f>
        <v>Young Adults</v>
      </c>
      <c r="AC473" s="3" t="str">
        <f>_xlfn.XLOOKUP(CAPSTONE_PROJECT[[#This Row],[Patient ID]],'Lookup table'!A:A,'Lookup table'!B:B,,0)</f>
        <v>Ella M Green</v>
      </c>
      <c r="AD473" s="3" t="str">
        <f>_xlfn.XLOOKUP(CAPSTONE_PROJECT[[#This Row],[Patient ID]],'Lookup table'!A:A,'Lookup table'!C:C,,0)</f>
        <v>Female</v>
      </c>
      <c r="AE473" s="3" t="str">
        <f>IF(CAPSTONE_PROJECT[[#This Row],[Length of Stay]]&lt;=3,"Short Stay",IF(CAPSTONE_PROJECT[[#This Row],[Length of Stay]]&lt;=7,"Moderate Stay",IF(CAPSTONE_PROJECT[[#This Row],[Length of Stay]]&lt;=14,"Long Stay","Extended Stay")))</f>
        <v>Short Stay</v>
      </c>
    </row>
    <row r="474" spans="1:31" x14ac:dyDescent="0.3">
      <c r="A474" s="3" t="s">
        <v>1005</v>
      </c>
      <c r="B474" s="4">
        <v>45770</v>
      </c>
      <c r="C474" s="4">
        <v>45771</v>
      </c>
      <c r="D474" s="4">
        <v>17424</v>
      </c>
      <c r="E474" s="3">
        <v>78</v>
      </c>
      <c r="F474" s="3" t="s">
        <v>18</v>
      </c>
      <c r="G474" s="3" t="s">
        <v>53</v>
      </c>
      <c r="H474" s="3" t="s">
        <v>43</v>
      </c>
      <c r="I474" s="3" t="s">
        <v>22</v>
      </c>
      <c r="J474" s="3" t="s">
        <v>45</v>
      </c>
      <c r="K474" s="3" t="s">
        <v>24</v>
      </c>
      <c r="L474" s="6">
        <v>2722.16</v>
      </c>
      <c r="M474" s="6">
        <v>1655.84</v>
      </c>
      <c r="N474" s="6">
        <v>1093.79</v>
      </c>
      <c r="O474" s="6">
        <v>11384</v>
      </c>
      <c r="P474" s="3" t="s">
        <v>25</v>
      </c>
      <c r="Q474" s="3" t="s">
        <v>1081</v>
      </c>
      <c r="R474" s="3" t="s">
        <v>10</v>
      </c>
      <c r="S474" s="3" t="s">
        <v>1006</v>
      </c>
      <c r="T474" s="3">
        <v>6</v>
      </c>
      <c r="U474" s="3">
        <f>CAPSTONE_PROJECT[[#This Row],[Discharge Date]]-CAPSTONE_PROJECT[[#This Row],[Admission Date]]</f>
        <v>1</v>
      </c>
      <c r="V474" s="6">
        <f>SUM(CAPSTONE_PROJECT[[#This Row],[Room Cost]:[Treatment Cost]])</f>
        <v>16855.79</v>
      </c>
      <c r="W474" s="6">
        <f t="shared" si="7"/>
        <v>16855.79</v>
      </c>
      <c r="X474" s="3" t="str">
        <f>TEXT(CAPSTONE_PROJECT[[#This Row],[Admission Date]],"mmmm")</f>
        <v>April</v>
      </c>
      <c r="Y474" s="3" t="str">
        <f>TEXT(CAPSTONE_PROJECT[[#This Row],[Admission Date]],"yyyy")</f>
        <v>2025</v>
      </c>
      <c r="Z474" s="3" t="str">
        <f>TEXT(CAPSTONE_PROJECT[[#This Row],[Admission Date]],"mmm yyyy")</f>
        <v>Apr 2025</v>
      </c>
      <c r="AA474" s="3" t="str">
        <f>TEXT(CAPSTONE_PROJECT[[#This Row],[Admission Date]],"dddd")</f>
        <v>Wednesday</v>
      </c>
      <c r="AB474" s="3" t="str">
        <f>IF(CAPSTONE_PROJECT[[#This Row],[Age]]&lt;=34,"Young Adults",IF(CAPSTONE_PROJECT[[#This Row],[Age]]&lt;=59,"Adults","Elders"))</f>
        <v>Elders</v>
      </c>
      <c r="AC474" s="3" t="str">
        <f>_xlfn.XLOOKUP(CAPSTONE_PROJECT[[#This Row],[Patient ID]],'Lookup table'!A:A,'Lookup table'!B:B,,0)</f>
        <v>Ethan Thomas</v>
      </c>
      <c r="AD474" s="3" t="str">
        <f>_xlfn.XLOOKUP(CAPSTONE_PROJECT[[#This Row],[Patient ID]],'Lookup table'!A:A,'Lookup table'!C:C,,0)</f>
        <v>Male</v>
      </c>
      <c r="AE474" s="3" t="str">
        <f>IF(CAPSTONE_PROJECT[[#This Row],[Length of Stay]]&lt;=3,"Short Stay",IF(CAPSTONE_PROJECT[[#This Row],[Length of Stay]]&lt;=7,"Moderate Stay",IF(CAPSTONE_PROJECT[[#This Row],[Length of Stay]]&lt;=14,"Long Stay","Extended Stay")))</f>
        <v>Short Stay</v>
      </c>
    </row>
    <row r="475" spans="1:31" x14ac:dyDescent="0.3">
      <c r="A475" s="3" t="s">
        <v>1007</v>
      </c>
      <c r="B475" s="4">
        <v>45708</v>
      </c>
      <c r="C475" s="4">
        <v>45715</v>
      </c>
      <c r="D475" s="4">
        <v>31261</v>
      </c>
      <c r="E475" s="3">
        <v>40</v>
      </c>
      <c r="F475" s="3" t="s">
        <v>18</v>
      </c>
      <c r="G475" s="3" t="s">
        <v>78</v>
      </c>
      <c r="H475" s="3" t="s">
        <v>72</v>
      </c>
      <c r="I475" s="3" t="s">
        <v>22</v>
      </c>
      <c r="J475" s="3" t="s">
        <v>14</v>
      </c>
      <c r="K475" s="3" t="s">
        <v>65</v>
      </c>
      <c r="L475" s="6">
        <v>2314.2199999999998</v>
      </c>
      <c r="M475" s="6">
        <v>1346.87</v>
      </c>
      <c r="N475" s="6">
        <v>2616.5100000000002</v>
      </c>
      <c r="O475" s="6">
        <v>5411.58</v>
      </c>
      <c r="P475" s="3" t="s">
        <v>16</v>
      </c>
      <c r="Q475" s="3" t="s">
        <v>1079</v>
      </c>
      <c r="R475" s="3" t="s">
        <v>19</v>
      </c>
      <c r="S475" s="3" t="s">
        <v>1008</v>
      </c>
      <c r="T475" s="3">
        <v>1</v>
      </c>
      <c r="U475" s="3">
        <f>CAPSTONE_PROJECT[[#This Row],[Discharge Date]]-CAPSTONE_PROJECT[[#This Row],[Admission Date]]</f>
        <v>7</v>
      </c>
      <c r="V475" s="6">
        <f>SUM(CAPSTONE_PROJECT[[#This Row],[Room Cost]:[Treatment Cost]])</f>
        <v>11689.18</v>
      </c>
      <c r="W475" s="6">
        <f t="shared" si="7"/>
        <v>1669.8828571428571</v>
      </c>
      <c r="X475" s="3" t="str">
        <f>TEXT(CAPSTONE_PROJECT[[#This Row],[Admission Date]],"mmmm")</f>
        <v>February</v>
      </c>
      <c r="Y475" s="3" t="str">
        <f>TEXT(CAPSTONE_PROJECT[[#This Row],[Admission Date]],"yyyy")</f>
        <v>2025</v>
      </c>
      <c r="Z475" s="3" t="str">
        <f>TEXT(CAPSTONE_PROJECT[[#This Row],[Admission Date]],"mmm yyyy")</f>
        <v>Feb 2025</v>
      </c>
      <c r="AA475" s="3" t="str">
        <f>TEXT(CAPSTONE_PROJECT[[#This Row],[Admission Date]],"dddd")</f>
        <v>Thursday</v>
      </c>
      <c r="AB475" s="3" t="str">
        <f>IF(CAPSTONE_PROJECT[[#This Row],[Age]]&lt;=34,"Young Adults",IF(CAPSTONE_PROJECT[[#This Row],[Age]]&lt;=59,"Adults","Elders"))</f>
        <v>Adults</v>
      </c>
      <c r="AC475" s="3" t="str">
        <f>_xlfn.XLOOKUP(CAPSTONE_PROJECT[[#This Row],[Patient ID]],'Lookup table'!A:A,'Lookup table'!B:B,,0)</f>
        <v>Mia E Smith</v>
      </c>
      <c r="AD475" s="3" t="str">
        <f>_xlfn.XLOOKUP(CAPSTONE_PROJECT[[#This Row],[Patient ID]],'Lookup table'!A:A,'Lookup table'!C:C,,0)</f>
        <v>Female</v>
      </c>
      <c r="AE475" s="3" t="str">
        <f>IF(CAPSTONE_PROJECT[[#This Row],[Length of Stay]]&lt;=3,"Short Stay",IF(CAPSTONE_PROJECT[[#This Row],[Length of Stay]]&lt;=7,"Moderate Stay",IF(CAPSTONE_PROJECT[[#This Row],[Length of Stay]]&lt;=14,"Long Stay","Extended Stay")))</f>
        <v>Moderate Stay</v>
      </c>
    </row>
    <row r="476" spans="1:31" x14ac:dyDescent="0.3">
      <c r="A476" s="3" t="s">
        <v>1009</v>
      </c>
      <c r="B476" s="4">
        <v>45490</v>
      </c>
      <c r="C476" s="4">
        <v>45503</v>
      </c>
      <c r="D476" s="4">
        <v>36998</v>
      </c>
      <c r="E476" s="3">
        <v>25</v>
      </c>
      <c r="F476" s="3" t="s">
        <v>18</v>
      </c>
      <c r="G476" s="3" t="s">
        <v>57</v>
      </c>
      <c r="H476" s="3" t="s">
        <v>72</v>
      </c>
      <c r="I476" s="3" t="s">
        <v>44</v>
      </c>
      <c r="J476" s="3" t="s">
        <v>15</v>
      </c>
      <c r="K476" s="3" t="s">
        <v>24</v>
      </c>
      <c r="L476" s="6">
        <v>4471.09</v>
      </c>
      <c r="M476" s="6">
        <v>248.48</v>
      </c>
      <c r="N476" s="6">
        <v>1057.49</v>
      </c>
      <c r="O476" s="6">
        <v>13058.23</v>
      </c>
      <c r="P476" s="3" t="s">
        <v>25</v>
      </c>
      <c r="Q476" s="3" t="s">
        <v>1086</v>
      </c>
      <c r="R476" s="3" t="s">
        <v>54</v>
      </c>
      <c r="S476" s="3" t="s">
        <v>1010</v>
      </c>
      <c r="T476" s="3">
        <v>2</v>
      </c>
      <c r="U476" s="3">
        <f>CAPSTONE_PROJECT[[#This Row],[Discharge Date]]-CAPSTONE_PROJECT[[#This Row],[Admission Date]]</f>
        <v>13</v>
      </c>
      <c r="V476" s="6">
        <f>SUM(CAPSTONE_PROJECT[[#This Row],[Room Cost]:[Treatment Cost]])</f>
        <v>18835.29</v>
      </c>
      <c r="W476" s="6">
        <f t="shared" si="7"/>
        <v>1448.8684615384616</v>
      </c>
      <c r="X476" s="3" t="str">
        <f>TEXT(CAPSTONE_PROJECT[[#This Row],[Admission Date]],"mmmm")</f>
        <v>July</v>
      </c>
      <c r="Y476" s="3" t="str">
        <f>TEXT(CAPSTONE_PROJECT[[#This Row],[Admission Date]],"yyyy")</f>
        <v>2024</v>
      </c>
      <c r="Z476" s="3" t="str">
        <f>TEXT(CAPSTONE_PROJECT[[#This Row],[Admission Date]],"mmm yyyy")</f>
        <v>Jul 2024</v>
      </c>
      <c r="AA476" s="3" t="str">
        <f>TEXT(CAPSTONE_PROJECT[[#This Row],[Admission Date]],"dddd")</f>
        <v>Wednesday</v>
      </c>
      <c r="AB476" s="3" t="str">
        <f>IF(CAPSTONE_PROJECT[[#This Row],[Age]]&lt;=34,"Young Adults",IF(CAPSTONE_PROJECT[[#This Row],[Age]]&lt;=59,"Adults","Elders"))</f>
        <v>Young Adults</v>
      </c>
      <c r="AC476" s="3" t="str">
        <f>_xlfn.XLOOKUP(CAPSTONE_PROJECT[[#This Row],[Patient ID]],'Lookup table'!A:A,'Lookup table'!B:B,,0)</f>
        <v>Samuel Thompson</v>
      </c>
      <c r="AD476" s="3" t="str">
        <f>_xlfn.XLOOKUP(CAPSTONE_PROJECT[[#This Row],[Patient ID]],'Lookup table'!A:A,'Lookup table'!C:C,,0)</f>
        <v>Male</v>
      </c>
      <c r="AE476" s="3" t="str">
        <f>IF(CAPSTONE_PROJECT[[#This Row],[Length of Stay]]&lt;=3,"Short Stay",IF(CAPSTONE_PROJECT[[#This Row],[Length of Stay]]&lt;=7,"Moderate Stay",IF(CAPSTONE_PROJECT[[#This Row],[Length of Stay]]&lt;=14,"Long Stay","Extended Stay")))</f>
        <v>Long Stay</v>
      </c>
    </row>
    <row r="477" spans="1:31" x14ac:dyDescent="0.3">
      <c r="A477" s="3" t="s">
        <v>1011</v>
      </c>
      <c r="B477" s="4">
        <v>45691</v>
      </c>
      <c r="C477" s="4">
        <v>45701</v>
      </c>
      <c r="D477" s="4">
        <v>27056</v>
      </c>
      <c r="E477" s="3">
        <v>52</v>
      </c>
      <c r="F477" s="3" t="s">
        <v>8</v>
      </c>
      <c r="G477" s="3" t="s">
        <v>34</v>
      </c>
      <c r="H477" s="3" t="s">
        <v>111</v>
      </c>
      <c r="I477" s="3" t="s">
        <v>37</v>
      </c>
      <c r="J477" s="3" t="s">
        <v>38</v>
      </c>
      <c r="K477" s="3" t="s">
        <v>24</v>
      </c>
      <c r="L477" s="6">
        <v>2531.3000000000002</v>
      </c>
      <c r="M477" s="6">
        <v>2026.74</v>
      </c>
      <c r="N477" s="6">
        <v>1326.63</v>
      </c>
      <c r="O477" s="6">
        <v>8028.09</v>
      </c>
      <c r="P477" s="3" t="s">
        <v>25</v>
      </c>
      <c r="Q477" s="3" t="s">
        <v>1087</v>
      </c>
      <c r="R477" s="3" t="s">
        <v>35</v>
      </c>
      <c r="S477" s="3" t="s">
        <v>1012</v>
      </c>
      <c r="T477" s="3">
        <v>1</v>
      </c>
      <c r="U477" s="3">
        <f>CAPSTONE_PROJECT[[#This Row],[Discharge Date]]-CAPSTONE_PROJECT[[#This Row],[Admission Date]]</f>
        <v>10</v>
      </c>
      <c r="V477" s="6">
        <f>SUM(CAPSTONE_PROJECT[[#This Row],[Room Cost]:[Treatment Cost]])</f>
        <v>13912.76</v>
      </c>
      <c r="W477" s="6">
        <f t="shared" si="7"/>
        <v>1391.2760000000001</v>
      </c>
      <c r="X477" s="3" t="str">
        <f>TEXT(CAPSTONE_PROJECT[[#This Row],[Admission Date]],"mmmm")</f>
        <v>February</v>
      </c>
      <c r="Y477" s="3" t="str">
        <f>TEXT(CAPSTONE_PROJECT[[#This Row],[Admission Date]],"yyyy")</f>
        <v>2025</v>
      </c>
      <c r="Z477" s="3" t="str">
        <f>TEXT(CAPSTONE_PROJECT[[#This Row],[Admission Date]],"mmm yyyy")</f>
        <v>Feb 2025</v>
      </c>
      <c r="AA477" s="3" t="str">
        <f>TEXT(CAPSTONE_PROJECT[[#This Row],[Admission Date]],"dddd")</f>
        <v>Monday</v>
      </c>
      <c r="AB477" s="3" t="str">
        <f>IF(CAPSTONE_PROJECT[[#This Row],[Age]]&lt;=34,"Young Adults",IF(CAPSTONE_PROJECT[[#This Row],[Age]]&lt;=59,"Adults","Elders"))</f>
        <v>Adults</v>
      </c>
      <c r="AC477" s="3" t="str">
        <f>_xlfn.XLOOKUP(CAPSTONE_PROJECT[[#This Row],[Patient ID]],'Lookup table'!A:A,'Lookup table'!B:B,,0)</f>
        <v>Chloe O Wilson</v>
      </c>
      <c r="AD477" s="3" t="str">
        <f>_xlfn.XLOOKUP(CAPSTONE_PROJECT[[#This Row],[Patient ID]],'Lookup table'!A:A,'Lookup table'!C:C,,0)</f>
        <v>Female</v>
      </c>
      <c r="AE477" s="3" t="str">
        <f>IF(CAPSTONE_PROJECT[[#This Row],[Length of Stay]]&lt;=3,"Short Stay",IF(CAPSTONE_PROJECT[[#This Row],[Length of Stay]]&lt;=7,"Moderate Stay",IF(CAPSTONE_PROJECT[[#This Row],[Length of Stay]]&lt;=14,"Long Stay","Extended Stay")))</f>
        <v>Long Stay</v>
      </c>
    </row>
    <row r="478" spans="1:31" x14ac:dyDescent="0.3">
      <c r="A478" s="3" t="s">
        <v>1013</v>
      </c>
      <c r="B478" s="4">
        <v>45539</v>
      </c>
      <c r="C478" s="4">
        <v>45557</v>
      </c>
      <c r="D478" s="4">
        <v>33281</v>
      </c>
      <c r="E478" s="3">
        <v>35</v>
      </c>
      <c r="F478" s="3" t="s">
        <v>8</v>
      </c>
      <c r="G478" s="3" t="s">
        <v>126</v>
      </c>
      <c r="H478" s="3" t="s">
        <v>104</v>
      </c>
      <c r="I478" s="3" t="s">
        <v>44</v>
      </c>
      <c r="J478" s="3" t="s">
        <v>64</v>
      </c>
      <c r="K478" s="3" t="s">
        <v>24</v>
      </c>
      <c r="L478" s="6">
        <v>1139.47</v>
      </c>
      <c r="M478" s="6">
        <v>514.34</v>
      </c>
      <c r="N478" s="6">
        <v>1480.55</v>
      </c>
      <c r="O478" s="6">
        <v>10434.07</v>
      </c>
      <c r="P478" s="3" t="s">
        <v>25</v>
      </c>
      <c r="Q478" s="3" t="s">
        <v>1076</v>
      </c>
      <c r="R478" s="3" t="s">
        <v>62</v>
      </c>
      <c r="S478" s="3" t="s">
        <v>1014</v>
      </c>
      <c r="T478" s="3">
        <v>3</v>
      </c>
      <c r="U478" s="3">
        <f>CAPSTONE_PROJECT[[#This Row],[Discharge Date]]-CAPSTONE_PROJECT[[#This Row],[Admission Date]]</f>
        <v>18</v>
      </c>
      <c r="V478" s="6">
        <f>SUM(CAPSTONE_PROJECT[[#This Row],[Room Cost]:[Treatment Cost]])</f>
        <v>13568.43</v>
      </c>
      <c r="W478" s="6">
        <f t="shared" si="7"/>
        <v>753.80166666666673</v>
      </c>
      <c r="X478" s="3" t="str">
        <f>TEXT(CAPSTONE_PROJECT[[#This Row],[Admission Date]],"mmmm")</f>
        <v>September</v>
      </c>
      <c r="Y478" s="3" t="str">
        <f>TEXT(CAPSTONE_PROJECT[[#This Row],[Admission Date]],"yyyy")</f>
        <v>2024</v>
      </c>
      <c r="Z478" s="3" t="str">
        <f>TEXT(CAPSTONE_PROJECT[[#This Row],[Admission Date]],"mmm yyyy")</f>
        <v>Sep 2024</v>
      </c>
      <c r="AA478" s="3" t="str">
        <f>TEXT(CAPSTONE_PROJECT[[#This Row],[Admission Date]],"dddd")</f>
        <v>Wednesday</v>
      </c>
      <c r="AB478" s="3" t="str">
        <f>IF(CAPSTONE_PROJECT[[#This Row],[Age]]&lt;=34,"Young Adults",IF(CAPSTONE_PROJECT[[#This Row],[Age]]&lt;=59,"Adults","Elders"))</f>
        <v>Adults</v>
      </c>
      <c r="AC478" s="3" t="str">
        <f>_xlfn.XLOOKUP(CAPSTONE_PROJECT[[#This Row],[Patient ID]],'Lookup table'!A:A,'Lookup table'!B:B,,0)</f>
        <v>Michael A Wood</v>
      </c>
      <c r="AD478" s="3" t="str">
        <f>_xlfn.XLOOKUP(CAPSTONE_PROJECT[[#This Row],[Patient ID]],'Lookup table'!A:A,'Lookup table'!C:C,,0)</f>
        <v>Male</v>
      </c>
      <c r="AE478" s="3" t="str">
        <f>IF(CAPSTONE_PROJECT[[#This Row],[Length of Stay]]&lt;=3,"Short Stay",IF(CAPSTONE_PROJECT[[#This Row],[Length of Stay]]&lt;=7,"Moderate Stay",IF(CAPSTONE_PROJECT[[#This Row],[Length of Stay]]&lt;=14,"Long Stay","Extended Stay")))</f>
        <v>Extended Stay</v>
      </c>
    </row>
    <row r="479" spans="1:31" x14ac:dyDescent="0.3">
      <c r="A479" s="3" t="s">
        <v>1015</v>
      </c>
      <c r="B479" s="4">
        <v>45757</v>
      </c>
      <c r="C479" s="4">
        <v>45774</v>
      </c>
      <c r="D479" s="4">
        <v>18982</v>
      </c>
      <c r="E479" s="3">
        <v>74</v>
      </c>
      <c r="F479" s="3" t="s">
        <v>18</v>
      </c>
      <c r="G479" s="3" t="s">
        <v>78</v>
      </c>
      <c r="H479" s="3" t="s">
        <v>1080</v>
      </c>
      <c r="I479" s="3" t="s">
        <v>37</v>
      </c>
      <c r="J479" s="3" t="s">
        <v>14</v>
      </c>
      <c r="K479" s="3" t="s">
        <v>15</v>
      </c>
      <c r="L479" s="6">
        <v>3298.53</v>
      </c>
      <c r="M479" s="6">
        <v>2012.03</v>
      </c>
      <c r="N479" s="6">
        <v>2631.56</v>
      </c>
      <c r="O479" s="6">
        <v>13886.7</v>
      </c>
      <c r="P479" s="3" t="s">
        <v>31</v>
      </c>
      <c r="Q479" s="3" t="s">
        <v>1078</v>
      </c>
      <c r="R479" s="3" t="s">
        <v>10</v>
      </c>
      <c r="S479" s="3" t="s">
        <v>1016</v>
      </c>
      <c r="T479" s="3">
        <v>4</v>
      </c>
      <c r="U479" s="3">
        <f>CAPSTONE_PROJECT[[#This Row],[Discharge Date]]-CAPSTONE_PROJECT[[#This Row],[Admission Date]]</f>
        <v>17</v>
      </c>
      <c r="V479" s="6">
        <f>SUM(CAPSTONE_PROJECT[[#This Row],[Room Cost]:[Treatment Cost]])</f>
        <v>21828.82</v>
      </c>
      <c r="W479" s="6">
        <f t="shared" si="7"/>
        <v>1284.0482352941176</v>
      </c>
      <c r="X479" s="3" t="str">
        <f>TEXT(CAPSTONE_PROJECT[[#This Row],[Admission Date]],"mmmm")</f>
        <v>April</v>
      </c>
      <c r="Y479" s="3" t="str">
        <f>TEXT(CAPSTONE_PROJECT[[#This Row],[Admission Date]],"yyyy")</f>
        <v>2025</v>
      </c>
      <c r="Z479" s="3" t="str">
        <f>TEXT(CAPSTONE_PROJECT[[#This Row],[Admission Date]],"mmm yyyy")</f>
        <v>Apr 2025</v>
      </c>
      <c r="AA479" s="3" t="str">
        <f>TEXT(CAPSTONE_PROJECT[[#This Row],[Admission Date]],"dddd")</f>
        <v>Thursday</v>
      </c>
      <c r="AB479" s="3" t="str">
        <f>IF(CAPSTONE_PROJECT[[#This Row],[Age]]&lt;=34,"Young Adults",IF(CAPSTONE_PROJECT[[#This Row],[Age]]&lt;=59,"Adults","Elders"))</f>
        <v>Elders</v>
      </c>
      <c r="AC479" s="3" t="str">
        <f>_xlfn.XLOOKUP(CAPSTONE_PROJECT[[#This Row],[Patient ID]],'Lookup table'!A:A,'Lookup table'!B:B,,0)</f>
        <v>Ella N Thomas</v>
      </c>
      <c r="AD479" s="3" t="str">
        <f>_xlfn.XLOOKUP(CAPSTONE_PROJECT[[#This Row],[Patient ID]],'Lookup table'!A:A,'Lookup table'!C:C,,0)</f>
        <v>Female</v>
      </c>
      <c r="AE479" s="3" t="str">
        <f>IF(CAPSTONE_PROJECT[[#This Row],[Length of Stay]]&lt;=3,"Short Stay",IF(CAPSTONE_PROJECT[[#This Row],[Length of Stay]]&lt;=7,"Moderate Stay",IF(CAPSTONE_PROJECT[[#This Row],[Length of Stay]]&lt;=14,"Long Stay","Extended Stay")))</f>
        <v>Extended Stay</v>
      </c>
    </row>
    <row r="480" spans="1:31" x14ac:dyDescent="0.3">
      <c r="A480" s="3" t="s">
        <v>1017</v>
      </c>
      <c r="B480" s="4">
        <v>45319</v>
      </c>
      <c r="C480" s="4">
        <v>45320</v>
      </c>
      <c r="D480" s="4">
        <v>16503</v>
      </c>
      <c r="E480" s="3">
        <v>81</v>
      </c>
      <c r="F480" s="3" t="s">
        <v>8</v>
      </c>
      <c r="G480" s="3" t="s">
        <v>139</v>
      </c>
      <c r="H480" s="3" t="s">
        <v>21</v>
      </c>
      <c r="I480" s="3" t="s">
        <v>13</v>
      </c>
      <c r="J480" s="3" t="s">
        <v>73</v>
      </c>
      <c r="K480" s="3" t="s">
        <v>50</v>
      </c>
      <c r="L480" s="6">
        <v>2945.39</v>
      </c>
      <c r="M480" s="6">
        <v>141.81</v>
      </c>
      <c r="N480" s="6">
        <v>2313.79</v>
      </c>
      <c r="O480" s="6">
        <v>7285.9</v>
      </c>
      <c r="P480" s="3" t="s">
        <v>31</v>
      </c>
      <c r="Q480" s="3" t="s">
        <v>1078</v>
      </c>
      <c r="R480" s="3" t="s">
        <v>68</v>
      </c>
      <c r="S480" s="3" t="s">
        <v>1018</v>
      </c>
      <c r="T480" s="3">
        <v>1</v>
      </c>
      <c r="U480" s="3">
        <f>CAPSTONE_PROJECT[[#This Row],[Discharge Date]]-CAPSTONE_PROJECT[[#This Row],[Admission Date]]</f>
        <v>1</v>
      </c>
      <c r="V480" s="6">
        <f>SUM(CAPSTONE_PROJECT[[#This Row],[Room Cost]:[Treatment Cost]])</f>
        <v>12686.89</v>
      </c>
      <c r="W480" s="6">
        <f t="shared" si="7"/>
        <v>12686.89</v>
      </c>
      <c r="X480" s="3" t="str">
        <f>TEXT(CAPSTONE_PROJECT[[#This Row],[Admission Date]],"mmmm")</f>
        <v>January</v>
      </c>
      <c r="Y480" s="3" t="str">
        <f>TEXT(CAPSTONE_PROJECT[[#This Row],[Admission Date]],"yyyy")</f>
        <v>2024</v>
      </c>
      <c r="Z480" s="3" t="str">
        <f>TEXT(CAPSTONE_PROJECT[[#This Row],[Admission Date]],"mmm yyyy")</f>
        <v>Jan 2024</v>
      </c>
      <c r="AA480" s="3" t="str">
        <f>TEXT(CAPSTONE_PROJECT[[#This Row],[Admission Date]],"dddd")</f>
        <v>Sunday</v>
      </c>
      <c r="AB480" s="3" t="str">
        <f>IF(CAPSTONE_PROJECT[[#This Row],[Age]]&lt;=34,"Young Adults",IF(CAPSTONE_PROJECT[[#This Row],[Age]]&lt;=59,"Adults","Elders"))</f>
        <v>Elders</v>
      </c>
      <c r="AC480" s="3" t="str">
        <f>_xlfn.XLOOKUP(CAPSTONE_PROJECT[[#This Row],[Patient ID]],'Lookup table'!A:A,'Lookup table'!B:B,,0)</f>
        <v>Leo C Thomas</v>
      </c>
      <c r="AD480" s="3" t="str">
        <f>_xlfn.XLOOKUP(CAPSTONE_PROJECT[[#This Row],[Patient ID]],'Lookup table'!A:A,'Lookup table'!C:C,,0)</f>
        <v>Male</v>
      </c>
      <c r="AE480" s="3" t="str">
        <f>IF(CAPSTONE_PROJECT[[#This Row],[Length of Stay]]&lt;=3,"Short Stay",IF(CAPSTONE_PROJECT[[#This Row],[Length of Stay]]&lt;=7,"Moderate Stay",IF(CAPSTONE_PROJECT[[#This Row],[Length of Stay]]&lt;=14,"Long Stay","Extended Stay")))</f>
        <v>Short Stay</v>
      </c>
    </row>
    <row r="481" spans="1:31" x14ac:dyDescent="0.3">
      <c r="A481" s="3" t="s">
        <v>1019</v>
      </c>
      <c r="B481" s="4">
        <v>45880</v>
      </c>
      <c r="C481" s="4">
        <v>45890</v>
      </c>
      <c r="D481" s="4">
        <v>36790</v>
      </c>
      <c r="E481" s="3">
        <v>25</v>
      </c>
      <c r="F481" s="3" t="s">
        <v>18</v>
      </c>
      <c r="G481" s="3" t="s">
        <v>48</v>
      </c>
      <c r="H481" s="3" t="s">
        <v>100</v>
      </c>
      <c r="I481" s="3" t="s">
        <v>44</v>
      </c>
      <c r="J481" s="3" t="s">
        <v>38</v>
      </c>
      <c r="K481" s="3" t="s">
        <v>24</v>
      </c>
      <c r="L481" s="6">
        <v>880.51</v>
      </c>
      <c r="M481" s="6">
        <v>128.77000000000001</v>
      </c>
      <c r="N481" s="6">
        <v>2267.73</v>
      </c>
      <c r="O481" s="6">
        <v>6450.27</v>
      </c>
      <c r="P481" s="3" t="s">
        <v>16</v>
      </c>
      <c r="Q481" s="3" t="s">
        <v>1085</v>
      </c>
      <c r="R481" s="3" t="s">
        <v>41</v>
      </c>
      <c r="S481" s="3" t="s">
        <v>1020</v>
      </c>
      <c r="T481" s="3">
        <v>1</v>
      </c>
      <c r="U481" s="3">
        <f>CAPSTONE_PROJECT[[#This Row],[Discharge Date]]-CAPSTONE_PROJECT[[#This Row],[Admission Date]]</f>
        <v>10</v>
      </c>
      <c r="V481" s="6">
        <f>SUM(CAPSTONE_PROJECT[[#This Row],[Room Cost]:[Treatment Cost]])</f>
        <v>9727.2800000000007</v>
      </c>
      <c r="W481" s="6">
        <f t="shared" si="7"/>
        <v>972.72800000000007</v>
      </c>
      <c r="X481" s="3" t="str">
        <f>TEXT(CAPSTONE_PROJECT[[#This Row],[Admission Date]],"mmmm")</f>
        <v>August</v>
      </c>
      <c r="Y481" s="3" t="str">
        <f>TEXT(CAPSTONE_PROJECT[[#This Row],[Admission Date]],"yyyy")</f>
        <v>2025</v>
      </c>
      <c r="Z481" s="3" t="str">
        <f>TEXT(CAPSTONE_PROJECT[[#This Row],[Admission Date]],"mmm yyyy")</f>
        <v>Aug 2025</v>
      </c>
      <c r="AA481" s="3" t="str">
        <f>TEXT(CAPSTONE_PROJECT[[#This Row],[Admission Date]],"dddd")</f>
        <v>Monday</v>
      </c>
      <c r="AB481" s="3" t="str">
        <f>IF(CAPSTONE_PROJECT[[#This Row],[Age]]&lt;=34,"Young Adults",IF(CAPSTONE_PROJECT[[#This Row],[Age]]&lt;=59,"Adults","Elders"))</f>
        <v>Young Adults</v>
      </c>
      <c r="AC481" s="3" t="str">
        <f>_xlfn.XLOOKUP(CAPSTONE_PROJECT[[#This Row],[Patient ID]],'Lookup table'!A:A,'Lookup table'!B:B,,0)</f>
        <v>Mia K Walker</v>
      </c>
      <c r="AD481" s="3" t="str">
        <f>_xlfn.XLOOKUP(CAPSTONE_PROJECT[[#This Row],[Patient ID]],'Lookup table'!A:A,'Lookup table'!C:C,,0)</f>
        <v>Female</v>
      </c>
      <c r="AE481" s="3" t="str">
        <f>IF(CAPSTONE_PROJECT[[#This Row],[Length of Stay]]&lt;=3,"Short Stay",IF(CAPSTONE_PROJECT[[#This Row],[Length of Stay]]&lt;=7,"Moderate Stay",IF(CAPSTONE_PROJECT[[#This Row],[Length of Stay]]&lt;=14,"Long Stay","Extended Stay")))</f>
        <v>Long Stay</v>
      </c>
    </row>
    <row r="482" spans="1:31" x14ac:dyDescent="0.3">
      <c r="A482" s="3" t="s">
        <v>1021</v>
      </c>
      <c r="B482" s="4">
        <v>45335</v>
      </c>
      <c r="C482" s="4">
        <v>45347</v>
      </c>
      <c r="D482" s="4">
        <v>28747</v>
      </c>
      <c r="E482" s="3">
        <v>47</v>
      </c>
      <c r="F482" s="3" t="s">
        <v>33</v>
      </c>
      <c r="G482" s="3" t="s">
        <v>126</v>
      </c>
      <c r="H482" s="3" t="s">
        <v>43</v>
      </c>
      <c r="I482" s="3" t="s">
        <v>13</v>
      </c>
      <c r="J482" s="3" t="s">
        <v>15</v>
      </c>
      <c r="K482" s="3" t="s">
        <v>65</v>
      </c>
      <c r="L482" s="6">
        <v>361.63</v>
      </c>
      <c r="M482" s="6">
        <v>1444.78</v>
      </c>
      <c r="N482" s="6">
        <v>1711.87</v>
      </c>
      <c r="O482" s="6">
        <v>14775.24</v>
      </c>
      <c r="P482" s="3" t="s">
        <v>16</v>
      </c>
      <c r="Q482" s="3" t="s">
        <v>1078</v>
      </c>
      <c r="R482" s="3" t="s">
        <v>58</v>
      </c>
      <c r="S482" s="3" t="s">
        <v>1022</v>
      </c>
      <c r="T482" s="3">
        <v>1</v>
      </c>
      <c r="U482" s="3">
        <f>CAPSTONE_PROJECT[[#This Row],[Discharge Date]]-CAPSTONE_PROJECT[[#This Row],[Admission Date]]</f>
        <v>12</v>
      </c>
      <c r="V482" s="6">
        <f>SUM(CAPSTONE_PROJECT[[#This Row],[Room Cost]:[Treatment Cost]])</f>
        <v>18293.52</v>
      </c>
      <c r="W482" s="6">
        <f t="shared" si="7"/>
        <v>1524.46</v>
      </c>
      <c r="X482" s="3" t="str">
        <f>TEXT(CAPSTONE_PROJECT[[#This Row],[Admission Date]],"mmmm")</f>
        <v>February</v>
      </c>
      <c r="Y482" s="3" t="str">
        <f>TEXT(CAPSTONE_PROJECT[[#This Row],[Admission Date]],"yyyy")</f>
        <v>2024</v>
      </c>
      <c r="Z482" s="3" t="str">
        <f>TEXT(CAPSTONE_PROJECT[[#This Row],[Admission Date]],"mmm yyyy")</f>
        <v>Feb 2024</v>
      </c>
      <c r="AA482" s="3" t="str">
        <f>TEXT(CAPSTONE_PROJECT[[#This Row],[Admission Date]],"dddd")</f>
        <v>Tuesday</v>
      </c>
      <c r="AB482" s="3" t="str">
        <f>IF(CAPSTONE_PROJECT[[#This Row],[Age]]&lt;=34,"Young Adults",IF(CAPSTONE_PROJECT[[#This Row],[Age]]&lt;=59,"Adults","Elders"))</f>
        <v>Adults</v>
      </c>
      <c r="AC482" s="3" t="str">
        <f>_xlfn.XLOOKUP(CAPSTONE_PROJECT[[#This Row],[Patient ID]],'Lookup table'!A:A,'Lookup table'!B:B,,0)</f>
        <v>Benjamin U Green</v>
      </c>
      <c r="AD482" s="3" t="str">
        <f>_xlfn.XLOOKUP(CAPSTONE_PROJECT[[#This Row],[Patient ID]],'Lookup table'!A:A,'Lookup table'!C:C,,0)</f>
        <v>Male</v>
      </c>
      <c r="AE482" s="3" t="str">
        <f>IF(CAPSTONE_PROJECT[[#This Row],[Length of Stay]]&lt;=3,"Short Stay",IF(CAPSTONE_PROJECT[[#This Row],[Length of Stay]]&lt;=7,"Moderate Stay",IF(CAPSTONE_PROJECT[[#This Row],[Length of Stay]]&lt;=14,"Long Stay","Extended Stay")))</f>
        <v>Long Stay</v>
      </c>
    </row>
    <row r="483" spans="1:31" x14ac:dyDescent="0.3">
      <c r="A483" s="3" t="s">
        <v>1023</v>
      </c>
      <c r="B483" s="4">
        <v>45515</v>
      </c>
      <c r="C483" s="4">
        <v>45524</v>
      </c>
      <c r="D483" s="4">
        <v>18712</v>
      </c>
      <c r="E483" s="3">
        <v>75</v>
      </c>
      <c r="F483" s="3" t="s">
        <v>18</v>
      </c>
      <c r="G483" s="3" t="s">
        <v>61</v>
      </c>
      <c r="H483" s="3" t="s">
        <v>29</v>
      </c>
      <c r="I483" s="3" t="s">
        <v>37</v>
      </c>
      <c r="J483" s="3" t="s">
        <v>45</v>
      </c>
      <c r="K483" s="3" t="s">
        <v>65</v>
      </c>
      <c r="L483" s="6">
        <v>3843.02</v>
      </c>
      <c r="M483" s="6">
        <v>735.92</v>
      </c>
      <c r="N483" s="6">
        <v>1893.2</v>
      </c>
      <c r="O483" s="6">
        <v>14032.81</v>
      </c>
      <c r="P483" s="3" t="s">
        <v>51</v>
      </c>
      <c r="Q483" s="3" t="s">
        <v>1085</v>
      </c>
      <c r="R483" s="3" t="s">
        <v>102</v>
      </c>
      <c r="S483" s="3" t="s">
        <v>1024</v>
      </c>
      <c r="T483" s="3">
        <v>8</v>
      </c>
      <c r="U483" s="3">
        <f>CAPSTONE_PROJECT[[#This Row],[Discharge Date]]-CAPSTONE_PROJECT[[#This Row],[Admission Date]]</f>
        <v>9</v>
      </c>
      <c r="V483" s="6">
        <f>SUM(CAPSTONE_PROJECT[[#This Row],[Room Cost]:[Treatment Cost]])</f>
        <v>20504.949999999997</v>
      </c>
      <c r="W483" s="6">
        <f t="shared" si="7"/>
        <v>2278.3277777777776</v>
      </c>
      <c r="X483" s="3" t="str">
        <f>TEXT(CAPSTONE_PROJECT[[#This Row],[Admission Date]],"mmmm")</f>
        <v>August</v>
      </c>
      <c r="Y483" s="3" t="str">
        <f>TEXT(CAPSTONE_PROJECT[[#This Row],[Admission Date]],"yyyy")</f>
        <v>2024</v>
      </c>
      <c r="Z483" s="3" t="str">
        <f>TEXT(CAPSTONE_PROJECT[[#This Row],[Admission Date]],"mmm yyyy")</f>
        <v>Aug 2024</v>
      </c>
      <c r="AA483" s="3" t="str">
        <f>TEXT(CAPSTONE_PROJECT[[#This Row],[Admission Date]],"dddd")</f>
        <v>Sunday</v>
      </c>
      <c r="AB483" s="3" t="str">
        <f>IF(CAPSTONE_PROJECT[[#This Row],[Age]]&lt;=34,"Young Adults",IF(CAPSTONE_PROJECT[[#This Row],[Age]]&lt;=59,"Adults","Elders"))</f>
        <v>Elders</v>
      </c>
      <c r="AC483" s="3" t="str">
        <f>_xlfn.XLOOKUP(CAPSTONE_PROJECT[[#This Row],[Patient ID]],'Lookup table'!A:A,'Lookup table'!B:B,,0)</f>
        <v>Emma V Thompson</v>
      </c>
      <c r="AD483" s="3" t="str">
        <f>_xlfn.XLOOKUP(CAPSTONE_PROJECT[[#This Row],[Patient ID]],'Lookup table'!A:A,'Lookup table'!C:C,,0)</f>
        <v>Female</v>
      </c>
      <c r="AE483" s="3" t="str">
        <f>IF(CAPSTONE_PROJECT[[#This Row],[Length of Stay]]&lt;=3,"Short Stay",IF(CAPSTONE_PROJECT[[#This Row],[Length of Stay]]&lt;=7,"Moderate Stay",IF(CAPSTONE_PROJECT[[#This Row],[Length of Stay]]&lt;=14,"Long Stay","Extended Stay")))</f>
        <v>Long Stay</v>
      </c>
    </row>
    <row r="484" spans="1:31" x14ac:dyDescent="0.3">
      <c r="A484" s="3" t="s">
        <v>1025</v>
      </c>
      <c r="B484" s="4">
        <v>45531</v>
      </c>
      <c r="C484" s="4">
        <v>45543</v>
      </c>
      <c r="D484" s="4">
        <v>25940</v>
      </c>
      <c r="E484" s="3">
        <v>55</v>
      </c>
      <c r="F484" s="3" t="s">
        <v>47</v>
      </c>
      <c r="G484" s="3" t="s">
        <v>67</v>
      </c>
      <c r="H484" s="3" t="s">
        <v>21</v>
      </c>
      <c r="I484" s="3" t="s">
        <v>22</v>
      </c>
      <c r="J484" s="3" t="s">
        <v>23</v>
      </c>
      <c r="K484" s="3" t="s">
        <v>15</v>
      </c>
      <c r="L484" s="6">
        <v>3265.96</v>
      </c>
      <c r="M484" s="6">
        <v>1379.82</v>
      </c>
      <c r="N484" s="6">
        <v>1968.11</v>
      </c>
      <c r="O484" s="6">
        <v>13684.48</v>
      </c>
      <c r="P484" s="3" t="s">
        <v>25</v>
      </c>
      <c r="Q484" s="3" t="s">
        <v>1087</v>
      </c>
      <c r="R484" s="3" t="s">
        <v>62</v>
      </c>
      <c r="S484" s="3" t="s">
        <v>1026</v>
      </c>
      <c r="T484" s="3">
        <v>10</v>
      </c>
      <c r="U484" s="3">
        <f>CAPSTONE_PROJECT[[#This Row],[Discharge Date]]-CAPSTONE_PROJECT[[#This Row],[Admission Date]]</f>
        <v>12</v>
      </c>
      <c r="V484" s="6">
        <f>SUM(CAPSTONE_PROJECT[[#This Row],[Room Cost]:[Treatment Cost]])</f>
        <v>20298.37</v>
      </c>
      <c r="W484" s="6">
        <f t="shared" si="7"/>
        <v>1691.5308333333332</v>
      </c>
      <c r="X484" s="3" t="str">
        <f>TEXT(CAPSTONE_PROJECT[[#This Row],[Admission Date]],"mmmm")</f>
        <v>August</v>
      </c>
      <c r="Y484" s="3" t="str">
        <f>TEXT(CAPSTONE_PROJECT[[#This Row],[Admission Date]],"yyyy")</f>
        <v>2024</v>
      </c>
      <c r="Z484" s="3" t="str">
        <f>TEXT(CAPSTONE_PROJECT[[#This Row],[Admission Date]],"mmm yyyy")</f>
        <v>Aug 2024</v>
      </c>
      <c r="AA484" s="3" t="str">
        <f>TEXT(CAPSTONE_PROJECT[[#This Row],[Admission Date]],"dddd")</f>
        <v>Tuesday</v>
      </c>
      <c r="AB484" s="3" t="str">
        <f>IF(CAPSTONE_PROJECT[[#This Row],[Age]]&lt;=34,"Young Adults",IF(CAPSTONE_PROJECT[[#This Row],[Age]]&lt;=59,"Adults","Elders"))</f>
        <v>Adults</v>
      </c>
      <c r="AC484" s="3" t="str">
        <f>_xlfn.XLOOKUP(CAPSTONE_PROJECT[[#This Row],[Patient ID]],'Lookup table'!A:A,'Lookup table'!B:B,,0)</f>
        <v>Leo Green</v>
      </c>
      <c r="AD484" s="3" t="str">
        <f>_xlfn.XLOOKUP(CAPSTONE_PROJECT[[#This Row],[Patient ID]],'Lookup table'!A:A,'Lookup table'!C:C,,0)</f>
        <v>Male</v>
      </c>
      <c r="AE484" s="3" t="str">
        <f>IF(CAPSTONE_PROJECT[[#This Row],[Length of Stay]]&lt;=3,"Short Stay",IF(CAPSTONE_PROJECT[[#This Row],[Length of Stay]]&lt;=7,"Moderate Stay",IF(CAPSTONE_PROJECT[[#This Row],[Length of Stay]]&lt;=14,"Long Stay","Extended Stay")))</f>
        <v>Long Stay</v>
      </c>
    </row>
    <row r="485" spans="1:31" x14ac:dyDescent="0.3">
      <c r="A485" s="3" t="s">
        <v>1027</v>
      </c>
      <c r="B485" s="4">
        <v>45440</v>
      </c>
      <c r="C485" s="4">
        <v>45458</v>
      </c>
      <c r="D485" s="4">
        <v>37144</v>
      </c>
      <c r="E485" s="3">
        <v>24</v>
      </c>
      <c r="F485" s="3" t="s">
        <v>18</v>
      </c>
      <c r="G485" s="3" t="s">
        <v>78</v>
      </c>
      <c r="H485" s="3" t="s">
        <v>29</v>
      </c>
      <c r="I485" s="3" t="s">
        <v>44</v>
      </c>
      <c r="J485" s="3" t="s">
        <v>15</v>
      </c>
      <c r="K485" s="3" t="s">
        <v>65</v>
      </c>
      <c r="L485" s="6">
        <v>387</v>
      </c>
      <c r="M485" s="6">
        <v>995.75</v>
      </c>
      <c r="N485" s="6">
        <v>684.04</v>
      </c>
      <c r="O485" s="6">
        <v>7803.22</v>
      </c>
      <c r="P485" s="3" t="s">
        <v>51</v>
      </c>
      <c r="Q485" s="3" t="s">
        <v>1087</v>
      </c>
      <c r="R485" s="3" t="s">
        <v>102</v>
      </c>
      <c r="S485" s="3" t="s">
        <v>1028</v>
      </c>
      <c r="T485" s="3">
        <v>2</v>
      </c>
      <c r="U485" s="3">
        <f>CAPSTONE_PROJECT[[#This Row],[Discharge Date]]-CAPSTONE_PROJECT[[#This Row],[Admission Date]]</f>
        <v>18</v>
      </c>
      <c r="V485" s="6">
        <f>SUM(CAPSTONE_PROJECT[[#This Row],[Room Cost]:[Treatment Cost]])</f>
        <v>9870.01</v>
      </c>
      <c r="W485" s="6">
        <f t="shared" si="7"/>
        <v>548.33388888888885</v>
      </c>
      <c r="X485" s="3" t="str">
        <f>TEXT(CAPSTONE_PROJECT[[#This Row],[Admission Date]],"mmmm")</f>
        <v>May</v>
      </c>
      <c r="Y485" s="3" t="str">
        <f>TEXT(CAPSTONE_PROJECT[[#This Row],[Admission Date]],"yyyy")</f>
        <v>2024</v>
      </c>
      <c r="Z485" s="3" t="str">
        <f>TEXT(CAPSTONE_PROJECT[[#This Row],[Admission Date]],"mmm yyyy")</f>
        <v>May 2024</v>
      </c>
      <c r="AA485" s="3" t="str">
        <f>TEXT(CAPSTONE_PROJECT[[#This Row],[Admission Date]],"dddd")</f>
        <v>Tuesday</v>
      </c>
      <c r="AB485" s="3" t="str">
        <f>IF(CAPSTONE_PROJECT[[#This Row],[Age]]&lt;=34,"Young Adults",IF(CAPSTONE_PROJECT[[#This Row],[Age]]&lt;=59,"Adults","Elders"))</f>
        <v>Young Adults</v>
      </c>
      <c r="AC485" s="3" t="str">
        <f>_xlfn.XLOOKUP(CAPSTONE_PROJECT[[#This Row],[Patient ID]],'Lookup table'!A:A,'Lookup table'!B:B,,0)</f>
        <v>Grace Clarke</v>
      </c>
      <c r="AD485" s="3" t="str">
        <f>_xlfn.XLOOKUP(CAPSTONE_PROJECT[[#This Row],[Patient ID]],'Lookup table'!A:A,'Lookup table'!C:C,,0)</f>
        <v>Female</v>
      </c>
      <c r="AE485" s="3" t="str">
        <f>IF(CAPSTONE_PROJECT[[#This Row],[Length of Stay]]&lt;=3,"Short Stay",IF(CAPSTONE_PROJECT[[#This Row],[Length of Stay]]&lt;=7,"Moderate Stay",IF(CAPSTONE_PROJECT[[#This Row],[Length of Stay]]&lt;=14,"Long Stay","Extended Stay")))</f>
        <v>Extended Stay</v>
      </c>
    </row>
    <row r="486" spans="1:31" x14ac:dyDescent="0.3">
      <c r="A486" s="3" t="s">
        <v>1029</v>
      </c>
      <c r="B486" s="4">
        <v>45949</v>
      </c>
      <c r="C486" s="4">
        <v>45964</v>
      </c>
      <c r="D486" s="4">
        <v>34151</v>
      </c>
      <c r="E486" s="3">
        <v>32</v>
      </c>
      <c r="F486" s="3" t="s">
        <v>18</v>
      </c>
      <c r="G486" s="3" t="s">
        <v>57</v>
      </c>
      <c r="H486" s="3" t="s">
        <v>114</v>
      </c>
      <c r="I486" s="3" t="s">
        <v>22</v>
      </c>
      <c r="J486" s="3" t="s">
        <v>15</v>
      </c>
      <c r="K486" s="3" t="s">
        <v>50</v>
      </c>
      <c r="L486" s="6">
        <v>3690.13</v>
      </c>
      <c r="M486" s="6">
        <v>1184.23</v>
      </c>
      <c r="N486" s="6">
        <v>2239.67</v>
      </c>
      <c r="O486" s="6">
        <v>12455.27</v>
      </c>
      <c r="P486" s="3" t="s">
        <v>51</v>
      </c>
      <c r="Q486" s="3" t="s">
        <v>1077</v>
      </c>
      <c r="R486" s="3" t="s">
        <v>41</v>
      </c>
      <c r="S486" s="3" t="s">
        <v>1030</v>
      </c>
      <c r="T486" s="3">
        <v>6</v>
      </c>
      <c r="U486" s="3">
        <f>CAPSTONE_PROJECT[[#This Row],[Discharge Date]]-CAPSTONE_PROJECT[[#This Row],[Admission Date]]</f>
        <v>15</v>
      </c>
      <c r="V486" s="6">
        <f>SUM(CAPSTONE_PROJECT[[#This Row],[Room Cost]:[Treatment Cost]])</f>
        <v>19569.300000000003</v>
      </c>
      <c r="W486" s="6">
        <f t="shared" si="7"/>
        <v>1304.6200000000001</v>
      </c>
      <c r="X486" s="3" t="str">
        <f>TEXT(CAPSTONE_PROJECT[[#This Row],[Admission Date]],"mmmm")</f>
        <v>October</v>
      </c>
      <c r="Y486" s="3" t="str">
        <f>TEXT(CAPSTONE_PROJECT[[#This Row],[Admission Date]],"yyyy")</f>
        <v>2025</v>
      </c>
      <c r="Z486" s="3" t="str">
        <f>TEXT(CAPSTONE_PROJECT[[#This Row],[Admission Date]],"mmm yyyy")</f>
        <v>Oct 2025</v>
      </c>
      <c r="AA486" s="3" t="str">
        <f>TEXT(CAPSTONE_PROJECT[[#This Row],[Admission Date]],"dddd")</f>
        <v>Sunday</v>
      </c>
      <c r="AB486" s="3" t="str">
        <f>IF(CAPSTONE_PROJECT[[#This Row],[Age]]&lt;=34,"Young Adults",IF(CAPSTONE_PROJECT[[#This Row],[Age]]&lt;=59,"Adults","Elders"))</f>
        <v>Young Adults</v>
      </c>
      <c r="AC486" s="3" t="str">
        <f>_xlfn.XLOOKUP(CAPSTONE_PROJECT[[#This Row],[Patient ID]],'Lookup table'!A:A,'Lookup table'!B:B,,0)</f>
        <v>Leo T Smith</v>
      </c>
      <c r="AD486" s="3" t="str">
        <f>_xlfn.XLOOKUP(CAPSTONE_PROJECT[[#This Row],[Patient ID]],'Lookup table'!A:A,'Lookup table'!C:C,,0)</f>
        <v>Male</v>
      </c>
      <c r="AE486" s="3" t="str">
        <f>IF(CAPSTONE_PROJECT[[#This Row],[Length of Stay]]&lt;=3,"Short Stay",IF(CAPSTONE_PROJECT[[#This Row],[Length of Stay]]&lt;=7,"Moderate Stay",IF(CAPSTONE_PROJECT[[#This Row],[Length of Stay]]&lt;=14,"Long Stay","Extended Stay")))</f>
        <v>Extended Stay</v>
      </c>
    </row>
    <row r="487" spans="1:31" x14ac:dyDescent="0.3">
      <c r="A487" s="3" t="s">
        <v>1031</v>
      </c>
      <c r="B487" s="4">
        <v>45984</v>
      </c>
      <c r="C487" s="4">
        <v>45989</v>
      </c>
      <c r="D487" s="4">
        <v>30120</v>
      </c>
      <c r="E487" s="3">
        <v>43</v>
      </c>
      <c r="F487" s="3" t="s">
        <v>33</v>
      </c>
      <c r="G487" s="3" t="s">
        <v>53</v>
      </c>
      <c r="H487" s="3" t="s">
        <v>111</v>
      </c>
      <c r="I487" s="3" t="s">
        <v>22</v>
      </c>
      <c r="J487" s="3" t="s">
        <v>64</v>
      </c>
      <c r="K487" s="3" t="s">
        <v>24</v>
      </c>
      <c r="L487" s="6">
        <v>2326.87</v>
      </c>
      <c r="M487" s="6">
        <v>337.03</v>
      </c>
      <c r="N487" s="6">
        <v>2433.83</v>
      </c>
      <c r="O487" s="6">
        <v>14508.04</v>
      </c>
      <c r="P487" s="3" t="s">
        <v>16</v>
      </c>
      <c r="Q487" s="3" t="s">
        <v>1077</v>
      </c>
      <c r="R487" s="3" t="s">
        <v>19</v>
      </c>
      <c r="S487" s="3" t="s">
        <v>1032</v>
      </c>
      <c r="T487" s="3">
        <v>7</v>
      </c>
      <c r="U487" s="3">
        <f>CAPSTONE_PROJECT[[#This Row],[Discharge Date]]-CAPSTONE_PROJECT[[#This Row],[Admission Date]]</f>
        <v>5</v>
      </c>
      <c r="V487" s="6">
        <f>SUM(CAPSTONE_PROJECT[[#This Row],[Room Cost]:[Treatment Cost]])</f>
        <v>19605.77</v>
      </c>
      <c r="W487" s="6">
        <f t="shared" si="7"/>
        <v>3921.154</v>
      </c>
      <c r="X487" s="3" t="str">
        <f>TEXT(CAPSTONE_PROJECT[[#This Row],[Admission Date]],"mmmm")</f>
        <v>November</v>
      </c>
      <c r="Y487" s="3" t="str">
        <f>TEXT(CAPSTONE_PROJECT[[#This Row],[Admission Date]],"yyyy")</f>
        <v>2025</v>
      </c>
      <c r="Z487" s="3" t="str">
        <f>TEXT(CAPSTONE_PROJECT[[#This Row],[Admission Date]],"mmm yyyy")</f>
        <v>Nov 2025</v>
      </c>
      <c r="AA487" s="3" t="str">
        <f>TEXT(CAPSTONE_PROJECT[[#This Row],[Admission Date]],"dddd")</f>
        <v>Sunday</v>
      </c>
      <c r="AB487" s="3" t="str">
        <f>IF(CAPSTONE_PROJECT[[#This Row],[Age]]&lt;=34,"Young Adults",IF(CAPSTONE_PROJECT[[#This Row],[Age]]&lt;=59,"Adults","Elders"))</f>
        <v>Adults</v>
      </c>
      <c r="AC487" s="3" t="str">
        <f>_xlfn.XLOOKUP(CAPSTONE_PROJECT[[#This Row],[Patient ID]],'Lookup table'!A:A,'Lookup table'!B:B,,0)</f>
        <v>Emma U Jones</v>
      </c>
      <c r="AD487" s="3" t="str">
        <f>_xlfn.XLOOKUP(CAPSTONE_PROJECT[[#This Row],[Patient ID]],'Lookup table'!A:A,'Lookup table'!C:C,,0)</f>
        <v>Female</v>
      </c>
      <c r="AE487" s="3" t="str">
        <f>IF(CAPSTONE_PROJECT[[#This Row],[Length of Stay]]&lt;=3,"Short Stay",IF(CAPSTONE_PROJECT[[#This Row],[Length of Stay]]&lt;=7,"Moderate Stay",IF(CAPSTONE_PROJECT[[#This Row],[Length of Stay]]&lt;=14,"Long Stay","Extended Stay")))</f>
        <v>Moderate Stay</v>
      </c>
    </row>
    <row r="488" spans="1:31" x14ac:dyDescent="0.3">
      <c r="A488" s="3" t="s">
        <v>1033</v>
      </c>
      <c r="B488" s="4">
        <v>45322</v>
      </c>
      <c r="C488" s="4">
        <v>45328</v>
      </c>
      <c r="D488" s="4">
        <v>31075</v>
      </c>
      <c r="E488" s="3">
        <v>41</v>
      </c>
      <c r="F488" s="3" t="s">
        <v>33</v>
      </c>
      <c r="G488" s="3" t="s">
        <v>57</v>
      </c>
      <c r="H488" s="3" t="s">
        <v>1080</v>
      </c>
      <c r="I488" s="3" t="s">
        <v>37</v>
      </c>
      <c r="J488" s="3" t="s">
        <v>73</v>
      </c>
      <c r="K488" s="3" t="s">
        <v>15</v>
      </c>
      <c r="L488" s="6">
        <v>2395.0100000000002</v>
      </c>
      <c r="M488" s="6">
        <v>1339.33</v>
      </c>
      <c r="N488" s="6">
        <v>2548.0700000000002</v>
      </c>
      <c r="O488" s="6">
        <v>9202.99</v>
      </c>
      <c r="P488" s="3" t="s">
        <v>16</v>
      </c>
      <c r="Q488" s="3" t="s">
        <v>1077</v>
      </c>
      <c r="R488" s="3" t="s">
        <v>102</v>
      </c>
      <c r="S488" s="3" t="s">
        <v>1034</v>
      </c>
      <c r="T488" s="3">
        <v>7</v>
      </c>
      <c r="U488" s="3">
        <f>CAPSTONE_PROJECT[[#This Row],[Discharge Date]]-CAPSTONE_PROJECT[[#This Row],[Admission Date]]</f>
        <v>6</v>
      </c>
      <c r="V488" s="6">
        <f>SUM(CAPSTONE_PROJECT[[#This Row],[Room Cost]:[Treatment Cost]])</f>
        <v>15485.4</v>
      </c>
      <c r="W488" s="6">
        <f t="shared" si="7"/>
        <v>2580.9</v>
      </c>
      <c r="X488" s="3" t="str">
        <f>TEXT(CAPSTONE_PROJECT[[#This Row],[Admission Date]],"mmmm")</f>
        <v>January</v>
      </c>
      <c r="Y488" s="3" t="str">
        <f>TEXT(CAPSTONE_PROJECT[[#This Row],[Admission Date]],"yyyy")</f>
        <v>2024</v>
      </c>
      <c r="Z488" s="3" t="str">
        <f>TEXT(CAPSTONE_PROJECT[[#This Row],[Admission Date]],"mmm yyyy")</f>
        <v>Jan 2024</v>
      </c>
      <c r="AA488" s="3" t="str">
        <f>TEXT(CAPSTONE_PROJECT[[#This Row],[Admission Date]],"dddd")</f>
        <v>Wednesday</v>
      </c>
      <c r="AB488" s="3" t="str">
        <f>IF(CAPSTONE_PROJECT[[#This Row],[Age]]&lt;=34,"Young Adults",IF(CAPSTONE_PROJECT[[#This Row],[Age]]&lt;=59,"Adults","Elders"))</f>
        <v>Adults</v>
      </c>
      <c r="AC488" s="3" t="str">
        <f>_xlfn.XLOOKUP(CAPSTONE_PROJECT[[#This Row],[Patient ID]],'Lookup table'!A:A,'Lookup table'!B:B,,0)</f>
        <v>Ethan Robinson</v>
      </c>
      <c r="AD488" s="3" t="str">
        <f>_xlfn.XLOOKUP(CAPSTONE_PROJECT[[#This Row],[Patient ID]],'Lookup table'!A:A,'Lookup table'!C:C,,0)</f>
        <v>Male</v>
      </c>
      <c r="AE488" s="3" t="str">
        <f>IF(CAPSTONE_PROJECT[[#This Row],[Length of Stay]]&lt;=3,"Short Stay",IF(CAPSTONE_PROJECT[[#This Row],[Length of Stay]]&lt;=7,"Moderate Stay",IF(CAPSTONE_PROJECT[[#This Row],[Length of Stay]]&lt;=14,"Long Stay","Extended Stay")))</f>
        <v>Moderate Stay</v>
      </c>
    </row>
    <row r="489" spans="1:31" x14ac:dyDescent="0.3">
      <c r="A489" s="3" t="s">
        <v>1035</v>
      </c>
      <c r="B489" s="4">
        <v>45473</v>
      </c>
      <c r="C489" s="4">
        <v>45490</v>
      </c>
      <c r="D489" s="4">
        <v>27235</v>
      </c>
      <c r="E489" s="3">
        <v>51</v>
      </c>
      <c r="F489" s="3" t="s">
        <v>33</v>
      </c>
      <c r="G489" s="3" t="s">
        <v>139</v>
      </c>
      <c r="H489" s="3" t="s">
        <v>72</v>
      </c>
      <c r="I489" s="3" t="s">
        <v>37</v>
      </c>
      <c r="J489" s="3" t="s">
        <v>23</v>
      </c>
      <c r="K489" s="3" t="s">
        <v>15</v>
      </c>
      <c r="L489" s="6">
        <v>1257.46</v>
      </c>
      <c r="M489" s="6">
        <v>1196.93</v>
      </c>
      <c r="N489" s="6">
        <v>0</v>
      </c>
      <c r="O489" s="6">
        <v>0</v>
      </c>
      <c r="P489" s="3" t="s">
        <v>16</v>
      </c>
      <c r="Q489" s="3" t="s">
        <v>1087</v>
      </c>
      <c r="R489" s="3" t="s">
        <v>68</v>
      </c>
      <c r="S489" s="3" t="s">
        <v>1036</v>
      </c>
      <c r="T489" s="3">
        <v>6</v>
      </c>
      <c r="U489" s="3">
        <f>CAPSTONE_PROJECT[[#This Row],[Discharge Date]]-CAPSTONE_PROJECT[[#This Row],[Admission Date]]</f>
        <v>17</v>
      </c>
      <c r="V489" s="6">
        <f>SUM(CAPSTONE_PROJECT[[#This Row],[Room Cost]:[Treatment Cost]])</f>
        <v>2454.3900000000003</v>
      </c>
      <c r="W489" s="6">
        <f t="shared" si="7"/>
        <v>144.3758823529412</v>
      </c>
      <c r="X489" s="3" t="str">
        <f>TEXT(CAPSTONE_PROJECT[[#This Row],[Admission Date]],"mmmm")</f>
        <v>June</v>
      </c>
      <c r="Y489" s="3" t="str">
        <f>TEXT(CAPSTONE_PROJECT[[#This Row],[Admission Date]],"yyyy")</f>
        <v>2024</v>
      </c>
      <c r="Z489" s="3" t="str">
        <f>TEXT(CAPSTONE_PROJECT[[#This Row],[Admission Date]],"mmm yyyy")</f>
        <v>Jun 2024</v>
      </c>
      <c r="AA489" s="3" t="str">
        <f>TEXT(CAPSTONE_PROJECT[[#This Row],[Admission Date]],"dddd")</f>
        <v>Sunday</v>
      </c>
      <c r="AB489" s="3" t="str">
        <f>IF(CAPSTONE_PROJECT[[#This Row],[Age]]&lt;=34,"Young Adults",IF(CAPSTONE_PROJECT[[#This Row],[Age]]&lt;=59,"Adults","Elders"))</f>
        <v>Adults</v>
      </c>
      <c r="AC489" s="3" t="str">
        <f>_xlfn.XLOOKUP(CAPSTONE_PROJECT[[#This Row],[Patient ID]],'Lookup table'!A:A,'Lookup table'!B:B,,0)</f>
        <v>Olivia N Taylor</v>
      </c>
      <c r="AD489" s="3" t="str">
        <f>_xlfn.XLOOKUP(CAPSTONE_PROJECT[[#This Row],[Patient ID]],'Lookup table'!A:A,'Lookup table'!C:C,,0)</f>
        <v>Female</v>
      </c>
      <c r="AE489" s="3" t="str">
        <f>IF(CAPSTONE_PROJECT[[#This Row],[Length of Stay]]&lt;=3,"Short Stay",IF(CAPSTONE_PROJECT[[#This Row],[Length of Stay]]&lt;=7,"Moderate Stay",IF(CAPSTONE_PROJECT[[#This Row],[Length of Stay]]&lt;=14,"Long Stay","Extended Stay")))</f>
        <v>Extended Stay</v>
      </c>
    </row>
    <row r="490" spans="1:31" x14ac:dyDescent="0.3">
      <c r="A490" s="3" t="s">
        <v>1037</v>
      </c>
      <c r="B490" s="4">
        <v>45456</v>
      </c>
      <c r="C490" s="4">
        <v>45475</v>
      </c>
      <c r="D490" s="4">
        <v>38170</v>
      </c>
      <c r="E490" s="3">
        <v>21</v>
      </c>
      <c r="F490" s="3" t="s">
        <v>18</v>
      </c>
      <c r="G490" s="3" t="s">
        <v>40</v>
      </c>
      <c r="H490" s="3" t="s">
        <v>21</v>
      </c>
      <c r="I490" s="3" t="s">
        <v>44</v>
      </c>
      <c r="J490" s="3" t="s">
        <v>45</v>
      </c>
      <c r="K490" s="3" t="s">
        <v>15</v>
      </c>
      <c r="L490" s="6">
        <v>794.43</v>
      </c>
      <c r="M490" s="6">
        <v>481.48</v>
      </c>
      <c r="N490" s="6">
        <v>182.73</v>
      </c>
      <c r="O490" s="6">
        <v>2748.19</v>
      </c>
      <c r="P490" s="3" t="s">
        <v>25</v>
      </c>
      <c r="Q490" s="3" t="s">
        <v>1081</v>
      </c>
      <c r="R490" s="3" t="s">
        <v>68</v>
      </c>
      <c r="S490" s="3" t="s">
        <v>1038</v>
      </c>
      <c r="T490" s="3">
        <v>9</v>
      </c>
      <c r="U490" s="3">
        <f>CAPSTONE_PROJECT[[#This Row],[Discharge Date]]-CAPSTONE_PROJECT[[#This Row],[Admission Date]]</f>
        <v>19</v>
      </c>
      <c r="V490" s="6">
        <f>SUM(CAPSTONE_PROJECT[[#This Row],[Room Cost]:[Treatment Cost]])</f>
        <v>4206.83</v>
      </c>
      <c r="W490" s="6">
        <f t="shared" si="7"/>
        <v>221.41210526315788</v>
      </c>
      <c r="X490" s="3" t="str">
        <f>TEXT(CAPSTONE_PROJECT[[#This Row],[Admission Date]],"mmmm")</f>
        <v>June</v>
      </c>
      <c r="Y490" s="3" t="str">
        <f>TEXT(CAPSTONE_PROJECT[[#This Row],[Admission Date]],"yyyy")</f>
        <v>2024</v>
      </c>
      <c r="Z490" s="3" t="str">
        <f>TEXT(CAPSTONE_PROJECT[[#This Row],[Admission Date]],"mmm yyyy")</f>
        <v>Jun 2024</v>
      </c>
      <c r="AA490" s="3" t="str">
        <f>TEXT(CAPSTONE_PROJECT[[#This Row],[Admission Date]],"dddd")</f>
        <v>Thursday</v>
      </c>
      <c r="AB490" s="3" t="str">
        <f>IF(CAPSTONE_PROJECT[[#This Row],[Age]]&lt;=34,"Young Adults",IF(CAPSTONE_PROJECT[[#This Row],[Age]]&lt;=59,"Adults","Elders"))</f>
        <v>Young Adults</v>
      </c>
      <c r="AC490" s="3" t="str">
        <f>_xlfn.XLOOKUP(CAPSTONE_PROJECT[[#This Row],[Patient ID]],'Lookup table'!A:A,'Lookup table'!B:B,,0)</f>
        <v>Michael Wilson</v>
      </c>
      <c r="AD490" s="3" t="str">
        <f>_xlfn.XLOOKUP(CAPSTONE_PROJECT[[#This Row],[Patient ID]],'Lookup table'!A:A,'Lookup table'!C:C,,0)</f>
        <v>Male</v>
      </c>
      <c r="AE490" s="3" t="str">
        <f>IF(CAPSTONE_PROJECT[[#This Row],[Length of Stay]]&lt;=3,"Short Stay",IF(CAPSTONE_PROJECT[[#This Row],[Length of Stay]]&lt;=7,"Moderate Stay",IF(CAPSTONE_PROJECT[[#This Row],[Length of Stay]]&lt;=14,"Long Stay","Extended Stay")))</f>
        <v>Extended Stay</v>
      </c>
    </row>
    <row r="491" spans="1:31" x14ac:dyDescent="0.3">
      <c r="A491" s="3" t="s">
        <v>1039</v>
      </c>
      <c r="B491" s="4">
        <v>45292</v>
      </c>
      <c r="C491" s="4">
        <v>45305</v>
      </c>
      <c r="D491" s="4">
        <v>18542</v>
      </c>
      <c r="E491" s="3">
        <v>75</v>
      </c>
      <c r="F491" s="3" t="s">
        <v>18</v>
      </c>
      <c r="G491" s="3" t="s">
        <v>139</v>
      </c>
      <c r="H491" s="3" t="s">
        <v>100</v>
      </c>
      <c r="I491" s="3" t="s">
        <v>37</v>
      </c>
      <c r="J491" s="3" t="s">
        <v>23</v>
      </c>
      <c r="K491" s="3" t="s">
        <v>24</v>
      </c>
      <c r="L491" s="6">
        <v>3369.4</v>
      </c>
      <c r="M491" s="6">
        <v>156.65</v>
      </c>
      <c r="N491" s="6">
        <v>638.77</v>
      </c>
      <c r="O491" s="6">
        <v>1422.85</v>
      </c>
      <c r="P491" s="3" t="s">
        <v>25</v>
      </c>
      <c r="Q491" s="3" t="s">
        <v>1078</v>
      </c>
      <c r="R491" s="3" t="s">
        <v>19</v>
      </c>
      <c r="S491" s="3" t="s">
        <v>1040</v>
      </c>
      <c r="T491" s="3">
        <v>9</v>
      </c>
      <c r="U491" s="3">
        <f>CAPSTONE_PROJECT[[#This Row],[Discharge Date]]-CAPSTONE_PROJECT[[#This Row],[Admission Date]]</f>
        <v>13</v>
      </c>
      <c r="V491" s="6">
        <f>SUM(CAPSTONE_PROJECT[[#This Row],[Room Cost]:[Treatment Cost]])</f>
        <v>5587.67</v>
      </c>
      <c r="W491" s="6">
        <f t="shared" si="7"/>
        <v>429.82076923076926</v>
      </c>
      <c r="X491" s="3" t="str">
        <f>TEXT(CAPSTONE_PROJECT[[#This Row],[Admission Date]],"mmmm")</f>
        <v>January</v>
      </c>
      <c r="Y491" s="3" t="str">
        <f>TEXT(CAPSTONE_PROJECT[[#This Row],[Admission Date]],"yyyy")</f>
        <v>2024</v>
      </c>
      <c r="Z491" s="3" t="str">
        <f>TEXT(CAPSTONE_PROJECT[[#This Row],[Admission Date]],"mmm yyyy")</f>
        <v>Jan 2024</v>
      </c>
      <c r="AA491" s="3" t="str">
        <f>TEXT(CAPSTONE_PROJECT[[#This Row],[Admission Date]],"dddd")</f>
        <v>Monday</v>
      </c>
      <c r="AB491" s="3" t="str">
        <f>IF(CAPSTONE_PROJECT[[#This Row],[Age]]&lt;=34,"Young Adults",IF(CAPSTONE_PROJECT[[#This Row],[Age]]&lt;=59,"Adults","Elders"))</f>
        <v>Elders</v>
      </c>
      <c r="AC491" s="3" t="str">
        <f>_xlfn.XLOOKUP(CAPSTONE_PROJECT[[#This Row],[Patient ID]],'Lookup table'!A:A,'Lookup table'!B:B,,0)</f>
        <v>Mia White</v>
      </c>
      <c r="AD491" s="3" t="str">
        <f>_xlfn.XLOOKUP(CAPSTONE_PROJECT[[#This Row],[Patient ID]],'Lookup table'!A:A,'Lookup table'!C:C,,0)</f>
        <v>Female</v>
      </c>
      <c r="AE491" s="3" t="str">
        <f>IF(CAPSTONE_PROJECT[[#This Row],[Length of Stay]]&lt;=3,"Short Stay",IF(CAPSTONE_PROJECT[[#This Row],[Length of Stay]]&lt;=7,"Moderate Stay",IF(CAPSTONE_PROJECT[[#This Row],[Length of Stay]]&lt;=14,"Long Stay","Extended Stay")))</f>
        <v>Long Stay</v>
      </c>
    </row>
    <row r="492" spans="1:31" x14ac:dyDescent="0.3">
      <c r="A492" s="3" t="s">
        <v>1041</v>
      </c>
      <c r="B492" s="4">
        <v>45534</v>
      </c>
      <c r="C492" s="4">
        <v>45549</v>
      </c>
      <c r="D492" s="4">
        <v>22768</v>
      </c>
      <c r="E492" s="3">
        <v>64</v>
      </c>
      <c r="F492" s="3" t="s">
        <v>18</v>
      </c>
      <c r="G492" s="3" t="s">
        <v>78</v>
      </c>
      <c r="H492" s="3" t="s">
        <v>72</v>
      </c>
      <c r="I492" s="3" t="s">
        <v>44</v>
      </c>
      <c r="J492" s="3" t="s">
        <v>14</v>
      </c>
      <c r="K492" s="3" t="s">
        <v>24</v>
      </c>
      <c r="L492" s="6">
        <v>3556.16</v>
      </c>
      <c r="M492" s="6">
        <v>1155.01</v>
      </c>
      <c r="N492" s="6">
        <v>2029.42</v>
      </c>
      <c r="O492" s="6">
        <v>9940.59</v>
      </c>
      <c r="P492" s="3" t="s">
        <v>16</v>
      </c>
      <c r="Q492" s="3" t="s">
        <v>1076</v>
      </c>
      <c r="R492" s="3" t="s">
        <v>19</v>
      </c>
      <c r="S492" s="3" t="s">
        <v>1042</v>
      </c>
      <c r="T492" s="3">
        <v>3</v>
      </c>
      <c r="U492" s="3">
        <f>CAPSTONE_PROJECT[[#This Row],[Discharge Date]]-CAPSTONE_PROJECT[[#This Row],[Admission Date]]</f>
        <v>15</v>
      </c>
      <c r="V492" s="6">
        <f>SUM(CAPSTONE_PROJECT[[#This Row],[Room Cost]:[Treatment Cost]])</f>
        <v>16681.18</v>
      </c>
      <c r="W492" s="6">
        <f t="shared" si="7"/>
        <v>1112.0786666666668</v>
      </c>
      <c r="X492" s="3" t="str">
        <f>TEXT(CAPSTONE_PROJECT[[#This Row],[Admission Date]],"mmmm")</f>
        <v>August</v>
      </c>
      <c r="Y492" s="3" t="str">
        <f>TEXT(CAPSTONE_PROJECT[[#This Row],[Admission Date]],"yyyy")</f>
        <v>2024</v>
      </c>
      <c r="Z492" s="3" t="str">
        <f>TEXT(CAPSTONE_PROJECT[[#This Row],[Admission Date]],"mmm yyyy")</f>
        <v>Aug 2024</v>
      </c>
      <c r="AA492" s="3" t="str">
        <f>TEXT(CAPSTONE_PROJECT[[#This Row],[Admission Date]],"dddd")</f>
        <v>Friday</v>
      </c>
      <c r="AB492" s="3" t="str">
        <f>IF(CAPSTONE_PROJECT[[#This Row],[Age]]&lt;=34,"Young Adults",IF(CAPSTONE_PROJECT[[#This Row],[Age]]&lt;=59,"Adults","Elders"))</f>
        <v>Elders</v>
      </c>
      <c r="AC492" s="3" t="str">
        <f>_xlfn.XLOOKUP(CAPSTONE_PROJECT[[#This Row],[Patient ID]],'Lookup table'!A:A,'Lookup table'!B:B,,0)</f>
        <v>Lucas A Robinson</v>
      </c>
      <c r="AD492" s="3" t="str">
        <f>_xlfn.XLOOKUP(CAPSTONE_PROJECT[[#This Row],[Patient ID]],'Lookup table'!A:A,'Lookup table'!C:C,,0)</f>
        <v>Male</v>
      </c>
      <c r="AE492" s="3" t="str">
        <f>IF(CAPSTONE_PROJECT[[#This Row],[Length of Stay]]&lt;=3,"Short Stay",IF(CAPSTONE_PROJECT[[#This Row],[Length of Stay]]&lt;=7,"Moderate Stay",IF(CAPSTONE_PROJECT[[#This Row],[Length of Stay]]&lt;=14,"Long Stay","Extended Stay")))</f>
        <v>Extended Stay</v>
      </c>
    </row>
    <row r="493" spans="1:31" x14ac:dyDescent="0.3">
      <c r="A493" s="3" t="s">
        <v>1043</v>
      </c>
      <c r="B493" s="4">
        <v>45529</v>
      </c>
      <c r="C493" s="4">
        <v>45547</v>
      </c>
      <c r="D493" s="4">
        <v>21759</v>
      </c>
      <c r="E493" s="3">
        <v>66</v>
      </c>
      <c r="F493" s="3" t="s">
        <v>33</v>
      </c>
      <c r="G493" s="3" t="s">
        <v>48</v>
      </c>
      <c r="H493" s="3" t="s">
        <v>72</v>
      </c>
      <c r="I493" s="3" t="s">
        <v>13</v>
      </c>
      <c r="J493" s="3" t="s">
        <v>15</v>
      </c>
      <c r="K493" s="3" t="s">
        <v>15</v>
      </c>
      <c r="L493" s="6">
        <v>3484.09</v>
      </c>
      <c r="M493" s="6">
        <v>1047.8</v>
      </c>
      <c r="N493" s="6">
        <v>2344.15</v>
      </c>
      <c r="O493" s="6">
        <v>9036.11</v>
      </c>
      <c r="P493" s="3" t="s">
        <v>51</v>
      </c>
      <c r="Q493" s="3" t="s">
        <v>1077</v>
      </c>
      <c r="R493" s="3" t="s">
        <v>58</v>
      </c>
      <c r="S493" s="3" t="s">
        <v>1044</v>
      </c>
      <c r="T493" s="3">
        <v>6</v>
      </c>
      <c r="U493" s="3">
        <f>CAPSTONE_PROJECT[[#This Row],[Discharge Date]]-CAPSTONE_PROJECT[[#This Row],[Admission Date]]</f>
        <v>18</v>
      </c>
      <c r="V493" s="6">
        <f>SUM(CAPSTONE_PROJECT[[#This Row],[Room Cost]:[Treatment Cost]])</f>
        <v>15912.150000000001</v>
      </c>
      <c r="W493" s="6">
        <f t="shared" si="7"/>
        <v>884.00833333333344</v>
      </c>
      <c r="X493" s="3" t="str">
        <f>TEXT(CAPSTONE_PROJECT[[#This Row],[Admission Date]],"mmmm")</f>
        <v>August</v>
      </c>
      <c r="Y493" s="3" t="str">
        <f>TEXT(CAPSTONE_PROJECT[[#This Row],[Admission Date]],"yyyy")</f>
        <v>2024</v>
      </c>
      <c r="Z493" s="3" t="str">
        <f>TEXT(CAPSTONE_PROJECT[[#This Row],[Admission Date]],"mmm yyyy")</f>
        <v>Aug 2024</v>
      </c>
      <c r="AA493" s="3" t="str">
        <f>TEXT(CAPSTONE_PROJECT[[#This Row],[Admission Date]],"dddd")</f>
        <v>Sunday</v>
      </c>
      <c r="AB493" s="3" t="str">
        <f>IF(CAPSTONE_PROJECT[[#This Row],[Age]]&lt;=34,"Young Adults",IF(CAPSTONE_PROJECT[[#This Row],[Age]]&lt;=59,"Adults","Elders"))</f>
        <v>Elders</v>
      </c>
      <c r="AC493" s="3" t="str">
        <f>_xlfn.XLOOKUP(CAPSTONE_PROJECT[[#This Row],[Patient ID]],'Lookup table'!A:A,'Lookup table'!B:B,,0)</f>
        <v>Sarah Thompson</v>
      </c>
      <c r="AD493" s="3" t="str">
        <f>_xlfn.XLOOKUP(CAPSTONE_PROJECT[[#This Row],[Patient ID]],'Lookup table'!A:A,'Lookup table'!C:C,,0)</f>
        <v>Female</v>
      </c>
      <c r="AE493" s="3" t="str">
        <f>IF(CAPSTONE_PROJECT[[#This Row],[Length of Stay]]&lt;=3,"Short Stay",IF(CAPSTONE_PROJECT[[#This Row],[Length of Stay]]&lt;=7,"Moderate Stay",IF(CAPSTONE_PROJECT[[#This Row],[Length of Stay]]&lt;=14,"Long Stay","Extended Stay")))</f>
        <v>Extended Stay</v>
      </c>
    </row>
    <row r="494" spans="1:31" x14ac:dyDescent="0.3">
      <c r="A494" s="3" t="s">
        <v>1045</v>
      </c>
      <c r="B494" s="4">
        <v>45294</v>
      </c>
      <c r="C494" s="4">
        <v>45307</v>
      </c>
      <c r="D494" s="4">
        <v>36537</v>
      </c>
      <c r="E494" s="3">
        <v>26</v>
      </c>
      <c r="F494" s="3" t="s">
        <v>8</v>
      </c>
      <c r="G494" s="3" t="s">
        <v>126</v>
      </c>
      <c r="H494" s="3" t="s">
        <v>104</v>
      </c>
      <c r="I494" s="3" t="s">
        <v>13</v>
      </c>
      <c r="J494" s="3" t="s">
        <v>23</v>
      </c>
      <c r="K494" s="3" t="s">
        <v>50</v>
      </c>
      <c r="L494" s="6">
        <v>1268.74</v>
      </c>
      <c r="M494" s="6">
        <v>882.45</v>
      </c>
      <c r="N494" s="6">
        <v>811.39</v>
      </c>
      <c r="O494" s="6">
        <v>2672.7</v>
      </c>
      <c r="P494" s="3" t="s">
        <v>51</v>
      </c>
      <c r="Q494" s="3" t="s">
        <v>1077</v>
      </c>
      <c r="R494" s="3" t="s">
        <v>75</v>
      </c>
      <c r="S494" s="3" t="s">
        <v>1046</v>
      </c>
      <c r="T494" s="3">
        <v>6</v>
      </c>
      <c r="U494" s="3">
        <f>CAPSTONE_PROJECT[[#This Row],[Discharge Date]]-CAPSTONE_PROJECT[[#This Row],[Admission Date]]</f>
        <v>13</v>
      </c>
      <c r="V494" s="6">
        <f>SUM(CAPSTONE_PROJECT[[#This Row],[Room Cost]:[Treatment Cost]])</f>
        <v>5635.28</v>
      </c>
      <c r="W494" s="6">
        <f t="shared" si="7"/>
        <v>433.48307692307691</v>
      </c>
      <c r="X494" s="3" t="str">
        <f>TEXT(CAPSTONE_PROJECT[[#This Row],[Admission Date]],"mmmm")</f>
        <v>January</v>
      </c>
      <c r="Y494" s="3" t="str">
        <f>TEXT(CAPSTONE_PROJECT[[#This Row],[Admission Date]],"yyyy")</f>
        <v>2024</v>
      </c>
      <c r="Z494" s="3" t="str">
        <f>TEXT(CAPSTONE_PROJECT[[#This Row],[Admission Date]],"mmm yyyy")</f>
        <v>Jan 2024</v>
      </c>
      <c r="AA494" s="3" t="str">
        <f>TEXT(CAPSTONE_PROJECT[[#This Row],[Admission Date]],"dddd")</f>
        <v>Wednesday</v>
      </c>
      <c r="AB494" s="3" t="str">
        <f>IF(CAPSTONE_PROJECT[[#This Row],[Age]]&lt;=34,"Young Adults",IF(CAPSTONE_PROJECT[[#This Row],[Age]]&lt;=59,"Adults","Elders"))</f>
        <v>Young Adults</v>
      </c>
      <c r="AC494" s="3" t="str">
        <f>_xlfn.XLOOKUP(CAPSTONE_PROJECT[[#This Row],[Patient ID]],'Lookup table'!A:A,'Lookup table'!B:B,,0)</f>
        <v>Henry Smith</v>
      </c>
      <c r="AD494" s="3" t="str">
        <f>_xlfn.XLOOKUP(CAPSTONE_PROJECT[[#This Row],[Patient ID]],'Lookup table'!A:A,'Lookup table'!C:C,,0)</f>
        <v>Male</v>
      </c>
      <c r="AE494" s="3" t="str">
        <f>IF(CAPSTONE_PROJECT[[#This Row],[Length of Stay]]&lt;=3,"Short Stay",IF(CAPSTONE_PROJECT[[#This Row],[Length of Stay]]&lt;=7,"Moderate Stay",IF(CAPSTONE_PROJECT[[#This Row],[Length of Stay]]&lt;=14,"Long Stay","Extended Stay")))</f>
        <v>Long Stay</v>
      </c>
    </row>
    <row r="495" spans="1:31" x14ac:dyDescent="0.3">
      <c r="A495" s="3" t="s">
        <v>1047</v>
      </c>
      <c r="B495" s="4">
        <v>45915</v>
      </c>
      <c r="C495" s="4">
        <v>45933</v>
      </c>
      <c r="D495" s="4">
        <v>22117</v>
      </c>
      <c r="E495" s="3">
        <v>65</v>
      </c>
      <c r="F495" s="3" t="s">
        <v>18</v>
      </c>
      <c r="G495" s="3" t="s">
        <v>9</v>
      </c>
      <c r="H495" s="3" t="s">
        <v>12</v>
      </c>
      <c r="I495" s="3" t="s">
        <v>44</v>
      </c>
      <c r="J495" s="3" t="s">
        <v>30</v>
      </c>
      <c r="K495" s="3" t="s">
        <v>24</v>
      </c>
      <c r="L495" s="6">
        <v>4350.3500000000004</v>
      </c>
      <c r="M495" s="6">
        <v>187.36</v>
      </c>
      <c r="N495" s="6">
        <v>658.22</v>
      </c>
      <c r="O495" s="6">
        <v>15098.42</v>
      </c>
      <c r="P495" s="3" t="s">
        <v>51</v>
      </c>
      <c r="Q495" s="3" t="s">
        <v>1078</v>
      </c>
      <c r="R495" s="3" t="s">
        <v>35</v>
      </c>
      <c r="S495" s="3" t="s">
        <v>1048</v>
      </c>
      <c r="T495" s="3">
        <v>1</v>
      </c>
      <c r="U495" s="3">
        <f>CAPSTONE_PROJECT[[#This Row],[Discharge Date]]-CAPSTONE_PROJECT[[#This Row],[Admission Date]]</f>
        <v>18</v>
      </c>
      <c r="V495" s="6">
        <f>SUM(CAPSTONE_PROJECT[[#This Row],[Room Cost]:[Treatment Cost]])</f>
        <v>20294.349999999999</v>
      </c>
      <c r="W495" s="6">
        <f t="shared" si="7"/>
        <v>1127.4638888888887</v>
      </c>
      <c r="X495" s="3" t="str">
        <f>TEXT(CAPSTONE_PROJECT[[#This Row],[Admission Date]],"mmmm")</f>
        <v>September</v>
      </c>
      <c r="Y495" s="3" t="str">
        <f>TEXT(CAPSTONE_PROJECT[[#This Row],[Admission Date]],"yyyy")</f>
        <v>2025</v>
      </c>
      <c r="Z495" s="3" t="str">
        <f>TEXT(CAPSTONE_PROJECT[[#This Row],[Admission Date]],"mmm yyyy")</f>
        <v>Sep 2025</v>
      </c>
      <c r="AA495" s="3" t="str">
        <f>TEXT(CAPSTONE_PROJECT[[#This Row],[Admission Date]],"dddd")</f>
        <v>Monday</v>
      </c>
      <c r="AB495" s="3" t="str">
        <f>IF(CAPSTONE_PROJECT[[#This Row],[Age]]&lt;=34,"Young Adults",IF(CAPSTONE_PROJECT[[#This Row],[Age]]&lt;=59,"Adults","Elders"))</f>
        <v>Elders</v>
      </c>
      <c r="AC495" s="3" t="str">
        <f>_xlfn.XLOOKUP(CAPSTONE_PROJECT[[#This Row],[Patient ID]],'Lookup table'!A:A,'Lookup table'!B:B,,0)</f>
        <v>Ava L Evans</v>
      </c>
      <c r="AD495" s="3" t="str">
        <f>_xlfn.XLOOKUP(CAPSTONE_PROJECT[[#This Row],[Patient ID]],'Lookup table'!A:A,'Lookup table'!C:C,,0)</f>
        <v>Female</v>
      </c>
      <c r="AE495" s="3" t="str">
        <f>IF(CAPSTONE_PROJECT[[#This Row],[Length of Stay]]&lt;=3,"Short Stay",IF(CAPSTONE_PROJECT[[#This Row],[Length of Stay]]&lt;=7,"Moderate Stay",IF(CAPSTONE_PROJECT[[#This Row],[Length of Stay]]&lt;=14,"Long Stay","Extended Stay")))</f>
        <v>Extended Stay</v>
      </c>
    </row>
    <row r="496" spans="1:31" x14ac:dyDescent="0.3">
      <c r="A496" s="3" t="s">
        <v>1049</v>
      </c>
      <c r="B496" s="4">
        <v>45811</v>
      </c>
      <c r="C496" s="4">
        <v>45826</v>
      </c>
      <c r="D496" s="4">
        <v>26986</v>
      </c>
      <c r="E496" s="3">
        <v>52</v>
      </c>
      <c r="F496" s="3" t="s">
        <v>18</v>
      </c>
      <c r="G496" s="3" t="s">
        <v>126</v>
      </c>
      <c r="H496" s="3" t="s">
        <v>43</v>
      </c>
      <c r="I496" s="3" t="s">
        <v>37</v>
      </c>
      <c r="J496" s="3" t="s">
        <v>38</v>
      </c>
      <c r="K496" s="3" t="s">
        <v>15</v>
      </c>
      <c r="L496" s="6">
        <v>4898.53</v>
      </c>
      <c r="M496" s="6">
        <v>1079.8599999999999</v>
      </c>
      <c r="N496" s="6">
        <v>806.53</v>
      </c>
      <c r="O496" s="6">
        <v>7340.98</v>
      </c>
      <c r="P496" s="3" t="s">
        <v>25</v>
      </c>
      <c r="Q496" s="3" t="s">
        <v>1082</v>
      </c>
      <c r="R496" s="3" t="s">
        <v>54</v>
      </c>
      <c r="S496" s="3" t="s">
        <v>1050</v>
      </c>
      <c r="T496" s="3">
        <v>9</v>
      </c>
      <c r="U496" s="3">
        <f>CAPSTONE_PROJECT[[#This Row],[Discharge Date]]-CAPSTONE_PROJECT[[#This Row],[Admission Date]]</f>
        <v>15</v>
      </c>
      <c r="V496" s="6">
        <f>SUM(CAPSTONE_PROJECT[[#This Row],[Room Cost]:[Treatment Cost]])</f>
        <v>14125.899999999998</v>
      </c>
      <c r="W496" s="6">
        <f t="shared" si="7"/>
        <v>941.72666666666657</v>
      </c>
      <c r="X496" s="3" t="str">
        <f>TEXT(CAPSTONE_PROJECT[[#This Row],[Admission Date]],"mmmm")</f>
        <v>June</v>
      </c>
      <c r="Y496" s="3" t="str">
        <f>TEXT(CAPSTONE_PROJECT[[#This Row],[Admission Date]],"yyyy")</f>
        <v>2025</v>
      </c>
      <c r="Z496" s="3" t="str">
        <f>TEXT(CAPSTONE_PROJECT[[#This Row],[Admission Date]],"mmm yyyy")</f>
        <v>Jun 2025</v>
      </c>
      <c r="AA496" s="3" t="str">
        <f>TEXT(CAPSTONE_PROJECT[[#This Row],[Admission Date]],"dddd")</f>
        <v>Tuesday</v>
      </c>
      <c r="AB496" s="3" t="str">
        <f>IF(CAPSTONE_PROJECT[[#This Row],[Age]]&lt;=34,"Young Adults",IF(CAPSTONE_PROJECT[[#This Row],[Age]]&lt;=59,"Adults","Elders"))</f>
        <v>Adults</v>
      </c>
      <c r="AC496" s="3" t="str">
        <f>_xlfn.XLOOKUP(CAPSTONE_PROJECT[[#This Row],[Patient ID]],'Lookup table'!A:A,'Lookup table'!B:B,,0)</f>
        <v>Oliver H Thomas</v>
      </c>
      <c r="AD496" s="3" t="str">
        <f>_xlfn.XLOOKUP(CAPSTONE_PROJECT[[#This Row],[Patient ID]],'Lookup table'!A:A,'Lookup table'!C:C,,0)</f>
        <v>Male</v>
      </c>
      <c r="AE496" s="3" t="str">
        <f>IF(CAPSTONE_PROJECT[[#This Row],[Length of Stay]]&lt;=3,"Short Stay",IF(CAPSTONE_PROJECT[[#This Row],[Length of Stay]]&lt;=7,"Moderate Stay",IF(CAPSTONE_PROJECT[[#This Row],[Length of Stay]]&lt;=14,"Long Stay","Extended Stay")))</f>
        <v>Extended Stay</v>
      </c>
    </row>
    <row r="497" spans="1:31" x14ac:dyDescent="0.3">
      <c r="A497" s="3" t="s">
        <v>1051</v>
      </c>
      <c r="B497" s="4">
        <v>45492</v>
      </c>
      <c r="C497" s="4">
        <v>45508</v>
      </c>
      <c r="D497" s="4">
        <v>24004</v>
      </c>
      <c r="E497" s="3">
        <v>60</v>
      </c>
      <c r="F497" s="3" t="s">
        <v>8</v>
      </c>
      <c r="G497" s="3" t="s">
        <v>53</v>
      </c>
      <c r="H497" s="3" t="s">
        <v>43</v>
      </c>
      <c r="I497" s="3" t="s">
        <v>37</v>
      </c>
      <c r="J497" s="3" t="s">
        <v>14</v>
      </c>
      <c r="K497" s="3" t="s">
        <v>24</v>
      </c>
      <c r="L497" s="6">
        <v>2991.25</v>
      </c>
      <c r="M497" s="6">
        <v>581.55999999999995</v>
      </c>
      <c r="N497" s="6">
        <v>1746.35</v>
      </c>
      <c r="O497" s="6">
        <v>9551.91</v>
      </c>
      <c r="P497" s="3" t="s">
        <v>31</v>
      </c>
      <c r="Q497" s="3" t="s">
        <v>1086</v>
      </c>
      <c r="R497" s="3" t="s">
        <v>10</v>
      </c>
      <c r="S497" s="3" t="s">
        <v>1052</v>
      </c>
      <c r="T497" s="3">
        <v>4</v>
      </c>
      <c r="U497" s="3">
        <f>CAPSTONE_PROJECT[[#This Row],[Discharge Date]]-CAPSTONE_PROJECT[[#This Row],[Admission Date]]</f>
        <v>16</v>
      </c>
      <c r="V497" s="6">
        <f>SUM(CAPSTONE_PROJECT[[#This Row],[Room Cost]:[Treatment Cost]])</f>
        <v>14871.07</v>
      </c>
      <c r="W497" s="6">
        <f t="shared" si="7"/>
        <v>929.44187499999998</v>
      </c>
      <c r="X497" s="3" t="str">
        <f>TEXT(CAPSTONE_PROJECT[[#This Row],[Admission Date]],"mmmm")</f>
        <v>July</v>
      </c>
      <c r="Y497" s="3" t="str">
        <f>TEXT(CAPSTONE_PROJECT[[#This Row],[Admission Date]],"yyyy")</f>
        <v>2024</v>
      </c>
      <c r="Z497" s="3" t="str">
        <f>TEXT(CAPSTONE_PROJECT[[#This Row],[Admission Date]],"mmm yyyy")</f>
        <v>Jul 2024</v>
      </c>
      <c r="AA497" s="3" t="str">
        <f>TEXT(CAPSTONE_PROJECT[[#This Row],[Admission Date]],"dddd")</f>
        <v>Friday</v>
      </c>
      <c r="AB497" s="3" t="str">
        <f>IF(CAPSTONE_PROJECT[[#This Row],[Age]]&lt;=34,"Young Adults",IF(CAPSTONE_PROJECT[[#This Row],[Age]]&lt;=59,"Adults","Elders"))</f>
        <v>Elders</v>
      </c>
      <c r="AC497" s="3" t="str">
        <f>_xlfn.XLOOKUP(CAPSTONE_PROJECT[[#This Row],[Patient ID]],'Lookup table'!A:A,'Lookup table'!B:B,,0)</f>
        <v>Emily Hall</v>
      </c>
      <c r="AD497" s="3" t="str">
        <f>_xlfn.XLOOKUP(CAPSTONE_PROJECT[[#This Row],[Patient ID]],'Lookup table'!A:A,'Lookup table'!C:C,,0)</f>
        <v>Female</v>
      </c>
      <c r="AE497" s="3" t="str">
        <f>IF(CAPSTONE_PROJECT[[#This Row],[Length of Stay]]&lt;=3,"Short Stay",IF(CAPSTONE_PROJECT[[#This Row],[Length of Stay]]&lt;=7,"Moderate Stay",IF(CAPSTONE_PROJECT[[#This Row],[Length of Stay]]&lt;=14,"Long Stay","Extended Stay")))</f>
        <v>Extended Stay</v>
      </c>
    </row>
    <row r="498" spans="1:31" x14ac:dyDescent="0.3">
      <c r="A498" s="3" t="s">
        <v>1053</v>
      </c>
      <c r="B498" s="4">
        <v>45435</v>
      </c>
      <c r="C498" s="4">
        <v>45447</v>
      </c>
      <c r="D498" s="4">
        <v>30139</v>
      </c>
      <c r="E498" s="3">
        <v>43</v>
      </c>
      <c r="F498" s="3" t="s">
        <v>18</v>
      </c>
      <c r="G498" s="3" t="s">
        <v>40</v>
      </c>
      <c r="H498" s="3" t="s">
        <v>21</v>
      </c>
      <c r="I498" s="3" t="s">
        <v>22</v>
      </c>
      <c r="J498" s="3" t="s">
        <v>14</v>
      </c>
      <c r="K498" s="3" t="s">
        <v>50</v>
      </c>
      <c r="L498" s="6">
        <v>4076.79</v>
      </c>
      <c r="M498" s="6">
        <v>1972.17</v>
      </c>
      <c r="N498" s="6">
        <v>2902.27</v>
      </c>
      <c r="O498" s="6">
        <v>9994.5</v>
      </c>
      <c r="P498" s="3" t="s">
        <v>51</v>
      </c>
      <c r="Q498" s="3" t="s">
        <v>1081</v>
      </c>
      <c r="R498" s="3" t="s">
        <v>35</v>
      </c>
      <c r="S498" s="3" t="s">
        <v>1054</v>
      </c>
      <c r="T498" s="3">
        <v>10</v>
      </c>
      <c r="U498" s="3">
        <f>CAPSTONE_PROJECT[[#This Row],[Discharge Date]]-CAPSTONE_PROJECT[[#This Row],[Admission Date]]</f>
        <v>12</v>
      </c>
      <c r="V498" s="6">
        <f>SUM(CAPSTONE_PROJECT[[#This Row],[Room Cost]:[Treatment Cost]])</f>
        <v>18945.73</v>
      </c>
      <c r="W498" s="6">
        <f t="shared" si="7"/>
        <v>1578.8108333333332</v>
      </c>
      <c r="X498" s="3" t="str">
        <f>TEXT(CAPSTONE_PROJECT[[#This Row],[Admission Date]],"mmmm")</f>
        <v>May</v>
      </c>
      <c r="Y498" s="3" t="str">
        <f>TEXT(CAPSTONE_PROJECT[[#This Row],[Admission Date]],"yyyy")</f>
        <v>2024</v>
      </c>
      <c r="Z498" s="3" t="str">
        <f>TEXT(CAPSTONE_PROJECT[[#This Row],[Admission Date]],"mmm yyyy")</f>
        <v>May 2024</v>
      </c>
      <c r="AA498" s="3" t="str">
        <f>TEXT(CAPSTONE_PROJECT[[#This Row],[Admission Date]],"dddd")</f>
        <v>Thursday</v>
      </c>
      <c r="AB498" s="3" t="str">
        <f>IF(CAPSTONE_PROJECT[[#This Row],[Age]]&lt;=34,"Young Adults",IF(CAPSTONE_PROJECT[[#This Row],[Age]]&lt;=59,"Adults","Elders"))</f>
        <v>Adults</v>
      </c>
      <c r="AC498" s="3" t="str">
        <f>_xlfn.XLOOKUP(CAPSTONE_PROJECT[[#This Row],[Patient ID]],'Lookup table'!A:A,'Lookup table'!B:B,,0)</f>
        <v>Benjamin White</v>
      </c>
      <c r="AD498" s="3" t="str">
        <f>_xlfn.XLOOKUP(CAPSTONE_PROJECT[[#This Row],[Patient ID]],'Lookup table'!A:A,'Lookup table'!C:C,,0)</f>
        <v>Male</v>
      </c>
      <c r="AE498" s="3" t="str">
        <f>IF(CAPSTONE_PROJECT[[#This Row],[Length of Stay]]&lt;=3,"Short Stay",IF(CAPSTONE_PROJECT[[#This Row],[Length of Stay]]&lt;=7,"Moderate Stay",IF(CAPSTONE_PROJECT[[#This Row],[Length of Stay]]&lt;=14,"Long Stay","Extended Stay")))</f>
        <v>Long Stay</v>
      </c>
    </row>
    <row r="499" spans="1:31" x14ac:dyDescent="0.3">
      <c r="A499" s="3" t="s">
        <v>1055</v>
      </c>
      <c r="B499" s="4">
        <v>46003</v>
      </c>
      <c r="C499" s="4">
        <v>46011</v>
      </c>
      <c r="D499" s="4">
        <v>25849</v>
      </c>
      <c r="E499" s="3">
        <v>55</v>
      </c>
      <c r="F499" s="3" t="s">
        <v>47</v>
      </c>
      <c r="G499" s="3" t="s">
        <v>9</v>
      </c>
      <c r="H499" s="3" t="s">
        <v>29</v>
      </c>
      <c r="I499" s="3" t="s">
        <v>37</v>
      </c>
      <c r="J499" s="3" t="s">
        <v>64</v>
      </c>
      <c r="K499" s="3" t="s">
        <v>24</v>
      </c>
      <c r="L499" s="6">
        <v>181.42</v>
      </c>
      <c r="M499" s="6">
        <v>1337.16</v>
      </c>
      <c r="N499" s="6">
        <v>490.36</v>
      </c>
      <c r="O499" s="6">
        <v>14275.71</v>
      </c>
      <c r="P499" s="3" t="s">
        <v>25</v>
      </c>
      <c r="Q499" s="3" t="s">
        <v>1082</v>
      </c>
      <c r="R499" s="3" t="s">
        <v>68</v>
      </c>
      <c r="S499" s="3" t="s">
        <v>1056</v>
      </c>
      <c r="T499" s="3">
        <v>9</v>
      </c>
      <c r="U499" s="3">
        <f>CAPSTONE_PROJECT[[#This Row],[Discharge Date]]-CAPSTONE_PROJECT[[#This Row],[Admission Date]]</f>
        <v>8</v>
      </c>
      <c r="V499" s="6">
        <f>SUM(CAPSTONE_PROJECT[[#This Row],[Room Cost]:[Treatment Cost]])</f>
        <v>16284.65</v>
      </c>
      <c r="W499" s="6">
        <f t="shared" si="7"/>
        <v>2035.58125</v>
      </c>
      <c r="X499" s="3" t="str">
        <f>TEXT(CAPSTONE_PROJECT[[#This Row],[Admission Date]],"mmmm")</f>
        <v>December</v>
      </c>
      <c r="Y499" s="3" t="str">
        <f>TEXT(CAPSTONE_PROJECT[[#This Row],[Admission Date]],"yyyy")</f>
        <v>2025</v>
      </c>
      <c r="Z499" s="3" t="str">
        <f>TEXT(CAPSTONE_PROJECT[[#This Row],[Admission Date]],"mmm yyyy")</f>
        <v>Dec 2025</v>
      </c>
      <c r="AA499" s="3" t="str">
        <f>TEXT(CAPSTONE_PROJECT[[#This Row],[Admission Date]],"dddd")</f>
        <v>Friday</v>
      </c>
      <c r="AB499" s="3" t="str">
        <f>IF(CAPSTONE_PROJECT[[#This Row],[Age]]&lt;=34,"Young Adults",IF(CAPSTONE_PROJECT[[#This Row],[Age]]&lt;=59,"Adults","Elders"))</f>
        <v>Adults</v>
      </c>
      <c r="AC499" s="3" t="str">
        <f>_xlfn.XLOOKUP(CAPSTONE_PROJECT[[#This Row],[Patient ID]],'Lookup table'!A:A,'Lookup table'!B:B,,0)</f>
        <v>Sophia White</v>
      </c>
      <c r="AD499" s="3" t="str">
        <f>_xlfn.XLOOKUP(CAPSTONE_PROJECT[[#This Row],[Patient ID]],'Lookup table'!A:A,'Lookup table'!C:C,,0)</f>
        <v>Female</v>
      </c>
      <c r="AE499" s="3" t="str">
        <f>IF(CAPSTONE_PROJECT[[#This Row],[Length of Stay]]&lt;=3,"Short Stay",IF(CAPSTONE_PROJECT[[#This Row],[Length of Stay]]&lt;=7,"Moderate Stay",IF(CAPSTONE_PROJECT[[#This Row],[Length of Stay]]&lt;=14,"Long Stay","Extended Stay")))</f>
        <v>Long Stay</v>
      </c>
    </row>
    <row r="500" spans="1:31" x14ac:dyDescent="0.3">
      <c r="A500" s="3" t="s">
        <v>1057</v>
      </c>
      <c r="B500" s="4">
        <v>45787</v>
      </c>
      <c r="C500" s="4">
        <v>45793</v>
      </c>
      <c r="D500" s="4">
        <v>37853</v>
      </c>
      <c r="E500" s="3">
        <v>22</v>
      </c>
      <c r="F500" s="3" t="s">
        <v>47</v>
      </c>
      <c r="G500" s="3" t="s">
        <v>34</v>
      </c>
      <c r="H500" s="3" t="s">
        <v>43</v>
      </c>
      <c r="I500" s="3" t="s">
        <v>37</v>
      </c>
      <c r="J500" s="3" t="s">
        <v>45</v>
      </c>
      <c r="K500" s="3" t="s">
        <v>24</v>
      </c>
      <c r="L500" s="6">
        <v>3583.59</v>
      </c>
      <c r="M500" s="6">
        <v>1799.53</v>
      </c>
      <c r="N500" s="6">
        <v>2456.6</v>
      </c>
      <c r="O500" s="6">
        <v>11533.1</v>
      </c>
      <c r="P500" s="3" t="s">
        <v>25</v>
      </c>
      <c r="Q500" s="3" t="s">
        <v>1086</v>
      </c>
      <c r="R500" s="3" t="s">
        <v>62</v>
      </c>
      <c r="S500" s="3" t="s">
        <v>1058</v>
      </c>
      <c r="T500" s="3">
        <v>1</v>
      </c>
      <c r="U500" s="3">
        <f>CAPSTONE_PROJECT[[#This Row],[Discharge Date]]-CAPSTONE_PROJECT[[#This Row],[Admission Date]]</f>
        <v>6</v>
      </c>
      <c r="V500" s="6">
        <f>SUM(CAPSTONE_PROJECT[[#This Row],[Room Cost]:[Treatment Cost]])</f>
        <v>19372.82</v>
      </c>
      <c r="W500" s="6">
        <f t="shared" si="7"/>
        <v>3228.8033333333333</v>
      </c>
      <c r="X500" s="3" t="str">
        <f>TEXT(CAPSTONE_PROJECT[[#This Row],[Admission Date]],"mmmm")</f>
        <v>May</v>
      </c>
      <c r="Y500" s="3" t="str">
        <f>TEXT(CAPSTONE_PROJECT[[#This Row],[Admission Date]],"yyyy")</f>
        <v>2025</v>
      </c>
      <c r="Z500" s="3" t="str">
        <f>TEXT(CAPSTONE_PROJECT[[#This Row],[Admission Date]],"mmm yyyy")</f>
        <v>May 2025</v>
      </c>
      <c r="AA500" s="3" t="str">
        <f>TEXT(CAPSTONE_PROJECT[[#This Row],[Admission Date]],"dddd")</f>
        <v>Saturday</v>
      </c>
      <c r="AB500" s="3" t="str">
        <f>IF(CAPSTONE_PROJECT[[#This Row],[Age]]&lt;=34,"Young Adults",IF(CAPSTONE_PROJECT[[#This Row],[Age]]&lt;=59,"Adults","Elders"))</f>
        <v>Young Adults</v>
      </c>
      <c r="AC500" s="3" t="str">
        <f>_xlfn.XLOOKUP(CAPSTONE_PROJECT[[#This Row],[Patient ID]],'Lookup table'!A:A,'Lookup table'!B:B,,0)</f>
        <v>Michael Green</v>
      </c>
      <c r="AD500" s="3" t="str">
        <f>_xlfn.XLOOKUP(CAPSTONE_PROJECT[[#This Row],[Patient ID]],'Lookup table'!A:A,'Lookup table'!C:C,,0)</f>
        <v>Male</v>
      </c>
      <c r="AE500" s="3" t="str">
        <f>IF(CAPSTONE_PROJECT[[#This Row],[Length of Stay]]&lt;=3,"Short Stay",IF(CAPSTONE_PROJECT[[#This Row],[Length of Stay]]&lt;=7,"Moderate Stay",IF(CAPSTONE_PROJECT[[#This Row],[Length of Stay]]&lt;=14,"Long Stay","Extended Stay")))</f>
        <v>Moderate Stay</v>
      </c>
    </row>
    <row r="501" spans="1:31" x14ac:dyDescent="0.3">
      <c r="A501" s="3" t="s">
        <v>1059</v>
      </c>
      <c r="B501" s="4">
        <v>45616</v>
      </c>
      <c r="C501" s="4">
        <v>45618</v>
      </c>
      <c r="D501" s="4">
        <v>35261</v>
      </c>
      <c r="E501" s="3">
        <v>29</v>
      </c>
      <c r="F501" s="3" t="s">
        <v>8</v>
      </c>
      <c r="G501" s="3" t="s">
        <v>78</v>
      </c>
      <c r="H501" s="3" t="s">
        <v>43</v>
      </c>
      <c r="I501" s="3" t="s">
        <v>13</v>
      </c>
      <c r="J501" s="3" t="s">
        <v>73</v>
      </c>
      <c r="K501" s="3" t="s">
        <v>50</v>
      </c>
      <c r="L501" s="6">
        <v>2361.1</v>
      </c>
      <c r="M501" s="6">
        <v>543.24</v>
      </c>
      <c r="N501" s="6">
        <v>2991.43</v>
      </c>
      <c r="O501" s="6">
        <v>13393.01</v>
      </c>
      <c r="P501" s="3" t="s">
        <v>51</v>
      </c>
      <c r="Q501" s="3" t="s">
        <v>1078</v>
      </c>
      <c r="R501" s="3" t="s">
        <v>68</v>
      </c>
      <c r="S501" s="3" t="s">
        <v>1060</v>
      </c>
      <c r="T501" s="3">
        <v>2</v>
      </c>
      <c r="U501" s="3">
        <f>CAPSTONE_PROJECT[[#This Row],[Discharge Date]]-CAPSTONE_PROJECT[[#This Row],[Admission Date]]</f>
        <v>2</v>
      </c>
      <c r="V501" s="6">
        <f>SUM(CAPSTONE_PROJECT[[#This Row],[Room Cost]:[Treatment Cost]])</f>
        <v>19288.78</v>
      </c>
      <c r="W501" s="6">
        <f t="shared" si="7"/>
        <v>9644.39</v>
      </c>
      <c r="X501" s="3" t="str">
        <f>TEXT(CAPSTONE_PROJECT[[#This Row],[Admission Date]],"mmmm")</f>
        <v>November</v>
      </c>
      <c r="Y501" s="3" t="str">
        <f>TEXT(CAPSTONE_PROJECT[[#This Row],[Admission Date]],"yyyy")</f>
        <v>2024</v>
      </c>
      <c r="Z501" s="3" t="str">
        <f>TEXT(CAPSTONE_PROJECT[[#This Row],[Admission Date]],"mmm yyyy")</f>
        <v>Nov 2024</v>
      </c>
      <c r="AA501" s="3" t="str">
        <f>TEXT(CAPSTONE_PROJECT[[#This Row],[Admission Date]],"dddd")</f>
        <v>Wednesday</v>
      </c>
      <c r="AB501" s="3" t="str">
        <f>IF(CAPSTONE_PROJECT[[#This Row],[Age]]&lt;=34,"Young Adults",IF(CAPSTONE_PROJECT[[#This Row],[Age]]&lt;=59,"Adults","Elders"))</f>
        <v>Young Adults</v>
      </c>
      <c r="AC501" s="3" t="str">
        <f>_xlfn.XLOOKUP(CAPSTONE_PROJECT[[#This Row],[Patient ID]],'Lookup table'!A:A,'Lookup table'!B:B,,0)</f>
        <v>Charlotte P Jones</v>
      </c>
      <c r="AD501" s="3" t="str">
        <f>_xlfn.XLOOKUP(CAPSTONE_PROJECT[[#This Row],[Patient ID]],'Lookup table'!A:A,'Lookup table'!C:C,,0)</f>
        <v>Female</v>
      </c>
      <c r="AE501" s="3" t="str">
        <f>IF(CAPSTONE_PROJECT[[#This Row],[Length of Stay]]&lt;=3,"Short Stay",IF(CAPSTONE_PROJECT[[#This Row],[Length of Stay]]&lt;=7,"Moderate Stay",IF(CAPSTONE_PROJECT[[#This Row],[Length of Stay]]&lt;=14,"Long Stay","Extended Stay")))</f>
        <v>Short Stay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3445-4789-43DD-A261-B3FA87330505}">
  <dimension ref="A1:U505"/>
  <sheetViews>
    <sheetView workbookViewId="0">
      <selection activeCell="B2" sqref="B2"/>
    </sheetView>
  </sheetViews>
  <sheetFormatPr defaultRowHeight="14.4" x14ac:dyDescent="0.3"/>
  <cols>
    <col min="1" max="1" width="12.109375" bestFit="1" customWidth="1"/>
    <col min="2" max="2" width="15.33203125" bestFit="1" customWidth="1"/>
    <col min="3" max="3" width="15.77734375" bestFit="1" customWidth="1"/>
    <col min="4" max="4" width="13.5546875" bestFit="1" customWidth="1"/>
    <col min="5" max="5" width="10.77734375" bestFit="1" customWidth="1"/>
    <col min="6" max="6" width="11.33203125" bestFit="1" customWidth="1"/>
    <col min="7" max="7" width="17.21875" bestFit="1" customWidth="1"/>
    <col min="8" max="8" width="17.21875" customWidth="1"/>
    <col min="9" max="9" width="17.21875" bestFit="1" customWidth="1"/>
    <col min="10" max="10" width="16.21875" bestFit="1" customWidth="1"/>
    <col min="11" max="11" width="16.44140625" bestFit="1" customWidth="1"/>
    <col min="12" max="12" width="15" bestFit="1" customWidth="1"/>
    <col min="13" max="13" width="10.109375" bestFit="1" customWidth="1"/>
    <col min="14" max="14" width="17.5546875" bestFit="1" customWidth="1"/>
    <col min="15" max="15" width="17.21875" bestFit="1" customWidth="1"/>
    <col min="16" max="16" width="16.77734375" bestFit="1" customWidth="1"/>
    <col min="17" max="17" width="17.44140625" bestFit="1" customWidth="1"/>
    <col min="18" max="18" width="12.77734375" bestFit="1" customWidth="1"/>
    <col min="19" max="19" width="10.77734375" bestFit="1" customWidth="1"/>
    <col min="20" max="20" width="19.33203125" bestFit="1" customWidth="1"/>
    <col min="21" max="21" width="8" customWidth="1"/>
  </cols>
  <sheetData>
    <row r="1" spans="1:21" x14ac:dyDescent="0.3">
      <c r="A1" s="24" t="s">
        <v>1072</v>
      </c>
      <c r="B1" s="24" t="s">
        <v>1071</v>
      </c>
      <c r="C1" s="24" t="s">
        <v>1073</v>
      </c>
      <c r="D1" s="24" t="s">
        <v>0</v>
      </c>
      <c r="E1" s="24" t="s">
        <v>1</v>
      </c>
      <c r="F1" s="24" t="s">
        <v>2</v>
      </c>
      <c r="G1" s="24" t="s">
        <v>1069</v>
      </c>
      <c r="H1" s="24"/>
      <c r="I1" s="24" t="s">
        <v>1070</v>
      </c>
      <c r="J1" s="24" t="s">
        <v>3</v>
      </c>
      <c r="K1" s="24" t="s">
        <v>1074</v>
      </c>
      <c r="L1" s="24" t="s">
        <v>4</v>
      </c>
      <c r="M1" s="24" t="s">
        <v>5</v>
      </c>
      <c r="N1" s="24" t="s">
        <v>1068</v>
      </c>
      <c r="O1" s="24" t="s">
        <v>1067</v>
      </c>
      <c r="P1" s="24" t="s">
        <v>1066</v>
      </c>
      <c r="Q1" s="24" t="s">
        <v>1065</v>
      </c>
      <c r="R1" s="24" t="s">
        <v>1064</v>
      </c>
      <c r="S1" s="24" t="s">
        <v>1063</v>
      </c>
      <c r="T1" s="24" t="s">
        <v>1062</v>
      </c>
      <c r="U1" s="24" t="s">
        <v>6</v>
      </c>
    </row>
    <row r="2" spans="1:21" x14ac:dyDescent="0.3">
      <c r="A2" t="s">
        <v>7</v>
      </c>
      <c r="B2">
        <v>37899</v>
      </c>
      <c r="C2" t="s">
        <v>1139</v>
      </c>
      <c r="D2" t="s">
        <v>9</v>
      </c>
      <c r="E2" t="s">
        <v>1140</v>
      </c>
      <c r="F2" t="s">
        <v>11</v>
      </c>
      <c r="G2">
        <v>45529</v>
      </c>
      <c r="I2">
        <v>45544</v>
      </c>
      <c r="J2" t="s">
        <v>1141</v>
      </c>
      <c r="K2" t="s">
        <v>13</v>
      </c>
      <c r="L2" t="s">
        <v>14</v>
      </c>
      <c r="M2" t="s">
        <v>1142</v>
      </c>
      <c r="N2" t="s">
        <v>1143</v>
      </c>
      <c r="O2" t="s">
        <v>16</v>
      </c>
      <c r="P2">
        <v>10228.959999999999</v>
      </c>
      <c r="Q2">
        <v>1295.76</v>
      </c>
      <c r="R2">
        <v>2622.27</v>
      </c>
      <c r="S2">
        <v>625.1</v>
      </c>
      <c r="T2">
        <v>3</v>
      </c>
      <c r="U2">
        <v>22</v>
      </c>
    </row>
    <row r="3" spans="1:21" x14ac:dyDescent="0.3">
      <c r="A3" t="s">
        <v>7</v>
      </c>
      <c r="B3">
        <v>37899</v>
      </c>
      <c r="C3" t="s">
        <v>1139</v>
      </c>
      <c r="D3" t="s">
        <v>9</v>
      </c>
      <c r="E3" t="s">
        <v>1140</v>
      </c>
      <c r="F3" t="s">
        <v>11</v>
      </c>
      <c r="G3">
        <v>45529</v>
      </c>
      <c r="I3">
        <v>45544</v>
      </c>
      <c r="J3" t="s">
        <v>1141</v>
      </c>
      <c r="K3" t="s">
        <v>13</v>
      </c>
      <c r="L3" t="s">
        <v>14</v>
      </c>
      <c r="M3" t="s">
        <v>1142</v>
      </c>
      <c r="N3" t="s">
        <v>1143</v>
      </c>
      <c r="O3" t="s">
        <v>16</v>
      </c>
      <c r="P3">
        <v>10228.959999999999</v>
      </c>
      <c r="Q3">
        <v>1295.76</v>
      </c>
      <c r="R3">
        <v>2622.27</v>
      </c>
      <c r="S3">
        <v>625.1</v>
      </c>
      <c r="T3">
        <v>3</v>
      </c>
      <c r="U3">
        <v>22</v>
      </c>
    </row>
    <row r="4" spans="1:21" x14ac:dyDescent="0.3">
      <c r="A4" t="s">
        <v>7</v>
      </c>
      <c r="B4">
        <v>37899</v>
      </c>
      <c r="C4" t="s">
        <v>1139</v>
      </c>
      <c r="D4" t="s">
        <v>9</v>
      </c>
      <c r="E4" t="s">
        <v>1140</v>
      </c>
      <c r="F4" t="s">
        <v>11</v>
      </c>
      <c r="G4">
        <v>45529</v>
      </c>
      <c r="I4">
        <v>45544</v>
      </c>
      <c r="J4" t="s">
        <v>1141</v>
      </c>
      <c r="K4" t="s">
        <v>13</v>
      </c>
      <c r="L4" t="s">
        <v>14</v>
      </c>
      <c r="M4" t="s">
        <v>1142</v>
      </c>
      <c r="N4" t="s">
        <v>1143</v>
      </c>
      <c r="O4" t="s">
        <v>16</v>
      </c>
      <c r="P4">
        <v>10228.959999999999</v>
      </c>
      <c r="Q4">
        <v>1295.76</v>
      </c>
      <c r="R4">
        <v>2622.27</v>
      </c>
      <c r="S4">
        <v>625.1</v>
      </c>
      <c r="T4">
        <v>3</v>
      </c>
      <c r="U4">
        <v>22</v>
      </c>
    </row>
    <row r="5" spans="1:21" x14ac:dyDescent="0.3">
      <c r="A5" t="s">
        <v>17</v>
      </c>
      <c r="B5">
        <v>16738</v>
      </c>
      <c r="C5" t="s">
        <v>18</v>
      </c>
      <c r="D5" t="s">
        <v>9</v>
      </c>
      <c r="E5" t="s">
        <v>19</v>
      </c>
      <c r="F5" t="s">
        <v>20</v>
      </c>
      <c r="G5">
        <v>45994</v>
      </c>
      <c r="I5">
        <v>45996</v>
      </c>
      <c r="J5" t="s">
        <v>1144</v>
      </c>
      <c r="K5" t="s">
        <v>22</v>
      </c>
      <c r="L5" t="s">
        <v>1145</v>
      </c>
      <c r="M5" t="s">
        <v>1146</v>
      </c>
      <c r="N5" t="s">
        <v>24</v>
      </c>
      <c r="O5" t="s">
        <v>25</v>
      </c>
      <c r="P5">
        <v>6599.48</v>
      </c>
      <c r="Q5">
        <v>1052.71</v>
      </c>
      <c r="R5">
        <v>1558.08</v>
      </c>
      <c r="S5">
        <v>1656.97</v>
      </c>
      <c r="T5">
        <v>6</v>
      </c>
      <c r="U5">
        <v>80</v>
      </c>
    </row>
    <row r="6" spans="1:21" x14ac:dyDescent="0.3">
      <c r="A6" t="s">
        <v>26</v>
      </c>
      <c r="B6">
        <v>35863</v>
      </c>
      <c r="C6" t="s">
        <v>1139</v>
      </c>
      <c r="D6" t="s">
        <v>27</v>
      </c>
      <c r="E6" t="s">
        <v>10</v>
      </c>
      <c r="F6" t="s">
        <v>28</v>
      </c>
      <c r="G6">
        <v>45785</v>
      </c>
      <c r="I6">
        <v>45795</v>
      </c>
      <c r="J6" t="s">
        <v>29</v>
      </c>
      <c r="K6" t="s">
        <v>22</v>
      </c>
      <c r="L6" t="s">
        <v>30</v>
      </c>
      <c r="M6" t="s">
        <v>1147</v>
      </c>
      <c r="N6" t="s">
        <v>15</v>
      </c>
      <c r="O6" t="s">
        <v>31</v>
      </c>
      <c r="P6">
        <v>14612.55</v>
      </c>
      <c r="Q6">
        <v>701.42</v>
      </c>
      <c r="R6">
        <v>3153.83</v>
      </c>
      <c r="S6">
        <v>521.57000000000005</v>
      </c>
      <c r="T6">
        <v>4</v>
      </c>
      <c r="U6">
        <v>28</v>
      </c>
    </row>
    <row r="7" spans="1:21" x14ac:dyDescent="0.3">
      <c r="A7" t="s">
        <v>32</v>
      </c>
      <c r="B7">
        <v>31464</v>
      </c>
      <c r="C7" t="s">
        <v>33</v>
      </c>
      <c r="D7" t="s">
        <v>1148</v>
      </c>
      <c r="E7" t="s">
        <v>35</v>
      </c>
      <c r="F7" t="s">
        <v>36</v>
      </c>
      <c r="G7">
        <v>45767</v>
      </c>
      <c r="I7">
        <v>45777</v>
      </c>
      <c r="J7" t="s">
        <v>1149</v>
      </c>
      <c r="K7" t="s">
        <v>37</v>
      </c>
      <c r="L7" t="s">
        <v>38</v>
      </c>
      <c r="M7" t="s">
        <v>1147</v>
      </c>
      <c r="N7" t="s">
        <v>15</v>
      </c>
      <c r="O7" t="s">
        <v>31</v>
      </c>
      <c r="P7">
        <v>5115.72</v>
      </c>
      <c r="Q7">
        <v>1395.59</v>
      </c>
      <c r="R7">
        <v>3156.73</v>
      </c>
      <c r="S7">
        <v>977.53</v>
      </c>
      <c r="T7">
        <v>2</v>
      </c>
      <c r="U7">
        <v>40</v>
      </c>
    </row>
    <row r="8" spans="1:21" x14ac:dyDescent="0.3">
      <c r="A8" t="s">
        <v>39</v>
      </c>
      <c r="B8">
        <v>32312</v>
      </c>
      <c r="C8" t="s">
        <v>8</v>
      </c>
      <c r="D8" t="s">
        <v>40</v>
      </c>
      <c r="E8" t="s">
        <v>41</v>
      </c>
      <c r="F8" t="s">
        <v>42</v>
      </c>
      <c r="G8">
        <v>45952</v>
      </c>
      <c r="I8">
        <v>45964</v>
      </c>
      <c r="J8" t="s">
        <v>43</v>
      </c>
      <c r="K8" t="s">
        <v>37</v>
      </c>
      <c r="L8" t="s">
        <v>45</v>
      </c>
      <c r="M8" t="s">
        <v>1150</v>
      </c>
      <c r="N8" t="s">
        <v>24</v>
      </c>
      <c r="O8" t="s">
        <v>31</v>
      </c>
      <c r="R8">
        <v>4982.28</v>
      </c>
      <c r="S8">
        <v>1827.2</v>
      </c>
      <c r="T8">
        <v>4</v>
      </c>
      <c r="U8">
        <v>37</v>
      </c>
    </row>
    <row r="9" spans="1:21" x14ac:dyDescent="0.3">
      <c r="A9" t="s">
        <v>46</v>
      </c>
      <c r="B9">
        <v>35128</v>
      </c>
      <c r="C9" t="s">
        <v>47</v>
      </c>
      <c r="D9" t="s">
        <v>48</v>
      </c>
      <c r="E9" t="s">
        <v>19</v>
      </c>
      <c r="F9" t="s">
        <v>49</v>
      </c>
      <c r="G9">
        <v>45968</v>
      </c>
      <c r="I9">
        <v>45969</v>
      </c>
      <c r="J9" t="s">
        <v>1151</v>
      </c>
      <c r="K9" t="s">
        <v>37</v>
      </c>
      <c r="L9" t="s">
        <v>38</v>
      </c>
      <c r="M9" t="s">
        <v>1152</v>
      </c>
      <c r="N9" t="s">
        <v>50</v>
      </c>
      <c r="O9" t="s">
        <v>51</v>
      </c>
      <c r="P9">
        <v>10620.37</v>
      </c>
      <c r="Q9">
        <v>2493.38</v>
      </c>
      <c r="R9">
        <v>4401.16</v>
      </c>
      <c r="S9">
        <v>1385.2</v>
      </c>
      <c r="T9">
        <v>3</v>
      </c>
      <c r="U9">
        <v>30</v>
      </c>
    </row>
    <row r="10" spans="1:21" x14ac:dyDescent="0.3">
      <c r="A10" t="s">
        <v>52</v>
      </c>
      <c r="B10">
        <v>36355</v>
      </c>
      <c r="C10" t="s">
        <v>8</v>
      </c>
      <c r="D10" t="s">
        <v>53</v>
      </c>
      <c r="E10" t="s">
        <v>54</v>
      </c>
      <c r="F10" t="s">
        <v>55</v>
      </c>
      <c r="G10">
        <v>45994</v>
      </c>
      <c r="I10">
        <v>45998</v>
      </c>
      <c r="J10" t="s">
        <v>1153</v>
      </c>
      <c r="K10" t="s">
        <v>13</v>
      </c>
      <c r="L10" t="s">
        <v>14</v>
      </c>
      <c r="M10" t="s">
        <v>1146</v>
      </c>
      <c r="N10" t="s">
        <v>50</v>
      </c>
      <c r="O10" t="s">
        <v>31</v>
      </c>
      <c r="P10">
        <v>7997.55</v>
      </c>
      <c r="Q10">
        <v>1429.83</v>
      </c>
      <c r="R10">
        <v>2012.38</v>
      </c>
      <c r="S10">
        <v>1736.67</v>
      </c>
      <c r="T10">
        <v>2</v>
      </c>
      <c r="U10">
        <v>26</v>
      </c>
    </row>
    <row r="11" spans="1:21" x14ac:dyDescent="0.3">
      <c r="A11" t="s">
        <v>56</v>
      </c>
      <c r="B11">
        <v>23934</v>
      </c>
      <c r="C11" t="s">
        <v>18</v>
      </c>
      <c r="D11" t="s">
        <v>57</v>
      </c>
      <c r="E11" t="s">
        <v>58</v>
      </c>
      <c r="F11" t="s">
        <v>59</v>
      </c>
      <c r="G11">
        <v>45973</v>
      </c>
      <c r="I11">
        <v>45982</v>
      </c>
      <c r="J11" t="s">
        <v>29</v>
      </c>
      <c r="K11" t="s">
        <v>37</v>
      </c>
      <c r="L11" t="s">
        <v>15</v>
      </c>
      <c r="M11" t="s">
        <v>1154</v>
      </c>
      <c r="N11" t="s">
        <v>1155</v>
      </c>
      <c r="O11" t="s">
        <v>16</v>
      </c>
      <c r="P11">
        <v>15637.84</v>
      </c>
      <c r="Q11">
        <v>333.12</v>
      </c>
      <c r="R11">
        <v>617.84</v>
      </c>
      <c r="S11">
        <v>1264.6199999999999</v>
      </c>
      <c r="T11">
        <v>2</v>
      </c>
      <c r="U11">
        <v>60</v>
      </c>
    </row>
    <row r="12" spans="1:21" x14ac:dyDescent="0.3">
      <c r="A12" t="s">
        <v>60</v>
      </c>
      <c r="B12">
        <v>20044</v>
      </c>
      <c r="C12" t="s">
        <v>47</v>
      </c>
      <c r="D12" t="s">
        <v>61</v>
      </c>
      <c r="E12" t="s">
        <v>62</v>
      </c>
      <c r="F12" t="s">
        <v>63</v>
      </c>
      <c r="G12">
        <v>45521</v>
      </c>
      <c r="I12">
        <v>45525</v>
      </c>
      <c r="J12" t="s">
        <v>29</v>
      </c>
      <c r="K12" t="s">
        <v>22</v>
      </c>
      <c r="L12" t="s">
        <v>64</v>
      </c>
      <c r="M12" t="s">
        <v>1154</v>
      </c>
      <c r="N12" t="s">
        <v>65</v>
      </c>
      <c r="O12" t="s">
        <v>25</v>
      </c>
      <c r="P12">
        <v>4341.8599999999997</v>
      </c>
      <c r="Q12">
        <v>2423.62</v>
      </c>
      <c r="R12">
        <v>4804.7299999999996</v>
      </c>
      <c r="S12">
        <v>169.09</v>
      </c>
      <c r="T12">
        <v>7</v>
      </c>
      <c r="U12">
        <v>71</v>
      </c>
    </row>
    <row r="13" spans="1:21" x14ac:dyDescent="0.3">
      <c r="A13" t="s">
        <v>66</v>
      </c>
      <c r="B13">
        <v>33854</v>
      </c>
      <c r="C13" t="s">
        <v>47</v>
      </c>
      <c r="D13" t="s">
        <v>67</v>
      </c>
      <c r="E13" t="s">
        <v>68</v>
      </c>
      <c r="F13" t="s">
        <v>69</v>
      </c>
      <c r="G13">
        <v>45677</v>
      </c>
      <c r="I13">
        <v>45691</v>
      </c>
      <c r="J13" t="s">
        <v>1153</v>
      </c>
      <c r="K13" t="s">
        <v>44</v>
      </c>
      <c r="L13" t="s">
        <v>14</v>
      </c>
      <c r="M13" t="s">
        <v>1154</v>
      </c>
      <c r="N13" t="s">
        <v>15</v>
      </c>
      <c r="O13" t="s">
        <v>25</v>
      </c>
      <c r="P13">
        <v>2599.25</v>
      </c>
      <c r="Q13">
        <v>2433.62</v>
      </c>
      <c r="R13">
        <v>5006.66</v>
      </c>
      <c r="S13">
        <v>1401.42</v>
      </c>
      <c r="T13">
        <v>1</v>
      </c>
      <c r="U13">
        <v>33</v>
      </c>
    </row>
    <row r="14" spans="1:21" x14ac:dyDescent="0.3">
      <c r="A14" t="s">
        <v>70</v>
      </c>
      <c r="B14">
        <v>30317</v>
      </c>
      <c r="C14" t="s">
        <v>18</v>
      </c>
      <c r="D14" t="s">
        <v>57</v>
      </c>
      <c r="E14" t="s">
        <v>35</v>
      </c>
      <c r="F14" t="s">
        <v>71</v>
      </c>
      <c r="G14">
        <v>45501</v>
      </c>
      <c r="I14">
        <v>45511</v>
      </c>
      <c r="J14" t="s">
        <v>72</v>
      </c>
      <c r="K14" t="s">
        <v>13</v>
      </c>
      <c r="L14" t="s">
        <v>73</v>
      </c>
      <c r="M14" t="s">
        <v>1156</v>
      </c>
      <c r="N14" t="s">
        <v>65</v>
      </c>
      <c r="O14" t="s">
        <v>25</v>
      </c>
      <c r="P14">
        <v>14937.06</v>
      </c>
      <c r="Q14">
        <v>1405</v>
      </c>
      <c r="R14">
        <v>3673.34</v>
      </c>
      <c r="S14">
        <v>1505.01</v>
      </c>
      <c r="T14">
        <v>8</v>
      </c>
      <c r="U14">
        <v>43</v>
      </c>
    </row>
    <row r="15" spans="1:21" x14ac:dyDescent="0.3">
      <c r="A15" t="s">
        <v>74</v>
      </c>
      <c r="B15">
        <v>25579</v>
      </c>
      <c r="C15" t="s">
        <v>8</v>
      </c>
      <c r="D15" t="s">
        <v>48</v>
      </c>
      <c r="E15" t="s">
        <v>75</v>
      </c>
      <c r="F15" t="s">
        <v>76</v>
      </c>
      <c r="G15">
        <v>45467</v>
      </c>
      <c r="I15">
        <v>45487</v>
      </c>
      <c r="J15" t="s">
        <v>1153</v>
      </c>
      <c r="K15" t="s">
        <v>37</v>
      </c>
      <c r="L15" t="s">
        <v>45</v>
      </c>
      <c r="M15" t="s">
        <v>1154</v>
      </c>
      <c r="N15" t="s">
        <v>24</v>
      </c>
      <c r="O15" t="s">
        <v>31</v>
      </c>
      <c r="P15">
        <v>13375.22</v>
      </c>
      <c r="Q15">
        <v>1922.45</v>
      </c>
      <c r="R15">
        <v>1332.63</v>
      </c>
      <c r="S15">
        <v>331.8</v>
      </c>
      <c r="T15">
        <v>4</v>
      </c>
      <c r="U15">
        <v>56</v>
      </c>
    </row>
    <row r="16" spans="1:21" x14ac:dyDescent="0.3">
      <c r="A16" t="s">
        <v>77</v>
      </c>
      <c r="B16">
        <v>34276</v>
      </c>
      <c r="C16" t="s">
        <v>8</v>
      </c>
      <c r="D16" t="s">
        <v>78</v>
      </c>
      <c r="E16" t="s">
        <v>68</v>
      </c>
      <c r="F16" t="s">
        <v>79</v>
      </c>
      <c r="G16">
        <v>45473</v>
      </c>
      <c r="I16">
        <v>45489</v>
      </c>
      <c r="J16" t="s">
        <v>1153</v>
      </c>
      <c r="K16" t="s">
        <v>22</v>
      </c>
      <c r="L16" t="s">
        <v>73</v>
      </c>
      <c r="M16" t="s">
        <v>1154</v>
      </c>
      <c r="N16" t="s">
        <v>65</v>
      </c>
      <c r="O16" t="s">
        <v>16</v>
      </c>
      <c r="P16">
        <v>6046.74</v>
      </c>
      <c r="Q16">
        <v>2931.42</v>
      </c>
      <c r="R16">
        <v>413.69</v>
      </c>
      <c r="S16">
        <v>1737.35</v>
      </c>
      <c r="T16">
        <v>10</v>
      </c>
      <c r="U16">
        <v>32</v>
      </c>
    </row>
    <row r="17" spans="1:21" x14ac:dyDescent="0.3">
      <c r="A17" t="s">
        <v>80</v>
      </c>
      <c r="B17">
        <v>27320</v>
      </c>
      <c r="C17" t="s">
        <v>47</v>
      </c>
      <c r="D17" t="s">
        <v>57</v>
      </c>
      <c r="E17" t="s">
        <v>41</v>
      </c>
      <c r="F17" t="s">
        <v>81</v>
      </c>
      <c r="G17">
        <v>45334</v>
      </c>
      <c r="I17">
        <v>45349</v>
      </c>
      <c r="J17" t="s">
        <v>21</v>
      </c>
      <c r="K17" t="s">
        <v>44</v>
      </c>
      <c r="L17" t="s">
        <v>64</v>
      </c>
      <c r="M17" t="s">
        <v>1154</v>
      </c>
      <c r="N17" t="s">
        <v>24</v>
      </c>
      <c r="O17" t="s">
        <v>16</v>
      </c>
      <c r="P17">
        <v>7255.77</v>
      </c>
      <c r="Q17">
        <v>2118.09</v>
      </c>
      <c r="R17">
        <v>2938.89</v>
      </c>
      <c r="S17">
        <v>166.46</v>
      </c>
      <c r="T17">
        <v>1</v>
      </c>
      <c r="U17">
        <v>51</v>
      </c>
    </row>
    <row r="19" spans="1:21" x14ac:dyDescent="0.3">
      <c r="A19" t="s">
        <v>82</v>
      </c>
      <c r="B19">
        <v>24156</v>
      </c>
      <c r="C19" t="s">
        <v>33</v>
      </c>
      <c r="D19" t="s">
        <v>78</v>
      </c>
      <c r="E19" t="s">
        <v>54</v>
      </c>
      <c r="F19" t="s">
        <v>83</v>
      </c>
      <c r="G19">
        <v>45986</v>
      </c>
      <c r="I19">
        <v>45999</v>
      </c>
      <c r="J19" t="s">
        <v>12</v>
      </c>
      <c r="K19" t="s">
        <v>22</v>
      </c>
      <c r="L19" t="s">
        <v>23</v>
      </c>
      <c r="M19" t="s">
        <v>1152</v>
      </c>
      <c r="N19" t="s">
        <v>65</v>
      </c>
      <c r="O19" t="s">
        <v>51</v>
      </c>
      <c r="P19">
        <v>11754.46</v>
      </c>
      <c r="Q19">
        <v>1423.15</v>
      </c>
      <c r="R19">
        <v>4301.18</v>
      </c>
      <c r="S19">
        <v>777.44</v>
      </c>
      <c r="T19">
        <v>3</v>
      </c>
      <c r="U19">
        <v>60</v>
      </c>
    </row>
    <row r="20" spans="1:21" x14ac:dyDescent="0.3">
      <c r="A20" t="s">
        <v>84</v>
      </c>
      <c r="B20">
        <v>38571</v>
      </c>
      <c r="C20" t="s">
        <v>18</v>
      </c>
      <c r="D20" t="s">
        <v>61</v>
      </c>
      <c r="E20" t="s">
        <v>10</v>
      </c>
      <c r="F20" t="s">
        <v>85</v>
      </c>
      <c r="G20">
        <v>45523</v>
      </c>
      <c r="I20">
        <v>45528</v>
      </c>
      <c r="J20" t="s">
        <v>1151</v>
      </c>
      <c r="K20" t="s">
        <v>44</v>
      </c>
      <c r="L20" t="s">
        <v>38</v>
      </c>
      <c r="M20" t="s">
        <v>1157</v>
      </c>
      <c r="N20" t="s">
        <v>15</v>
      </c>
      <c r="P20">
        <v>7144.36</v>
      </c>
      <c r="Q20">
        <v>2206.09</v>
      </c>
      <c r="R20">
        <v>2141.96</v>
      </c>
      <c r="S20">
        <v>1284.25</v>
      </c>
      <c r="T20">
        <v>9</v>
      </c>
      <c r="U20">
        <v>20</v>
      </c>
    </row>
    <row r="21" spans="1:21" x14ac:dyDescent="0.3">
      <c r="A21" t="s">
        <v>86</v>
      </c>
      <c r="B21">
        <v>28955</v>
      </c>
      <c r="C21" t="s">
        <v>18</v>
      </c>
      <c r="D21" t="s">
        <v>61</v>
      </c>
      <c r="E21" t="s">
        <v>41</v>
      </c>
      <c r="F21" t="s">
        <v>87</v>
      </c>
      <c r="G21">
        <v>45772</v>
      </c>
      <c r="I21">
        <v>45779</v>
      </c>
      <c r="J21" t="s">
        <v>29</v>
      </c>
      <c r="K21" t="s">
        <v>37</v>
      </c>
      <c r="L21" t="s">
        <v>14</v>
      </c>
      <c r="M21" t="s">
        <v>1158</v>
      </c>
      <c r="N21" t="s">
        <v>65</v>
      </c>
      <c r="O21" t="s">
        <v>16</v>
      </c>
      <c r="P21">
        <v>13162.31</v>
      </c>
      <c r="Q21">
        <v>2017.94</v>
      </c>
      <c r="R21">
        <v>3870.53</v>
      </c>
      <c r="S21">
        <v>362.55</v>
      </c>
      <c r="T21">
        <v>7</v>
      </c>
      <c r="U21">
        <v>47</v>
      </c>
    </row>
    <row r="22" spans="1:21" x14ac:dyDescent="0.3">
      <c r="A22" t="s">
        <v>88</v>
      </c>
      <c r="B22">
        <v>35654</v>
      </c>
      <c r="C22" t="s">
        <v>8</v>
      </c>
      <c r="D22" t="s">
        <v>78</v>
      </c>
      <c r="E22" t="s">
        <v>41</v>
      </c>
      <c r="F22" t="s">
        <v>89</v>
      </c>
      <c r="G22">
        <v>45319</v>
      </c>
      <c r="I22">
        <v>45333</v>
      </c>
      <c r="J22" t="s">
        <v>43</v>
      </c>
      <c r="K22" t="s">
        <v>13</v>
      </c>
      <c r="L22" t="s">
        <v>38</v>
      </c>
      <c r="M22" t="s">
        <v>1147</v>
      </c>
      <c r="N22" t="s">
        <v>65</v>
      </c>
      <c r="O22" t="s">
        <v>16</v>
      </c>
      <c r="P22">
        <v>1817</v>
      </c>
      <c r="Q22">
        <v>421.49</v>
      </c>
      <c r="R22">
        <v>1949.5</v>
      </c>
      <c r="S22">
        <v>1190.01</v>
      </c>
      <c r="T22">
        <v>1</v>
      </c>
      <c r="U22">
        <v>28</v>
      </c>
    </row>
    <row r="23" spans="1:21" x14ac:dyDescent="0.3">
      <c r="A23" t="s">
        <v>90</v>
      </c>
      <c r="B23">
        <v>34462</v>
      </c>
      <c r="C23" t="s">
        <v>18</v>
      </c>
      <c r="D23" t="s">
        <v>48</v>
      </c>
      <c r="E23" t="s">
        <v>41</v>
      </c>
      <c r="F23" t="s">
        <v>91</v>
      </c>
      <c r="G23">
        <v>45600</v>
      </c>
      <c r="I23">
        <v>45604</v>
      </c>
      <c r="J23" t="s">
        <v>43</v>
      </c>
      <c r="K23" t="s">
        <v>44</v>
      </c>
      <c r="L23" t="s">
        <v>15</v>
      </c>
      <c r="M23" t="s">
        <v>1159</v>
      </c>
      <c r="N23" t="s">
        <v>65</v>
      </c>
      <c r="O23" t="s">
        <v>16</v>
      </c>
      <c r="P23">
        <v>10050.65</v>
      </c>
      <c r="Q23">
        <v>318.08999999999997</v>
      </c>
      <c r="R23">
        <v>749.34</v>
      </c>
      <c r="S23">
        <v>1159.3699999999999</v>
      </c>
      <c r="T23">
        <v>3</v>
      </c>
      <c r="U23">
        <v>32</v>
      </c>
    </row>
    <row r="24" spans="1:21" x14ac:dyDescent="0.3">
      <c r="A24" t="s">
        <v>92</v>
      </c>
      <c r="B24">
        <v>36740</v>
      </c>
      <c r="C24" t="s">
        <v>47</v>
      </c>
      <c r="D24" t="s">
        <v>34</v>
      </c>
      <c r="E24" t="s">
        <v>35</v>
      </c>
      <c r="F24" t="s">
        <v>93</v>
      </c>
      <c r="G24">
        <v>45942</v>
      </c>
      <c r="I24">
        <v>45955</v>
      </c>
      <c r="J24" t="s">
        <v>1160</v>
      </c>
      <c r="K24" t="s">
        <v>13</v>
      </c>
      <c r="L24" t="s">
        <v>38</v>
      </c>
      <c r="M24" t="s">
        <v>1159</v>
      </c>
      <c r="N24" t="s">
        <v>50</v>
      </c>
      <c r="O24" t="s">
        <v>31</v>
      </c>
      <c r="P24">
        <v>2249.0500000000002</v>
      </c>
      <c r="Q24">
        <v>1486.11</v>
      </c>
      <c r="R24">
        <v>3852.7</v>
      </c>
      <c r="S24">
        <v>434.19</v>
      </c>
      <c r="T24">
        <v>2</v>
      </c>
      <c r="U24">
        <v>25</v>
      </c>
    </row>
    <row r="25" spans="1:21" x14ac:dyDescent="0.3">
      <c r="A25" t="s">
        <v>94</v>
      </c>
      <c r="B25">
        <v>23879</v>
      </c>
      <c r="C25" t="s">
        <v>8</v>
      </c>
      <c r="D25" t="s">
        <v>53</v>
      </c>
      <c r="E25" t="s">
        <v>10</v>
      </c>
      <c r="F25" t="s">
        <v>95</v>
      </c>
      <c r="G25">
        <v>45699</v>
      </c>
      <c r="I25">
        <v>45717</v>
      </c>
      <c r="J25" t="s">
        <v>1153</v>
      </c>
      <c r="K25" t="s">
        <v>13</v>
      </c>
      <c r="L25" t="s">
        <v>64</v>
      </c>
      <c r="M25" t="s">
        <v>1152</v>
      </c>
      <c r="N25" t="s">
        <v>24</v>
      </c>
      <c r="O25" t="s">
        <v>51</v>
      </c>
      <c r="P25">
        <v>13708.61</v>
      </c>
      <c r="Q25">
        <v>1256.7</v>
      </c>
      <c r="R25">
        <v>3584.89</v>
      </c>
      <c r="S25">
        <v>1302.75</v>
      </c>
      <c r="T25">
        <v>1</v>
      </c>
      <c r="U25">
        <v>61</v>
      </c>
    </row>
    <row r="26" spans="1:21" x14ac:dyDescent="0.3">
      <c r="A26" t="s">
        <v>96</v>
      </c>
      <c r="B26">
        <v>23776</v>
      </c>
      <c r="C26" t="s">
        <v>33</v>
      </c>
      <c r="D26" t="s">
        <v>67</v>
      </c>
      <c r="E26" t="s">
        <v>58</v>
      </c>
      <c r="F26" t="s">
        <v>97</v>
      </c>
      <c r="G26">
        <v>45627</v>
      </c>
      <c r="I26">
        <v>45637</v>
      </c>
      <c r="J26" t="s">
        <v>12</v>
      </c>
      <c r="K26" t="s">
        <v>44</v>
      </c>
      <c r="L26" t="s">
        <v>73</v>
      </c>
      <c r="M26" t="s">
        <v>1159</v>
      </c>
      <c r="N26" t="s">
        <v>15</v>
      </c>
      <c r="P26">
        <v>1196.23</v>
      </c>
      <c r="Q26">
        <v>2919.39</v>
      </c>
      <c r="R26">
        <v>2110.85</v>
      </c>
      <c r="S26">
        <v>788.11</v>
      </c>
      <c r="T26">
        <v>8</v>
      </c>
      <c r="U26">
        <v>61</v>
      </c>
    </row>
    <row r="27" spans="1:21" x14ac:dyDescent="0.3">
      <c r="A27" t="s">
        <v>98</v>
      </c>
      <c r="B27">
        <v>32367</v>
      </c>
      <c r="C27" t="s">
        <v>33</v>
      </c>
      <c r="D27" t="s">
        <v>57</v>
      </c>
      <c r="E27" t="s">
        <v>19</v>
      </c>
      <c r="F27" t="s">
        <v>99</v>
      </c>
      <c r="G27">
        <v>45672</v>
      </c>
      <c r="I27">
        <v>45687</v>
      </c>
      <c r="J27" t="s">
        <v>100</v>
      </c>
      <c r="K27" t="s">
        <v>22</v>
      </c>
      <c r="L27" t="s">
        <v>38</v>
      </c>
      <c r="M27" t="s">
        <v>1150</v>
      </c>
      <c r="N27" t="s">
        <v>65</v>
      </c>
      <c r="O27" t="s">
        <v>16</v>
      </c>
      <c r="P27">
        <v>3575.83</v>
      </c>
      <c r="Q27">
        <v>1401.96</v>
      </c>
      <c r="R27">
        <v>3820.27</v>
      </c>
      <c r="S27">
        <v>1502.26</v>
      </c>
      <c r="T27">
        <v>5</v>
      </c>
      <c r="U27">
        <v>37</v>
      </c>
    </row>
    <row r="29" spans="1:21" x14ac:dyDescent="0.3">
      <c r="A29" t="s">
        <v>101</v>
      </c>
      <c r="B29">
        <v>31951</v>
      </c>
      <c r="C29" t="s">
        <v>18</v>
      </c>
      <c r="D29" t="s">
        <v>78</v>
      </c>
      <c r="E29" t="s">
        <v>102</v>
      </c>
      <c r="F29" t="s">
        <v>103</v>
      </c>
      <c r="G29">
        <v>45358</v>
      </c>
      <c r="I29">
        <v>45376</v>
      </c>
      <c r="J29" t="s">
        <v>104</v>
      </c>
      <c r="K29" t="s">
        <v>22</v>
      </c>
      <c r="L29" t="s">
        <v>38</v>
      </c>
      <c r="M29" t="s">
        <v>1152</v>
      </c>
      <c r="N29" t="s">
        <v>50</v>
      </c>
      <c r="O29" t="s">
        <v>51</v>
      </c>
      <c r="P29">
        <v>11410.25</v>
      </c>
      <c r="Q29">
        <v>3035.96</v>
      </c>
      <c r="R29">
        <v>668.93</v>
      </c>
      <c r="S29">
        <v>1523.94</v>
      </c>
      <c r="T29">
        <v>3</v>
      </c>
      <c r="U29">
        <v>38</v>
      </c>
    </row>
    <row r="30" spans="1:21" x14ac:dyDescent="0.3">
      <c r="A30" t="s">
        <v>105</v>
      </c>
      <c r="B30">
        <v>35706</v>
      </c>
      <c r="C30" t="s">
        <v>33</v>
      </c>
      <c r="D30" t="s">
        <v>57</v>
      </c>
      <c r="E30" t="s">
        <v>58</v>
      </c>
      <c r="F30" t="s">
        <v>106</v>
      </c>
      <c r="G30">
        <v>45420</v>
      </c>
      <c r="I30">
        <v>45431</v>
      </c>
      <c r="J30" t="s">
        <v>100</v>
      </c>
      <c r="K30" t="s">
        <v>44</v>
      </c>
      <c r="L30" t="s">
        <v>64</v>
      </c>
      <c r="M30" t="s">
        <v>1150</v>
      </c>
      <c r="N30" t="s">
        <v>24</v>
      </c>
      <c r="O30" t="s">
        <v>25</v>
      </c>
      <c r="P30">
        <v>9895.93</v>
      </c>
      <c r="Q30">
        <v>662.8</v>
      </c>
      <c r="R30">
        <v>771.06</v>
      </c>
      <c r="S30">
        <v>1367.82</v>
      </c>
      <c r="T30">
        <v>9</v>
      </c>
      <c r="U30">
        <v>28</v>
      </c>
    </row>
    <row r="31" spans="1:21" x14ac:dyDescent="0.3">
      <c r="A31" t="s">
        <v>107</v>
      </c>
      <c r="B31">
        <v>31187</v>
      </c>
      <c r="C31" t="s">
        <v>47</v>
      </c>
      <c r="D31" t="s">
        <v>27</v>
      </c>
      <c r="E31" t="s">
        <v>58</v>
      </c>
      <c r="F31" t="s">
        <v>108</v>
      </c>
      <c r="G31">
        <v>45838</v>
      </c>
      <c r="I31">
        <v>45841</v>
      </c>
      <c r="J31" t="s">
        <v>104</v>
      </c>
      <c r="K31" t="s">
        <v>13</v>
      </c>
      <c r="L31" t="s">
        <v>73</v>
      </c>
      <c r="M31" t="s">
        <v>1156</v>
      </c>
      <c r="N31" t="s">
        <v>24</v>
      </c>
      <c r="O31" t="s">
        <v>51</v>
      </c>
      <c r="P31">
        <v>11973.65</v>
      </c>
      <c r="Q31">
        <v>816.87</v>
      </c>
      <c r="R31">
        <v>4080.49</v>
      </c>
      <c r="S31">
        <v>1707.25</v>
      </c>
      <c r="T31">
        <v>10</v>
      </c>
      <c r="U31">
        <v>41</v>
      </c>
    </row>
    <row r="32" spans="1:21" x14ac:dyDescent="0.3">
      <c r="A32" t="s">
        <v>109</v>
      </c>
      <c r="B32">
        <v>18234</v>
      </c>
      <c r="C32" t="s">
        <v>18</v>
      </c>
      <c r="D32" t="s">
        <v>34</v>
      </c>
      <c r="E32" t="s">
        <v>35</v>
      </c>
      <c r="F32" t="s">
        <v>110</v>
      </c>
      <c r="G32">
        <v>45453</v>
      </c>
      <c r="I32">
        <v>45468</v>
      </c>
      <c r="J32" t="s">
        <v>111</v>
      </c>
      <c r="K32" t="s">
        <v>37</v>
      </c>
      <c r="L32" t="s">
        <v>30</v>
      </c>
      <c r="M32" t="s">
        <v>1156</v>
      </c>
      <c r="N32" t="s">
        <v>50</v>
      </c>
      <c r="O32" t="s">
        <v>51</v>
      </c>
      <c r="P32">
        <v>2904.81</v>
      </c>
      <c r="Q32">
        <v>1416.15</v>
      </c>
      <c r="R32">
        <v>2571.54</v>
      </c>
      <c r="S32">
        <v>1819.77</v>
      </c>
      <c r="T32">
        <v>6</v>
      </c>
      <c r="U32">
        <v>76</v>
      </c>
    </row>
    <row r="33" spans="1:21" x14ac:dyDescent="0.3">
      <c r="A33" t="s">
        <v>112</v>
      </c>
      <c r="B33">
        <v>35600</v>
      </c>
      <c r="C33" t="s">
        <v>18</v>
      </c>
      <c r="D33" t="s">
        <v>61</v>
      </c>
      <c r="E33" t="s">
        <v>75</v>
      </c>
      <c r="F33" t="s">
        <v>113</v>
      </c>
      <c r="G33">
        <v>45612</v>
      </c>
      <c r="I33">
        <v>45619</v>
      </c>
      <c r="J33" t="s">
        <v>114</v>
      </c>
      <c r="K33" t="s">
        <v>13</v>
      </c>
      <c r="L33" t="s">
        <v>30</v>
      </c>
      <c r="M33" t="s">
        <v>1152</v>
      </c>
      <c r="N33" t="s">
        <v>65</v>
      </c>
      <c r="O33" t="s">
        <v>16</v>
      </c>
      <c r="P33">
        <v>14487.5</v>
      </c>
      <c r="Q33">
        <v>1362.74</v>
      </c>
      <c r="R33">
        <v>1285.25</v>
      </c>
      <c r="S33">
        <v>1527.29</v>
      </c>
      <c r="T33">
        <v>2</v>
      </c>
      <c r="U33">
        <v>28</v>
      </c>
    </row>
    <row r="34" spans="1:21" x14ac:dyDescent="0.3">
      <c r="A34" t="s">
        <v>115</v>
      </c>
      <c r="B34">
        <v>17350</v>
      </c>
      <c r="C34" t="s">
        <v>47</v>
      </c>
      <c r="D34" t="s">
        <v>78</v>
      </c>
      <c r="E34" t="s">
        <v>19</v>
      </c>
      <c r="F34" t="s">
        <v>116</v>
      </c>
      <c r="G34">
        <v>45875</v>
      </c>
      <c r="I34">
        <v>45893</v>
      </c>
      <c r="J34" t="s">
        <v>72</v>
      </c>
      <c r="K34" t="s">
        <v>44</v>
      </c>
      <c r="L34" t="s">
        <v>45</v>
      </c>
      <c r="M34" t="s">
        <v>1147</v>
      </c>
      <c r="N34" t="s">
        <v>15</v>
      </c>
      <c r="O34" t="s">
        <v>16</v>
      </c>
      <c r="P34">
        <v>8733.25</v>
      </c>
      <c r="Q34">
        <v>2160.04</v>
      </c>
      <c r="R34">
        <v>431.7</v>
      </c>
      <c r="S34">
        <v>742.2</v>
      </c>
      <c r="T34">
        <v>9</v>
      </c>
      <c r="U34">
        <v>78</v>
      </c>
    </row>
    <row r="35" spans="1:21" x14ac:dyDescent="0.3">
      <c r="A35" t="s">
        <v>117</v>
      </c>
      <c r="B35">
        <v>30564</v>
      </c>
      <c r="C35" t="s">
        <v>47</v>
      </c>
      <c r="D35" t="s">
        <v>34</v>
      </c>
      <c r="E35" t="s">
        <v>75</v>
      </c>
      <c r="F35" t="s">
        <v>118</v>
      </c>
      <c r="G35">
        <v>45627</v>
      </c>
      <c r="I35">
        <v>45647</v>
      </c>
      <c r="J35" t="s">
        <v>29</v>
      </c>
      <c r="K35" t="s">
        <v>37</v>
      </c>
      <c r="L35" t="s">
        <v>38</v>
      </c>
      <c r="M35" t="s">
        <v>1158</v>
      </c>
      <c r="N35" t="s">
        <v>50</v>
      </c>
      <c r="O35" t="s">
        <v>25</v>
      </c>
      <c r="P35">
        <v>12370.36</v>
      </c>
      <c r="Q35">
        <v>2514.64</v>
      </c>
      <c r="R35">
        <v>4052.05</v>
      </c>
      <c r="S35">
        <v>1344.06</v>
      </c>
      <c r="T35">
        <v>9</v>
      </c>
      <c r="U35">
        <v>42</v>
      </c>
    </row>
    <row r="36" spans="1:21" x14ac:dyDescent="0.3">
      <c r="A36" t="s">
        <v>119</v>
      </c>
      <c r="B36">
        <v>35742</v>
      </c>
      <c r="C36" t="s">
        <v>47</v>
      </c>
      <c r="D36" t="s">
        <v>48</v>
      </c>
      <c r="E36" t="s">
        <v>41</v>
      </c>
      <c r="F36" t="s">
        <v>120</v>
      </c>
      <c r="G36">
        <v>45324</v>
      </c>
      <c r="I36">
        <v>45343</v>
      </c>
      <c r="J36" t="s">
        <v>100</v>
      </c>
      <c r="K36" t="s">
        <v>13</v>
      </c>
      <c r="L36" t="s">
        <v>15</v>
      </c>
      <c r="M36" t="s">
        <v>1154</v>
      </c>
      <c r="N36" t="s">
        <v>50</v>
      </c>
      <c r="O36" t="s">
        <v>16</v>
      </c>
      <c r="P36">
        <v>8943.1200000000008</v>
      </c>
      <c r="Q36">
        <v>711.3</v>
      </c>
      <c r="R36">
        <v>2958.63</v>
      </c>
      <c r="S36">
        <v>1442.6</v>
      </c>
      <c r="T36">
        <v>4</v>
      </c>
      <c r="U36">
        <v>28</v>
      </c>
    </row>
    <row r="37" spans="1:21" x14ac:dyDescent="0.3">
      <c r="A37" t="s">
        <v>121</v>
      </c>
      <c r="B37">
        <v>20919</v>
      </c>
      <c r="C37" t="s">
        <v>8</v>
      </c>
      <c r="D37" t="s">
        <v>67</v>
      </c>
      <c r="E37" t="s">
        <v>19</v>
      </c>
      <c r="F37" t="s">
        <v>122</v>
      </c>
      <c r="G37">
        <v>45863</v>
      </c>
      <c r="I37">
        <v>45873</v>
      </c>
      <c r="J37" t="s">
        <v>72</v>
      </c>
      <c r="K37" t="s">
        <v>22</v>
      </c>
      <c r="L37" t="s">
        <v>23</v>
      </c>
      <c r="M37" t="s">
        <v>1158</v>
      </c>
      <c r="N37" t="s">
        <v>65</v>
      </c>
      <c r="O37" t="s">
        <v>25</v>
      </c>
      <c r="P37">
        <v>6167.31</v>
      </c>
      <c r="Q37">
        <v>2957.73</v>
      </c>
      <c r="R37">
        <v>781.64</v>
      </c>
      <c r="S37">
        <v>957.8</v>
      </c>
      <c r="T37">
        <v>8</v>
      </c>
      <c r="U37">
        <v>69</v>
      </c>
    </row>
    <row r="38" spans="1:21" x14ac:dyDescent="0.3">
      <c r="A38" t="s">
        <v>123</v>
      </c>
      <c r="B38">
        <v>21072</v>
      </c>
      <c r="C38" t="s">
        <v>8</v>
      </c>
      <c r="D38" t="s">
        <v>48</v>
      </c>
      <c r="E38" t="s">
        <v>68</v>
      </c>
      <c r="F38" t="s">
        <v>124</v>
      </c>
      <c r="G38">
        <v>45867</v>
      </c>
      <c r="I38">
        <v>45876</v>
      </c>
      <c r="J38" t="s">
        <v>114</v>
      </c>
      <c r="K38" t="s">
        <v>44</v>
      </c>
      <c r="L38" t="s">
        <v>15</v>
      </c>
      <c r="M38" t="s">
        <v>1156</v>
      </c>
      <c r="N38" t="s">
        <v>15</v>
      </c>
      <c r="O38" t="s">
        <v>51</v>
      </c>
      <c r="P38">
        <v>11357.46</v>
      </c>
      <c r="Q38">
        <v>1048.08</v>
      </c>
      <c r="R38">
        <v>2485.12</v>
      </c>
      <c r="S38">
        <v>1344.96</v>
      </c>
      <c r="T38">
        <v>9</v>
      </c>
      <c r="U38">
        <v>68</v>
      </c>
    </row>
    <row r="39" spans="1:21" x14ac:dyDescent="0.3">
      <c r="A39" t="s">
        <v>125</v>
      </c>
      <c r="B39">
        <v>29213</v>
      </c>
      <c r="C39" t="s">
        <v>47</v>
      </c>
      <c r="D39" t="s">
        <v>126</v>
      </c>
      <c r="E39" t="s">
        <v>62</v>
      </c>
      <c r="F39" t="s">
        <v>127</v>
      </c>
      <c r="G39">
        <v>45330</v>
      </c>
      <c r="I39">
        <v>45336</v>
      </c>
      <c r="J39" t="s">
        <v>111</v>
      </c>
      <c r="K39" t="s">
        <v>13</v>
      </c>
      <c r="L39" t="s">
        <v>38</v>
      </c>
      <c r="M39" t="s">
        <v>1159</v>
      </c>
      <c r="N39" t="s">
        <v>15</v>
      </c>
      <c r="O39" t="s">
        <v>31</v>
      </c>
      <c r="P39">
        <v>5162.8100000000004</v>
      </c>
      <c r="Q39">
        <v>1754.8</v>
      </c>
      <c r="R39">
        <v>1055.07</v>
      </c>
      <c r="S39">
        <v>1539.95</v>
      </c>
      <c r="T39">
        <v>3</v>
      </c>
      <c r="U39">
        <v>46</v>
      </c>
    </row>
    <row r="40" spans="1:21" x14ac:dyDescent="0.3">
      <c r="A40" t="s">
        <v>128</v>
      </c>
      <c r="B40">
        <v>16782</v>
      </c>
      <c r="C40" t="s">
        <v>33</v>
      </c>
      <c r="D40" t="s">
        <v>34</v>
      </c>
      <c r="E40" t="s">
        <v>102</v>
      </c>
      <c r="F40" t="s">
        <v>129</v>
      </c>
      <c r="G40">
        <v>45594</v>
      </c>
      <c r="I40">
        <v>45613</v>
      </c>
      <c r="J40" t="s">
        <v>72</v>
      </c>
      <c r="K40" t="s">
        <v>22</v>
      </c>
      <c r="L40" t="s">
        <v>64</v>
      </c>
      <c r="M40" t="s">
        <v>1158</v>
      </c>
      <c r="N40" t="s">
        <v>65</v>
      </c>
      <c r="O40" t="s">
        <v>16</v>
      </c>
      <c r="P40">
        <v>5438.68</v>
      </c>
      <c r="Q40">
        <v>1852.53</v>
      </c>
      <c r="R40">
        <v>2041.21</v>
      </c>
      <c r="S40">
        <v>285.27</v>
      </c>
      <c r="T40">
        <v>2</v>
      </c>
      <c r="U40">
        <v>80</v>
      </c>
    </row>
    <row r="41" spans="1:21" x14ac:dyDescent="0.3">
      <c r="A41" t="s">
        <v>130</v>
      </c>
      <c r="B41">
        <v>32409</v>
      </c>
      <c r="C41" t="s">
        <v>18</v>
      </c>
      <c r="D41" t="s">
        <v>40</v>
      </c>
      <c r="E41" t="s">
        <v>54</v>
      </c>
      <c r="F41" t="s">
        <v>131</v>
      </c>
      <c r="G41">
        <v>45610</v>
      </c>
      <c r="I41">
        <v>45614</v>
      </c>
      <c r="J41" t="s">
        <v>12</v>
      </c>
      <c r="K41" t="s">
        <v>22</v>
      </c>
      <c r="L41" t="s">
        <v>14</v>
      </c>
      <c r="M41" t="s">
        <v>1147</v>
      </c>
      <c r="N41" t="s">
        <v>65</v>
      </c>
      <c r="O41" t="s">
        <v>51</v>
      </c>
      <c r="P41">
        <v>2339.77</v>
      </c>
      <c r="Q41">
        <v>2023.32</v>
      </c>
      <c r="R41">
        <v>4260.22</v>
      </c>
      <c r="S41">
        <v>1126.49</v>
      </c>
      <c r="T41">
        <v>10</v>
      </c>
      <c r="U41">
        <v>37</v>
      </c>
    </row>
    <row r="42" spans="1:21" x14ac:dyDescent="0.3">
      <c r="A42" t="s">
        <v>132</v>
      </c>
      <c r="B42">
        <v>19305</v>
      </c>
      <c r="C42" t="s">
        <v>8</v>
      </c>
      <c r="D42" t="s">
        <v>48</v>
      </c>
      <c r="E42" t="s">
        <v>58</v>
      </c>
      <c r="F42" t="s">
        <v>133</v>
      </c>
      <c r="G42">
        <v>45889</v>
      </c>
      <c r="I42">
        <v>45905</v>
      </c>
      <c r="J42" t="s">
        <v>100</v>
      </c>
      <c r="K42" t="s">
        <v>37</v>
      </c>
      <c r="L42" t="s">
        <v>73</v>
      </c>
      <c r="M42" t="s">
        <v>1161</v>
      </c>
      <c r="N42" t="s">
        <v>24</v>
      </c>
      <c r="O42" t="s">
        <v>31</v>
      </c>
      <c r="P42">
        <v>12038.76</v>
      </c>
      <c r="Q42">
        <v>1920.19</v>
      </c>
      <c r="R42">
        <v>686.46</v>
      </c>
      <c r="S42">
        <v>210.31</v>
      </c>
      <c r="T42">
        <v>7</v>
      </c>
      <c r="U42">
        <v>73</v>
      </c>
    </row>
    <row r="43" spans="1:21" x14ac:dyDescent="0.3">
      <c r="A43" t="s">
        <v>134</v>
      </c>
      <c r="B43">
        <v>23198</v>
      </c>
      <c r="C43" t="s">
        <v>33</v>
      </c>
      <c r="D43" t="s">
        <v>57</v>
      </c>
      <c r="E43" t="s">
        <v>41</v>
      </c>
      <c r="F43" t="s">
        <v>135</v>
      </c>
      <c r="G43">
        <v>45430</v>
      </c>
      <c r="I43">
        <v>45444</v>
      </c>
      <c r="J43" t="s">
        <v>29</v>
      </c>
      <c r="K43" t="s">
        <v>13</v>
      </c>
      <c r="L43" t="s">
        <v>15</v>
      </c>
      <c r="M43" t="s">
        <v>1150</v>
      </c>
      <c r="N43" t="s">
        <v>50</v>
      </c>
      <c r="O43" t="s">
        <v>16</v>
      </c>
      <c r="P43">
        <v>8392.16</v>
      </c>
      <c r="Q43">
        <v>1596.02</v>
      </c>
      <c r="R43">
        <v>2376.85</v>
      </c>
      <c r="S43">
        <v>1848.25</v>
      </c>
      <c r="T43">
        <v>9</v>
      </c>
      <c r="U43">
        <v>62</v>
      </c>
    </row>
    <row r="44" spans="1:21" x14ac:dyDescent="0.3">
      <c r="A44" t="s">
        <v>136</v>
      </c>
      <c r="B44">
        <v>35383</v>
      </c>
      <c r="C44" t="s">
        <v>18</v>
      </c>
      <c r="D44" t="s">
        <v>126</v>
      </c>
      <c r="E44" t="s">
        <v>41</v>
      </c>
      <c r="F44" t="s">
        <v>137</v>
      </c>
      <c r="G44">
        <v>45921</v>
      </c>
      <c r="I44">
        <v>45922</v>
      </c>
      <c r="J44" t="s">
        <v>72</v>
      </c>
      <c r="K44" t="s">
        <v>22</v>
      </c>
      <c r="L44" t="s">
        <v>64</v>
      </c>
      <c r="M44" t="s">
        <v>1150</v>
      </c>
      <c r="N44" t="s">
        <v>24</v>
      </c>
      <c r="O44" t="s">
        <v>31</v>
      </c>
      <c r="P44">
        <v>14999.26</v>
      </c>
      <c r="Q44">
        <v>1937.78</v>
      </c>
      <c r="R44">
        <v>4392.1000000000004</v>
      </c>
      <c r="S44">
        <v>648.76</v>
      </c>
      <c r="T44">
        <v>2</v>
      </c>
      <c r="U44">
        <v>29</v>
      </c>
    </row>
    <row r="45" spans="1:21" x14ac:dyDescent="0.3">
      <c r="A45" t="s">
        <v>138</v>
      </c>
      <c r="B45">
        <v>29435</v>
      </c>
      <c r="C45" t="s">
        <v>18</v>
      </c>
      <c r="D45" t="s">
        <v>139</v>
      </c>
      <c r="E45" t="s">
        <v>58</v>
      </c>
      <c r="F45" t="s">
        <v>140</v>
      </c>
      <c r="G45">
        <v>45644</v>
      </c>
      <c r="I45">
        <v>45657</v>
      </c>
      <c r="J45" t="s">
        <v>104</v>
      </c>
      <c r="K45" t="s">
        <v>44</v>
      </c>
      <c r="L45" t="s">
        <v>15</v>
      </c>
      <c r="M45" t="s">
        <v>1150</v>
      </c>
      <c r="N45" t="s">
        <v>24</v>
      </c>
      <c r="O45" t="s">
        <v>51</v>
      </c>
      <c r="P45">
        <v>4161.26</v>
      </c>
      <c r="Q45">
        <v>1315.65</v>
      </c>
      <c r="R45">
        <v>839.22</v>
      </c>
      <c r="S45">
        <v>1772.55</v>
      </c>
      <c r="T45">
        <v>9</v>
      </c>
      <c r="U45">
        <v>45</v>
      </c>
    </row>
    <row r="46" spans="1:21" x14ac:dyDescent="0.3">
      <c r="A46" t="s">
        <v>141</v>
      </c>
      <c r="B46">
        <v>22849</v>
      </c>
      <c r="C46" t="s">
        <v>18</v>
      </c>
      <c r="D46" t="s">
        <v>48</v>
      </c>
      <c r="E46" t="s">
        <v>19</v>
      </c>
      <c r="F46" t="s">
        <v>142</v>
      </c>
      <c r="G46">
        <v>45911</v>
      </c>
      <c r="I46">
        <v>45931</v>
      </c>
      <c r="J46" t="s">
        <v>43</v>
      </c>
      <c r="K46" t="s">
        <v>22</v>
      </c>
      <c r="L46" t="s">
        <v>30</v>
      </c>
      <c r="M46" t="s">
        <v>1161</v>
      </c>
      <c r="N46" t="s">
        <v>15</v>
      </c>
      <c r="O46" t="s">
        <v>51</v>
      </c>
      <c r="P46">
        <v>9891.7199999999993</v>
      </c>
      <c r="Q46">
        <v>2033.89</v>
      </c>
      <c r="R46">
        <v>2652.16</v>
      </c>
      <c r="S46">
        <v>1114.1400000000001</v>
      </c>
      <c r="T46">
        <v>6</v>
      </c>
      <c r="U46">
        <v>63</v>
      </c>
    </row>
    <row r="47" spans="1:21" x14ac:dyDescent="0.3">
      <c r="A47" t="s">
        <v>143</v>
      </c>
      <c r="B47">
        <v>35415</v>
      </c>
      <c r="C47" t="s">
        <v>18</v>
      </c>
      <c r="D47" t="s">
        <v>40</v>
      </c>
      <c r="E47" t="s">
        <v>75</v>
      </c>
      <c r="F47" t="s">
        <v>144</v>
      </c>
      <c r="G47">
        <v>45619</v>
      </c>
      <c r="I47">
        <v>45626</v>
      </c>
      <c r="J47" t="s">
        <v>1160</v>
      </c>
      <c r="K47" t="s">
        <v>22</v>
      </c>
      <c r="L47" t="s">
        <v>30</v>
      </c>
      <c r="M47" t="s">
        <v>1156</v>
      </c>
      <c r="N47" t="s">
        <v>15</v>
      </c>
      <c r="O47" t="s">
        <v>51</v>
      </c>
      <c r="P47">
        <v>8218.23</v>
      </c>
      <c r="Q47">
        <v>648.62</v>
      </c>
      <c r="R47">
        <v>3001.93</v>
      </c>
      <c r="S47">
        <v>1522.33</v>
      </c>
      <c r="T47">
        <v>9</v>
      </c>
      <c r="U47">
        <v>29</v>
      </c>
    </row>
    <row r="48" spans="1:21" x14ac:dyDescent="0.3">
      <c r="A48" t="s">
        <v>145</v>
      </c>
      <c r="B48">
        <v>28517</v>
      </c>
      <c r="C48" t="s">
        <v>33</v>
      </c>
      <c r="D48" t="s">
        <v>9</v>
      </c>
      <c r="E48" t="s">
        <v>68</v>
      </c>
      <c r="F48" t="s">
        <v>146</v>
      </c>
      <c r="G48">
        <v>45368</v>
      </c>
      <c r="I48">
        <v>45370</v>
      </c>
      <c r="J48" t="s">
        <v>43</v>
      </c>
      <c r="K48" t="s">
        <v>37</v>
      </c>
      <c r="L48" t="s">
        <v>73</v>
      </c>
      <c r="M48" t="s">
        <v>1152</v>
      </c>
      <c r="N48" t="s">
        <v>24</v>
      </c>
      <c r="O48" t="s">
        <v>51</v>
      </c>
      <c r="P48">
        <v>10254.48</v>
      </c>
      <c r="Q48">
        <v>398.72</v>
      </c>
      <c r="R48">
        <v>290.22000000000003</v>
      </c>
      <c r="S48">
        <v>1482.7</v>
      </c>
      <c r="T48">
        <v>1</v>
      </c>
      <c r="U48">
        <v>48</v>
      </c>
    </row>
    <row r="49" spans="1:21" x14ac:dyDescent="0.3">
      <c r="A49" t="s">
        <v>147</v>
      </c>
      <c r="B49">
        <v>37669</v>
      </c>
      <c r="C49" t="s">
        <v>18</v>
      </c>
      <c r="D49" t="s">
        <v>67</v>
      </c>
      <c r="E49" t="s">
        <v>19</v>
      </c>
      <c r="F49" t="s">
        <v>148</v>
      </c>
      <c r="G49">
        <v>45444</v>
      </c>
      <c r="I49">
        <v>45452</v>
      </c>
      <c r="J49" t="s">
        <v>72</v>
      </c>
      <c r="K49" t="s">
        <v>13</v>
      </c>
      <c r="L49" t="s">
        <v>73</v>
      </c>
      <c r="M49" t="s">
        <v>1157</v>
      </c>
      <c r="N49" t="s">
        <v>50</v>
      </c>
      <c r="O49" t="s">
        <v>25</v>
      </c>
      <c r="P49">
        <v>2353.86</v>
      </c>
      <c r="Q49">
        <v>1223.49</v>
      </c>
      <c r="R49">
        <v>3718.49</v>
      </c>
      <c r="S49">
        <v>726.29</v>
      </c>
      <c r="T49">
        <v>2</v>
      </c>
      <c r="U49">
        <v>23</v>
      </c>
    </row>
    <row r="50" spans="1:21" x14ac:dyDescent="0.3">
      <c r="A50" t="s">
        <v>149</v>
      </c>
      <c r="B50">
        <v>21668</v>
      </c>
      <c r="C50" t="s">
        <v>18</v>
      </c>
      <c r="D50" t="s">
        <v>61</v>
      </c>
      <c r="E50" t="s">
        <v>41</v>
      </c>
      <c r="F50" t="s">
        <v>150</v>
      </c>
      <c r="G50">
        <v>46000</v>
      </c>
      <c r="I50">
        <v>46019</v>
      </c>
      <c r="J50" t="s">
        <v>1153</v>
      </c>
      <c r="K50" t="s">
        <v>37</v>
      </c>
      <c r="L50" t="s">
        <v>15</v>
      </c>
      <c r="M50" t="s">
        <v>1152</v>
      </c>
      <c r="N50" t="s">
        <v>24</v>
      </c>
      <c r="O50" t="s">
        <v>25</v>
      </c>
      <c r="R50">
        <v>1325.05</v>
      </c>
      <c r="S50">
        <v>1467.21</v>
      </c>
      <c r="T50">
        <v>1</v>
      </c>
      <c r="U50">
        <v>67</v>
      </c>
    </row>
    <row r="51" spans="1:21" x14ac:dyDescent="0.3">
      <c r="A51" t="s">
        <v>151</v>
      </c>
      <c r="B51">
        <v>18817</v>
      </c>
      <c r="C51" t="s">
        <v>33</v>
      </c>
      <c r="D51" t="s">
        <v>53</v>
      </c>
      <c r="E51" t="s">
        <v>41</v>
      </c>
      <c r="F51" t="s">
        <v>152</v>
      </c>
      <c r="G51">
        <v>45369</v>
      </c>
      <c r="I51">
        <v>45380</v>
      </c>
      <c r="J51" t="s">
        <v>21</v>
      </c>
      <c r="K51" t="s">
        <v>22</v>
      </c>
      <c r="L51" t="s">
        <v>45</v>
      </c>
      <c r="M51" t="s">
        <v>1162</v>
      </c>
      <c r="N51" t="s">
        <v>65</v>
      </c>
      <c r="O51" t="s">
        <v>16</v>
      </c>
      <c r="P51">
        <v>5044.22</v>
      </c>
      <c r="Q51">
        <v>1388.96</v>
      </c>
      <c r="R51">
        <v>1436.97</v>
      </c>
      <c r="S51">
        <v>686.04</v>
      </c>
      <c r="T51">
        <v>5</v>
      </c>
      <c r="U51">
        <v>74</v>
      </c>
    </row>
    <row r="52" spans="1:21" x14ac:dyDescent="0.3">
      <c r="A52" t="s">
        <v>153</v>
      </c>
      <c r="B52">
        <v>38487</v>
      </c>
      <c r="C52" t="s">
        <v>8</v>
      </c>
      <c r="D52" t="s">
        <v>53</v>
      </c>
      <c r="E52" t="s">
        <v>58</v>
      </c>
      <c r="F52" t="s">
        <v>154</v>
      </c>
      <c r="G52">
        <v>45660</v>
      </c>
      <c r="I52">
        <v>45669</v>
      </c>
      <c r="J52" t="s">
        <v>100</v>
      </c>
      <c r="K52" t="s">
        <v>44</v>
      </c>
      <c r="L52" t="s">
        <v>23</v>
      </c>
      <c r="M52" t="s">
        <v>1161</v>
      </c>
      <c r="N52" t="s">
        <v>50</v>
      </c>
      <c r="O52" t="s">
        <v>16</v>
      </c>
      <c r="P52">
        <v>3042.92</v>
      </c>
      <c r="Q52">
        <v>2386.4699999999998</v>
      </c>
      <c r="R52">
        <v>2347.31</v>
      </c>
      <c r="S52">
        <v>157.36000000000001</v>
      </c>
      <c r="T52">
        <v>7</v>
      </c>
      <c r="U52">
        <v>21</v>
      </c>
    </row>
    <row r="53" spans="1:21" x14ac:dyDescent="0.3">
      <c r="A53" t="s">
        <v>155</v>
      </c>
      <c r="B53">
        <v>23615</v>
      </c>
      <c r="C53" t="s">
        <v>8</v>
      </c>
      <c r="D53" t="s">
        <v>61</v>
      </c>
      <c r="E53" t="s">
        <v>10</v>
      </c>
      <c r="F53" t="s">
        <v>156</v>
      </c>
      <c r="G53">
        <v>45370</v>
      </c>
      <c r="I53">
        <v>45382</v>
      </c>
      <c r="J53" t="s">
        <v>12</v>
      </c>
      <c r="K53" t="s">
        <v>44</v>
      </c>
      <c r="L53" t="s">
        <v>30</v>
      </c>
      <c r="M53" t="s">
        <v>1154</v>
      </c>
      <c r="N53" t="s">
        <v>50</v>
      </c>
      <c r="O53" t="s">
        <v>16</v>
      </c>
      <c r="P53">
        <v>8662.18</v>
      </c>
      <c r="Q53">
        <v>2543.67</v>
      </c>
      <c r="R53">
        <v>3458.87</v>
      </c>
      <c r="S53">
        <v>652.74</v>
      </c>
      <c r="T53">
        <v>8</v>
      </c>
      <c r="U53">
        <v>61</v>
      </c>
    </row>
    <row r="54" spans="1:21" x14ac:dyDescent="0.3">
      <c r="A54" t="s">
        <v>157</v>
      </c>
      <c r="B54">
        <v>23932</v>
      </c>
      <c r="C54" t="s">
        <v>33</v>
      </c>
      <c r="D54" t="s">
        <v>67</v>
      </c>
      <c r="E54" t="s">
        <v>19</v>
      </c>
      <c r="F54" t="s">
        <v>158</v>
      </c>
      <c r="G54">
        <v>45694</v>
      </c>
      <c r="I54">
        <v>45706</v>
      </c>
      <c r="J54" t="s">
        <v>100</v>
      </c>
      <c r="K54" t="s">
        <v>22</v>
      </c>
      <c r="L54" t="s">
        <v>45</v>
      </c>
      <c r="M54" t="s">
        <v>1158</v>
      </c>
      <c r="N54" t="s">
        <v>50</v>
      </c>
      <c r="O54" t="s">
        <v>51</v>
      </c>
      <c r="P54">
        <v>12641.13</v>
      </c>
      <c r="Q54">
        <v>2918.76</v>
      </c>
      <c r="R54">
        <v>3195.4</v>
      </c>
      <c r="S54">
        <v>1267.96</v>
      </c>
      <c r="T54">
        <v>1</v>
      </c>
      <c r="U54">
        <v>60</v>
      </c>
    </row>
    <row r="55" spans="1:21" x14ac:dyDescent="0.3">
      <c r="A55" t="s">
        <v>159</v>
      </c>
      <c r="B55">
        <v>28881</v>
      </c>
      <c r="C55" t="s">
        <v>33</v>
      </c>
      <c r="D55" t="s">
        <v>34</v>
      </c>
      <c r="E55" t="s">
        <v>10</v>
      </c>
      <c r="F55" t="s">
        <v>160</v>
      </c>
      <c r="G55">
        <v>45660</v>
      </c>
      <c r="I55">
        <v>45678</v>
      </c>
      <c r="J55" t="s">
        <v>21</v>
      </c>
      <c r="K55" t="s">
        <v>44</v>
      </c>
      <c r="L55" t="s">
        <v>38</v>
      </c>
      <c r="M55" t="s">
        <v>1154</v>
      </c>
      <c r="N55" t="s">
        <v>15</v>
      </c>
      <c r="O55" t="s">
        <v>51</v>
      </c>
      <c r="P55">
        <v>8858.34</v>
      </c>
      <c r="Q55">
        <v>2809.47</v>
      </c>
      <c r="R55">
        <v>4990.04</v>
      </c>
      <c r="S55">
        <v>345.25</v>
      </c>
      <c r="T55">
        <v>1</v>
      </c>
      <c r="U55">
        <v>47</v>
      </c>
    </row>
    <row r="56" spans="1:21" x14ac:dyDescent="0.3">
      <c r="A56" t="s">
        <v>161</v>
      </c>
      <c r="B56">
        <v>18762</v>
      </c>
      <c r="C56" t="s">
        <v>47</v>
      </c>
      <c r="D56" t="s">
        <v>67</v>
      </c>
      <c r="E56" t="s">
        <v>58</v>
      </c>
      <c r="F56" t="s">
        <v>162</v>
      </c>
      <c r="G56">
        <v>45379</v>
      </c>
      <c r="I56">
        <v>45383</v>
      </c>
      <c r="J56" t="s">
        <v>114</v>
      </c>
      <c r="K56" t="s">
        <v>44</v>
      </c>
      <c r="L56" t="s">
        <v>45</v>
      </c>
      <c r="M56" t="s">
        <v>1152</v>
      </c>
      <c r="N56" t="s">
        <v>50</v>
      </c>
      <c r="O56" t="s">
        <v>51</v>
      </c>
      <c r="P56">
        <v>9702.14</v>
      </c>
      <c r="Q56">
        <v>2232.29</v>
      </c>
      <c r="R56">
        <v>4728.6400000000003</v>
      </c>
      <c r="S56">
        <v>977.59</v>
      </c>
      <c r="T56">
        <v>8</v>
      </c>
      <c r="U56">
        <v>75</v>
      </c>
    </row>
    <row r="57" spans="1:21" x14ac:dyDescent="0.3">
      <c r="A57" t="s">
        <v>163</v>
      </c>
      <c r="B57">
        <v>20781</v>
      </c>
      <c r="C57" t="s">
        <v>47</v>
      </c>
      <c r="D57" t="s">
        <v>61</v>
      </c>
      <c r="E57" t="s">
        <v>19</v>
      </c>
      <c r="F57" t="s">
        <v>164</v>
      </c>
      <c r="G57">
        <v>45734</v>
      </c>
      <c r="I57">
        <v>45747</v>
      </c>
      <c r="J57" t="s">
        <v>43</v>
      </c>
      <c r="K57" t="s">
        <v>13</v>
      </c>
      <c r="L57" t="s">
        <v>14</v>
      </c>
      <c r="M57" t="s">
        <v>1158</v>
      </c>
      <c r="N57" t="s">
        <v>15</v>
      </c>
      <c r="O57" t="s">
        <v>16</v>
      </c>
      <c r="P57">
        <v>10111.92</v>
      </c>
      <c r="Q57">
        <v>2517.96</v>
      </c>
      <c r="R57">
        <v>2726.7</v>
      </c>
      <c r="S57">
        <v>1290.6300000000001</v>
      </c>
      <c r="T57">
        <v>1</v>
      </c>
      <c r="U57">
        <v>69</v>
      </c>
    </row>
    <row r="58" spans="1:21" x14ac:dyDescent="0.3">
      <c r="A58" t="s">
        <v>165</v>
      </c>
      <c r="B58">
        <v>24704</v>
      </c>
      <c r="C58" t="s">
        <v>33</v>
      </c>
      <c r="D58" t="s">
        <v>61</v>
      </c>
      <c r="E58" t="s">
        <v>41</v>
      </c>
      <c r="F58" t="s">
        <v>166</v>
      </c>
      <c r="G58">
        <v>45468</v>
      </c>
      <c r="I58">
        <v>45478</v>
      </c>
      <c r="J58" t="s">
        <v>21</v>
      </c>
      <c r="K58" t="s">
        <v>44</v>
      </c>
      <c r="L58" t="s">
        <v>23</v>
      </c>
      <c r="M58" t="s">
        <v>1156</v>
      </c>
      <c r="N58" t="s">
        <v>24</v>
      </c>
      <c r="O58" t="s">
        <v>25</v>
      </c>
      <c r="P58">
        <v>2985.1</v>
      </c>
      <c r="Q58">
        <v>555.86</v>
      </c>
      <c r="R58">
        <v>3855.94</v>
      </c>
      <c r="S58">
        <v>1809.95</v>
      </c>
      <c r="T58">
        <v>2</v>
      </c>
      <c r="U58">
        <v>58</v>
      </c>
    </row>
    <row r="59" spans="1:21" x14ac:dyDescent="0.3">
      <c r="A59" t="s">
        <v>167</v>
      </c>
      <c r="B59">
        <v>19476</v>
      </c>
      <c r="C59" t="s">
        <v>18</v>
      </c>
      <c r="D59" t="s">
        <v>67</v>
      </c>
      <c r="E59" t="s">
        <v>58</v>
      </c>
      <c r="F59" t="s">
        <v>168</v>
      </c>
      <c r="G59">
        <v>45685</v>
      </c>
      <c r="I59">
        <v>45703</v>
      </c>
      <c r="J59" t="s">
        <v>104</v>
      </c>
      <c r="K59" t="s">
        <v>37</v>
      </c>
      <c r="L59" t="s">
        <v>38</v>
      </c>
      <c r="M59" t="s">
        <v>1152</v>
      </c>
      <c r="N59" t="s">
        <v>65</v>
      </c>
      <c r="O59" t="s">
        <v>16</v>
      </c>
      <c r="R59">
        <v>4631.33</v>
      </c>
      <c r="S59">
        <v>798.1</v>
      </c>
      <c r="T59">
        <v>8</v>
      </c>
      <c r="U59">
        <v>73</v>
      </c>
    </row>
    <row r="60" spans="1:21" x14ac:dyDescent="0.3">
      <c r="A60" t="s">
        <v>169</v>
      </c>
      <c r="B60">
        <v>28959</v>
      </c>
      <c r="C60" t="s">
        <v>18</v>
      </c>
      <c r="D60" t="s">
        <v>40</v>
      </c>
      <c r="E60" t="s">
        <v>54</v>
      </c>
      <c r="F60" t="s">
        <v>170</v>
      </c>
      <c r="G60">
        <v>45396</v>
      </c>
      <c r="I60">
        <v>45404</v>
      </c>
      <c r="J60" t="s">
        <v>1163</v>
      </c>
      <c r="K60" t="s">
        <v>44</v>
      </c>
      <c r="L60" t="s">
        <v>45</v>
      </c>
      <c r="M60" t="s">
        <v>1150</v>
      </c>
      <c r="N60" t="s">
        <v>65</v>
      </c>
      <c r="O60" t="s">
        <v>25</v>
      </c>
      <c r="P60">
        <v>10190.82</v>
      </c>
      <c r="Q60">
        <v>1563.22</v>
      </c>
      <c r="R60">
        <v>2461.69</v>
      </c>
      <c r="S60">
        <v>380.18</v>
      </c>
      <c r="T60">
        <v>2</v>
      </c>
      <c r="U60">
        <v>47</v>
      </c>
    </row>
    <row r="61" spans="1:21" x14ac:dyDescent="0.3">
      <c r="A61" t="s">
        <v>171</v>
      </c>
      <c r="B61">
        <v>29734</v>
      </c>
      <c r="C61" t="s">
        <v>8</v>
      </c>
      <c r="D61" t="s">
        <v>40</v>
      </c>
      <c r="E61" t="s">
        <v>10</v>
      </c>
      <c r="F61" t="s">
        <v>172</v>
      </c>
      <c r="G61">
        <v>45818</v>
      </c>
      <c r="I61">
        <v>45822</v>
      </c>
      <c r="J61" t="s">
        <v>114</v>
      </c>
      <c r="K61" t="s">
        <v>13</v>
      </c>
      <c r="L61" t="s">
        <v>38</v>
      </c>
      <c r="M61" t="s">
        <v>1162</v>
      </c>
      <c r="N61" t="s">
        <v>65</v>
      </c>
      <c r="O61" t="s">
        <v>31</v>
      </c>
      <c r="P61">
        <v>7615.61</v>
      </c>
      <c r="Q61">
        <v>1271.7</v>
      </c>
      <c r="R61">
        <v>2448.4699999999998</v>
      </c>
      <c r="S61">
        <v>1834.45</v>
      </c>
      <c r="T61">
        <v>3</v>
      </c>
      <c r="U61">
        <v>45</v>
      </c>
    </row>
    <row r="62" spans="1:21" x14ac:dyDescent="0.3">
      <c r="A62" t="s">
        <v>173</v>
      </c>
      <c r="B62">
        <v>29979</v>
      </c>
      <c r="C62" t="s">
        <v>18</v>
      </c>
      <c r="D62" t="s">
        <v>61</v>
      </c>
      <c r="E62" t="s">
        <v>68</v>
      </c>
      <c r="F62" t="s">
        <v>174</v>
      </c>
      <c r="G62">
        <v>45387</v>
      </c>
      <c r="I62">
        <v>45402</v>
      </c>
      <c r="J62" t="s">
        <v>29</v>
      </c>
      <c r="K62" t="s">
        <v>13</v>
      </c>
      <c r="L62" t="s">
        <v>73</v>
      </c>
      <c r="M62" t="s">
        <v>1162</v>
      </c>
      <c r="N62" t="s">
        <v>50</v>
      </c>
      <c r="O62" t="s">
        <v>16</v>
      </c>
      <c r="P62">
        <v>8186.52</v>
      </c>
      <c r="Q62">
        <v>1038.81</v>
      </c>
      <c r="R62">
        <v>3624.23</v>
      </c>
      <c r="S62">
        <v>1475.47</v>
      </c>
      <c r="T62">
        <v>4</v>
      </c>
      <c r="U62">
        <v>44</v>
      </c>
    </row>
    <row r="63" spans="1:21" x14ac:dyDescent="0.3">
      <c r="A63" t="s">
        <v>175</v>
      </c>
      <c r="B63">
        <v>36649</v>
      </c>
      <c r="C63" t="s">
        <v>47</v>
      </c>
      <c r="D63" t="s">
        <v>48</v>
      </c>
      <c r="E63" t="s">
        <v>19</v>
      </c>
      <c r="F63" t="s">
        <v>176</v>
      </c>
      <c r="G63">
        <v>45962</v>
      </c>
      <c r="I63">
        <v>45974</v>
      </c>
      <c r="J63" t="s">
        <v>1141</v>
      </c>
      <c r="K63" t="s">
        <v>44</v>
      </c>
      <c r="L63" t="s">
        <v>38</v>
      </c>
      <c r="M63" t="s">
        <v>1157</v>
      </c>
      <c r="N63" t="s">
        <v>65</v>
      </c>
      <c r="O63" t="s">
        <v>51</v>
      </c>
      <c r="P63">
        <v>12239.57</v>
      </c>
      <c r="Q63">
        <v>301.63</v>
      </c>
      <c r="R63">
        <v>1185.82</v>
      </c>
      <c r="S63">
        <v>918.7</v>
      </c>
      <c r="T63">
        <v>5</v>
      </c>
      <c r="U63">
        <v>26</v>
      </c>
    </row>
    <row r="64" spans="1:21" x14ac:dyDescent="0.3">
      <c r="A64" t="s">
        <v>177</v>
      </c>
      <c r="B64">
        <v>21734</v>
      </c>
      <c r="C64" t="s">
        <v>18</v>
      </c>
      <c r="D64" t="s">
        <v>139</v>
      </c>
      <c r="E64" t="s">
        <v>75</v>
      </c>
      <c r="F64" t="s">
        <v>178</v>
      </c>
      <c r="G64">
        <v>45396</v>
      </c>
      <c r="I64">
        <v>45400</v>
      </c>
      <c r="J64" t="s">
        <v>29</v>
      </c>
      <c r="K64" t="s">
        <v>13</v>
      </c>
      <c r="L64" t="s">
        <v>45</v>
      </c>
      <c r="M64" t="s">
        <v>1162</v>
      </c>
      <c r="N64" t="s">
        <v>65</v>
      </c>
      <c r="O64" t="s">
        <v>16</v>
      </c>
      <c r="P64">
        <v>3545.45</v>
      </c>
      <c r="Q64">
        <v>659.16</v>
      </c>
      <c r="R64">
        <v>5002</v>
      </c>
      <c r="S64">
        <v>787.16</v>
      </c>
      <c r="T64">
        <v>3</v>
      </c>
      <c r="U64">
        <v>66</v>
      </c>
    </row>
    <row r="65" spans="1:21" x14ac:dyDescent="0.3">
      <c r="A65" t="s">
        <v>179</v>
      </c>
      <c r="B65">
        <v>22057</v>
      </c>
      <c r="C65" t="s">
        <v>33</v>
      </c>
      <c r="D65" t="s">
        <v>67</v>
      </c>
      <c r="E65" t="s">
        <v>58</v>
      </c>
      <c r="F65" t="s">
        <v>180</v>
      </c>
      <c r="G65">
        <v>45378</v>
      </c>
      <c r="I65">
        <v>45386</v>
      </c>
      <c r="J65" t="s">
        <v>104</v>
      </c>
      <c r="K65" t="s">
        <v>13</v>
      </c>
      <c r="L65" t="s">
        <v>14</v>
      </c>
      <c r="M65" t="s">
        <v>1152</v>
      </c>
      <c r="N65" t="s">
        <v>65</v>
      </c>
      <c r="O65" t="s">
        <v>25</v>
      </c>
      <c r="P65">
        <v>7349.92</v>
      </c>
      <c r="Q65">
        <v>2880.68</v>
      </c>
      <c r="R65">
        <v>1219.68</v>
      </c>
      <c r="S65">
        <v>1766.42</v>
      </c>
      <c r="T65">
        <v>5</v>
      </c>
      <c r="U65">
        <v>66</v>
      </c>
    </row>
    <row r="66" spans="1:21" x14ac:dyDescent="0.3">
      <c r="A66" t="s">
        <v>181</v>
      </c>
      <c r="B66">
        <v>34206</v>
      </c>
      <c r="C66" t="s">
        <v>33</v>
      </c>
      <c r="D66" t="s">
        <v>53</v>
      </c>
      <c r="E66" t="s">
        <v>10</v>
      </c>
      <c r="F66" t="s">
        <v>182</v>
      </c>
      <c r="G66">
        <v>45366</v>
      </c>
      <c r="I66">
        <v>45367</v>
      </c>
      <c r="J66" t="s">
        <v>1164</v>
      </c>
      <c r="K66" t="s">
        <v>44</v>
      </c>
      <c r="L66" t="s">
        <v>30</v>
      </c>
      <c r="M66" t="s">
        <v>1162</v>
      </c>
      <c r="N66" t="s">
        <v>24</v>
      </c>
      <c r="O66" t="s">
        <v>25</v>
      </c>
      <c r="P66">
        <v>2305.3000000000002</v>
      </c>
      <c r="Q66">
        <v>936.98</v>
      </c>
      <c r="R66">
        <v>1861.43</v>
      </c>
      <c r="S66">
        <v>364.82</v>
      </c>
      <c r="T66">
        <v>1</v>
      </c>
      <c r="U66">
        <v>32</v>
      </c>
    </row>
    <row r="67" spans="1:21" x14ac:dyDescent="0.3">
      <c r="A67" t="s">
        <v>183</v>
      </c>
      <c r="B67">
        <v>23725</v>
      </c>
      <c r="C67" t="s">
        <v>18</v>
      </c>
      <c r="D67" t="s">
        <v>27</v>
      </c>
      <c r="E67" t="s">
        <v>58</v>
      </c>
      <c r="F67" t="s">
        <v>184</v>
      </c>
      <c r="G67">
        <v>45536</v>
      </c>
      <c r="I67">
        <v>45538</v>
      </c>
      <c r="J67" t="s">
        <v>1165</v>
      </c>
      <c r="K67" t="s">
        <v>22</v>
      </c>
      <c r="L67" t="s">
        <v>30</v>
      </c>
      <c r="M67" t="s">
        <v>1159</v>
      </c>
      <c r="N67" t="s">
        <v>24</v>
      </c>
      <c r="P67">
        <v>3328.78</v>
      </c>
      <c r="Q67">
        <v>570.34</v>
      </c>
      <c r="R67">
        <v>2374.29</v>
      </c>
      <c r="S67">
        <v>299.57</v>
      </c>
      <c r="T67">
        <v>10</v>
      </c>
      <c r="U67">
        <v>61</v>
      </c>
    </row>
    <row r="68" spans="1:21" x14ac:dyDescent="0.3">
      <c r="A68" t="s">
        <v>185</v>
      </c>
      <c r="B68">
        <v>35255</v>
      </c>
      <c r="C68" t="s">
        <v>18</v>
      </c>
      <c r="D68" t="s">
        <v>67</v>
      </c>
      <c r="E68" t="s">
        <v>19</v>
      </c>
      <c r="F68" t="s">
        <v>186</v>
      </c>
      <c r="G68">
        <v>45828</v>
      </c>
      <c r="I68">
        <v>45831</v>
      </c>
      <c r="J68" t="s">
        <v>12</v>
      </c>
      <c r="K68" t="s">
        <v>37</v>
      </c>
      <c r="L68" t="s">
        <v>73</v>
      </c>
      <c r="M68" t="s">
        <v>1157</v>
      </c>
      <c r="N68" t="s">
        <v>50</v>
      </c>
      <c r="P68">
        <v>1724.76</v>
      </c>
      <c r="Q68">
        <v>2127.52</v>
      </c>
      <c r="R68">
        <v>3329.02</v>
      </c>
      <c r="S68">
        <v>432.56</v>
      </c>
      <c r="T68">
        <v>6</v>
      </c>
      <c r="U68">
        <v>29</v>
      </c>
    </row>
    <row r="69" spans="1:21" x14ac:dyDescent="0.3">
      <c r="A69" t="s">
        <v>187</v>
      </c>
      <c r="B69">
        <v>21709</v>
      </c>
      <c r="C69" t="s">
        <v>33</v>
      </c>
      <c r="D69" t="s">
        <v>27</v>
      </c>
      <c r="E69" t="s">
        <v>68</v>
      </c>
      <c r="F69" t="s">
        <v>188</v>
      </c>
      <c r="G69">
        <v>45718</v>
      </c>
      <c r="I69">
        <v>45729</v>
      </c>
      <c r="J69" t="s">
        <v>12</v>
      </c>
      <c r="K69" t="s">
        <v>13</v>
      </c>
      <c r="L69" t="s">
        <v>73</v>
      </c>
      <c r="M69" t="s">
        <v>1154</v>
      </c>
      <c r="N69" t="s">
        <v>50</v>
      </c>
      <c r="O69" t="s">
        <v>31</v>
      </c>
      <c r="P69">
        <v>5840.81</v>
      </c>
      <c r="Q69">
        <v>2173.33</v>
      </c>
      <c r="R69">
        <v>2662.96</v>
      </c>
      <c r="S69">
        <v>539.20000000000005</v>
      </c>
      <c r="T69">
        <v>1</v>
      </c>
      <c r="U69">
        <v>67</v>
      </c>
    </row>
    <row r="70" spans="1:21" x14ac:dyDescent="0.3">
      <c r="A70" t="s">
        <v>189</v>
      </c>
      <c r="B70">
        <v>33506</v>
      </c>
      <c r="C70" t="s">
        <v>8</v>
      </c>
      <c r="D70" t="s">
        <v>27</v>
      </c>
      <c r="E70" t="s">
        <v>102</v>
      </c>
      <c r="F70" t="s">
        <v>190</v>
      </c>
      <c r="G70">
        <v>45543</v>
      </c>
      <c r="I70">
        <v>45548</v>
      </c>
      <c r="J70" t="s">
        <v>1166</v>
      </c>
      <c r="K70" t="s">
        <v>44</v>
      </c>
      <c r="L70" t="s">
        <v>30</v>
      </c>
      <c r="M70" t="s">
        <v>1162</v>
      </c>
      <c r="N70" t="s">
        <v>65</v>
      </c>
      <c r="O70" t="s">
        <v>25</v>
      </c>
      <c r="P70">
        <v>5189.29</v>
      </c>
      <c r="Q70">
        <v>2737.96</v>
      </c>
      <c r="R70">
        <v>4398.3100000000004</v>
      </c>
      <c r="S70">
        <v>1872.62</v>
      </c>
      <c r="T70">
        <v>0</v>
      </c>
      <c r="U70">
        <v>34</v>
      </c>
    </row>
    <row r="71" spans="1:21" x14ac:dyDescent="0.3">
      <c r="A71" t="s">
        <v>191</v>
      </c>
      <c r="B71">
        <v>28205</v>
      </c>
      <c r="C71" t="s">
        <v>8</v>
      </c>
      <c r="D71" t="s">
        <v>34</v>
      </c>
      <c r="E71" t="s">
        <v>68</v>
      </c>
      <c r="F71" t="s">
        <v>192</v>
      </c>
      <c r="G71">
        <v>45695</v>
      </c>
      <c r="I71">
        <v>45698</v>
      </c>
      <c r="J71" t="s">
        <v>21</v>
      </c>
      <c r="K71" t="s">
        <v>37</v>
      </c>
      <c r="L71" t="s">
        <v>23</v>
      </c>
      <c r="M71" t="s">
        <v>1162</v>
      </c>
      <c r="N71" t="s">
        <v>50</v>
      </c>
      <c r="O71" t="s">
        <v>51</v>
      </c>
      <c r="P71">
        <v>8331.06</v>
      </c>
      <c r="Q71">
        <v>1048.17</v>
      </c>
      <c r="R71">
        <v>3442.07</v>
      </c>
      <c r="S71">
        <v>801.23</v>
      </c>
      <c r="T71">
        <v>6</v>
      </c>
      <c r="U71">
        <v>49</v>
      </c>
    </row>
    <row r="72" spans="1:21" x14ac:dyDescent="0.3">
      <c r="A72" t="s">
        <v>193</v>
      </c>
      <c r="B72">
        <v>23598</v>
      </c>
      <c r="C72" t="s">
        <v>33</v>
      </c>
      <c r="D72" t="s">
        <v>57</v>
      </c>
      <c r="E72" t="s">
        <v>58</v>
      </c>
      <c r="F72" t="s">
        <v>194</v>
      </c>
      <c r="G72">
        <v>45414</v>
      </c>
      <c r="I72">
        <v>45417</v>
      </c>
      <c r="J72" t="s">
        <v>114</v>
      </c>
      <c r="K72" t="s">
        <v>13</v>
      </c>
      <c r="L72" t="s">
        <v>45</v>
      </c>
      <c r="M72" t="s">
        <v>1162</v>
      </c>
      <c r="N72" t="s">
        <v>15</v>
      </c>
      <c r="O72" t="s">
        <v>31</v>
      </c>
      <c r="P72">
        <v>2972.9</v>
      </c>
      <c r="Q72">
        <v>1013.59</v>
      </c>
      <c r="R72">
        <v>1257.1500000000001</v>
      </c>
      <c r="S72">
        <v>187.52</v>
      </c>
      <c r="T72">
        <v>6</v>
      </c>
      <c r="U72">
        <v>61</v>
      </c>
    </row>
    <row r="73" spans="1:21" x14ac:dyDescent="0.3">
      <c r="A73" t="s">
        <v>195</v>
      </c>
      <c r="B73">
        <v>21013</v>
      </c>
      <c r="C73" t="s">
        <v>8</v>
      </c>
      <c r="D73" t="s">
        <v>27</v>
      </c>
      <c r="E73" t="s">
        <v>58</v>
      </c>
      <c r="F73" t="s">
        <v>196</v>
      </c>
      <c r="G73">
        <v>45994</v>
      </c>
      <c r="I73">
        <v>45997</v>
      </c>
      <c r="J73" t="s">
        <v>21</v>
      </c>
      <c r="K73" t="s">
        <v>13</v>
      </c>
      <c r="L73" t="s">
        <v>38</v>
      </c>
      <c r="M73" t="s">
        <v>1157</v>
      </c>
      <c r="N73" t="s">
        <v>15</v>
      </c>
      <c r="O73" t="s">
        <v>31</v>
      </c>
      <c r="P73">
        <v>12119.66</v>
      </c>
      <c r="Q73">
        <v>238.72</v>
      </c>
      <c r="R73">
        <v>3020.47</v>
      </c>
      <c r="S73">
        <v>416.75</v>
      </c>
      <c r="T73">
        <v>4</v>
      </c>
      <c r="U73">
        <v>68</v>
      </c>
    </row>
    <row r="74" spans="1:21" x14ac:dyDescent="0.3">
      <c r="A74" t="s">
        <v>197</v>
      </c>
      <c r="B74">
        <v>17460</v>
      </c>
      <c r="C74" t="s">
        <v>18</v>
      </c>
      <c r="D74" t="s">
        <v>9</v>
      </c>
      <c r="E74" t="s">
        <v>35</v>
      </c>
      <c r="F74" t="s">
        <v>198</v>
      </c>
      <c r="G74">
        <v>45923</v>
      </c>
      <c r="I74">
        <v>45931</v>
      </c>
      <c r="J74" t="s">
        <v>12</v>
      </c>
      <c r="K74" t="s">
        <v>13</v>
      </c>
      <c r="L74" t="s">
        <v>64</v>
      </c>
      <c r="M74" t="s">
        <v>1147</v>
      </c>
      <c r="N74" t="s">
        <v>24</v>
      </c>
      <c r="O74" t="s">
        <v>16</v>
      </c>
      <c r="P74">
        <v>7133.44</v>
      </c>
      <c r="Q74">
        <v>307.77</v>
      </c>
      <c r="R74">
        <v>344.89</v>
      </c>
      <c r="S74">
        <v>469.47</v>
      </c>
      <c r="T74">
        <v>7</v>
      </c>
      <c r="U74">
        <v>78</v>
      </c>
    </row>
    <row r="75" spans="1:21" x14ac:dyDescent="0.3">
      <c r="A75" t="s">
        <v>199</v>
      </c>
      <c r="B75">
        <v>35294</v>
      </c>
      <c r="C75" t="s">
        <v>33</v>
      </c>
      <c r="D75" t="s">
        <v>34</v>
      </c>
      <c r="E75" t="s">
        <v>41</v>
      </c>
      <c r="F75" t="s">
        <v>200</v>
      </c>
      <c r="G75">
        <v>45658</v>
      </c>
      <c r="I75">
        <v>45677</v>
      </c>
      <c r="J75" t="s">
        <v>72</v>
      </c>
      <c r="K75" t="s">
        <v>22</v>
      </c>
      <c r="L75" t="s">
        <v>73</v>
      </c>
      <c r="M75" t="s">
        <v>1154</v>
      </c>
      <c r="N75" t="s">
        <v>50</v>
      </c>
      <c r="O75" t="s">
        <v>51</v>
      </c>
      <c r="P75">
        <v>10673.37</v>
      </c>
      <c r="Q75">
        <v>1194.3699999999999</v>
      </c>
      <c r="R75">
        <v>4186.21</v>
      </c>
      <c r="S75">
        <v>403.52</v>
      </c>
      <c r="T75">
        <v>1</v>
      </c>
      <c r="U75">
        <v>29</v>
      </c>
    </row>
    <row r="76" spans="1:21" x14ac:dyDescent="0.3">
      <c r="A76" t="s">
        <v>201</v>
      </c>
      <c r="B76">
        <v>21831</v>
      </c>
      <c r="C76" t="s">
        <v>47</v>
      </c>
      <c r="D76" t="s">
        <v>78</v>
      </c>
      <c r="E76" t="s">
        <v>54</v>
      </c>
      <c r="F76" t="s">
        <v>202</v>
      </c>
      <c r="G76">
        <v>45312</v>
      </c>
      <c r="I76">
        <v>45329</v>
      </c>
      <c r="J76" t="s">
        <v>1167</v>
      </c>
      <c r="K76" t="s">
        <v>22</v>
      </c>
      <c r="L76" t="s">
        <v>15</v>
      </c>
      <c r="M76" t="s">
        <v>1147</v>
      </c>
      <c r="N76" t="s">
        <v>65</v>
      </c>
      <c r="O76" t="s">
        <v>51</v>
      </c>
      <c r="P76">
        <v>6315.77</v>
      </c>
      <c r="Q76">
        <v>618.08000000000004</v>
      </c>
      <c r="R76">
        <v>1314.59</v>
      </c>
      <c r="S76">
        <v>1566.43</v>
      </c>
      <c r="T76">
        <v>3</v>
      </c>
      <c r="U76">
        <v>66</v>
      </c>
    </row>
    <row r="77" spans="1:21" x14ac:dyDescent="0.3">
      <c r="A77" t="s">
        <v>203</v>
      </c>
      <c r="B77">
        <v>20807</v>
      </c>
      <c r="C77" t="s">
        <v>33</v>
      </c>
      <c r="D77" t="s">
        <v>61</v>
      </c>
      <c r="E77" t="s">
        <v>58</v>
      </c>
      <c r="F77" t="s">
        <v>204</v>
      </c>
      <c r="G77">
        <v>46002</v>
      </c>
      <c r="I77">
        <v>46022</v>
      </c>
      <c r="J77" t="s">
        <v>29</v>
      </c>
      <c r="K77" t="s">
        <v>44</v>
      </c>
      <c r="L77" t="s">
        <v>14</v>
      </c>
      <c r="M77" t="s">
        <v>1156</v>
      </c>
      <c r="N77" t="s">
        <v>50</v>
      </c>
      <c r="O77" t="s">
        <v>51</v>
      </c>
      <c r="P77">
        <v>6670.34</v>
      </c>
      <c r="Q77">
        <v>1629.68</v>
      </c>
      <c r="R77">
        <v>2083.6799999999998</v>
      </c>
      <c r="S77">
        <v>682.39</v>
      </c>
      <c r="T77">
        <v>5</v>
      </c>
      <c r="U77">
        <v>69</v>
      </c>
    </row>
    <row r="78" spans="1:21" x14ac:dyDescent="0.3">
      <c r="A78" t="s">
        <v>205</v>
      </c>
      <c r="B78">
        <v>26673</v>
      </c>
      <c r="C78" t="s">
        <v>33</v>
      </c>
      <c r="D78" t="s">
        <v>34</v>
      </c>
      <c r="E78" t="s">
        <v>35</v>
      </c>
      <c r="F78" t="s">
        <v>206</v>
      </c>
      <c r="G78">
        <v>45506</v>
      </c>
      <c r="I78">
        <v>45514</v>
      </c>
      <c r="J78" t="s">
        <v>100</v>
      </c>
      <c r="K78" t="s">
        <v>44</v>
      </c>
      <c r="L78" t="s">
        <v>23</v>
      </c>
      <c r="M78" t="s">
        <v>1156</v>
      </c>
      <c r="N78" t="s">
        <v>65</v>
      </c>
      <c r="O78" t="s">
        <v>31</v>
      </c>
      <c r="P78">
        <v>14439.76</v>
      </c>
      <c r="Q78">
        <v>285.58999999999997</v>
      </c>
      <c r="R78">
        <v>2517.0100000000002</v>
      </c>
      <c r="S78">
        <v>601.58000000000004</v>
      </c>
      <c r="T78">
        <v>7</v>
      </c>
      <c r="U78">
        <v>53</v>
      </c>
    </row>
    <row r="79" spans="1:21" x14ac:dyDescent="0.3">
      <c r="A79" t="s">
        <v>207</v>
      </c>
      <c r="B79">
        <v>20276</v>
      </c>
      <c r="C79" t="s">
        <v>8</v>
      </c>
      <c r="D79" t="s">
        <v>40</v>
      </c>
      <c r="E79" t="s">
        <v>102</v>
      </c>
      <c r="F79" t="s">
        <v>208</v>
      </c>
      <c r="G79">
        <v>45368</v>
      </c>
      <c r="I79">
        <v>45386</v>
      </c>
      <c r="J79" t="s">
        <v>100</v>
      </c>
      <c r="K79" t="s">
        <v>22</v>
      </c>
      <c r="L79" t="s">
        <v>30</v>
      </c>
      <c r="M79" t="s">
        <v>1158</v>
      </c>
      <c r="N79" t="s">
        <v>50</v>
      </c>
      <c r="O79" t="s">
        <v>16</v>
      </c>
      <c r="P79">
        <v>2120.64</v>
      </c>
      <c r="Q79">
        <v>2938.1</v>
      </c>
      <c r="R79">
        <v>4837.97</v>
      </c>
      <c r="S79">
        <v>1032.68</v>
      </c>
      <c r="T79">
        <v>3</v>
      </c>
      <c r="U79">
        <v>70</v>
      </c>
    </row>
    <row r="80" spans="1:21" x14ac:dyDescent="0.3">
      <c r="A80" t="s">
        <v>209</v>
      </c>
      <c r="B80">
        <v>26339</v>
      </c>
      <c r="C80" t="s">
        <v>33</v>
      </c>
      <c r="D80" t="s">
        <v>139</v>
      </c>
      <c r="E80" t="s">
        <v>62</v>
      </c>
      <c r="F80" t="s">
        <v>210</v>
      </c>
      <c r="G80">
        <v>45969</v>
      </c>
      <c r="I80">
        <v>45989</v>
      </c>
      <c r="J80" t="s">
        <v>1153</v>
      </c>
      <c r="K80" t="s">
        <v>22</v>
      </c>
      <c r="L80" t="s">
        <v>15</v>
      </c>
      <c r="M80" t="s">
        <v>1154</v>
      </c>
      <c r="N80" t="s">
        <v>50</v>
      </c>
      <c r="O80" t="s">
        <v>51</v>
      </c>
      <c r="P80">
        <v>7847.62</v>
      </c>
      <c r="Q80">
        <v>2693.18</v>
      </c>
      <c r="R80">
        <v>3748.51</v>
      </c>
      <c r="S80">
        <v>524.85</v>
      </c>
      <c r="T80">
        <v>2</v>
      </c>
      <c r="U80">
        <v>54</v>
      </c>
    </row>
    <row r="81" spans="1:21" x14ac:dyDescent="0.3">
      <c r="A81" t="s">
        <v>211</v>
      </c>
      <c r="B81">
        <v>34325</v>
      </c>
      <c r="C81" t="s">
        <v>33</v>
      </c>
      <c r="D81" t="s">
        <v>61</v>
      </c>
      <c r="E81" t="s">
        <v>102</v>
      </c>
      <c r="F81" t="s">
        <v>212</v>
      </c>
      <c r="G81">
        <v>45391</v>
      </c>
      <c r="I81">
        <v>45394</v>
      </c>
      <c r="J81" t="s">
        <v>29</v>
      </c>
      <c r="K81" t="s">
        <v>37</v>
      </c>
      <c r="L81" t="s">
        <v>23</v>
      </c>
      <c r="M81" t="s">
        <v>1162</v>
      </c>
      <c r="N81" t="s">
        <v>15</v>
      </c>
      <c r="O81" t="s">
        <v>51</v>
      </c>
      <c r="P81">
        <v>4281.0600000000004</v>
      </c>
      <c r="Q81">
        <v>2323.1</v>
      </c>
      <c r="R81">
        <v>1566.22</v>
      </c>
      <c r="S81">
        <v>1684.64</v>
      </c>
      <c r="T81">
        <v>7</v>
      </c>
      <c r="U81">
        <v>32</v>
      </c>
    </row>
    <row r="82" spans="1:21" x14ac:dyDescent="0.3">
      <c r="A82" t="s">
        <v>213</v>
      </c>
      <c r="B82">
        <v>18581</v>
      </c>
      <c r="C82" t="s">
        <v>47</v>
      </c>
      <c r="D82" t="s">
        <v>48</v>
      </c>
      <c r="E82" t="s">
        <v>54</v>
      </c>
      <c r="F82" t="s">
        <v>214</v>
      </c>
      <c r="G82">
        <v>45498</v>
      </c>
      <c r="I82">
        <v>45503</v>
      </c>
      <c r="J82" t="s">
        <v>21</v>
      </c>
      <c r="K82" t="s">
        <v>44</v>
      </c>
      <c r="L82" t="s">
        <v>23</v>
      </c>
      <c r="M82" t="s">
        <v>1147</v>
      </c>
      <c r="N82" t="s">
        <v>65</v>
      </c>
      <c r="O82" t="s">
        <v>31</v>
      </c>
      <c r="P82">
        <v>2792.68</v>
      </c>
      <c r="Q82">
        <v>444.81</v>
      </c>
      <c r="R82">
        <v>1005.57</v>
      </c>
      <c r="S82">
        <v>1822.78</v>
      </c>
      <c r="T82">
        <v>7</v>
      </c>
      <c r="U82">
        <v>75</v>
      </c>
    </row>
    <row r="83" spans="1:21" x14ac:dyDescent="0.3">
      <c r="A83" t="s">
        <v>215</v>
      </c>
      <c r="B83">
        <v>22483</v>
      </c>
      <c r="C83" t="s">
        <v>18</v>
      </c>
      <c r="D83" t="s">
        <v>126</v>
      </c>
      <c r="E83" t="s">
        <v>68</v>
      </c>
      <c r="F83" t="s">
        <v>216</v>
      </c>
      <c r="G83">
        <v>45789</v>
      </c>
      <c r="I83">
        <v>45808</v>
      </c>
      <c r="J83" t="s">
        <v>21</v>
      </c>
      <c r="K83" t="s">
        <v>22</v>
      </c>
      <c r="L83" t="s">
        <v>30</v>
      </c>
      <c r="M83" t="s">
        <v>1158</v>
      </c>
      <c r="N83" t="s">
        <v>15</v>
      </c>
      <c r="P83">
        <v>15257.18</v>
      </c>
      <c r="Q83">
        <v>700.82</v>
      </c>
      <c r="R83">
        <v>1001.25</v>
      </c>
      <c r="S83">
        <v>492.72</v>
      </c>
      <c r="T83">
        <v>7</v>
      </c>
      <c r="U83">
        <v>64</v>
      </c>
    </row>
    <row r="84" spans="1:21" x14ac:dyDescent="0.3">
      <c r="A84" t="s">
        <v>217</v>
      </c>
      <c r="B84">
        <v>22994</v>
      </c>
      <c r="C84" t="s">
        <v>8</v>
      </c>
      <c r="D84" t="s">
        <v>48</v>
      </c>
      <c r="E84" t="s">
        <v>35</v>
      </c>
      <c r="F84" t="s">
        <v>218</v>
      </c>
      <c r="G84">
        <v>45911</v>
      </c>
      <c r="I84">
        <v>45914</v>
      </c>
      <c r="J84" t="s">
        <v>72</v>
      </c>
      <c r="K84" t="s">
        <v>44</v>
      </c>
      <c r="L84" t="s">
        <v>45</v>
      </c>
      <c r="M84" t="s">
        <v>1150</v>
      </c>
      <c r="N84" t="s">
        <v>65</v>
      </c>
      <c r="O84" t="s">
        <v>16</v>
      </c>
      <c r="P84">
        <v>4620.07</v>
      </c>
      <c r="Q84">
        <v>2109.9499999999998</v>
      </c>
      <c r="R84">
        <v>605.79999999999995</v>
      </c>
      <c r="S84">
        <v>1472.96</v>
      </c>
      <c r="T84">
        <v>6</v>
      </c>
      <c r="U84">
        <v>63</v>
      </c>
    </row>
    <row r="85" spans="1:21" x14ac:dyDescent="0.3">
      <c r="A85" t="s">
        <v>219</v>
      </c>
      <c r="B85">
        <v>28327</v>
      </c>
      <c r="C85" t="s">
        <v>47</v>
      </c>
      <c r="D85" t="s">
        <v>67</v>
      </c>
      <c r="E85" t="s">
        <v>58</v>
      </c>
      <c r="F85" t="s">
        <v>220</v>
      </c>
      <c r="G85">
        <v>45418</v>
      </c>
      <c r="I85">
        <v>45419</v>
      </c>
      <c r="J85" t="s">
        <v>72</v>
      </c>
      <c r="K85" t="s">
        <v>44</v>
      </c>
      <c r="L85" t="s">
        <v>45</v>
      </c>
      <c r="M85" t="s">
        <v>1150</v>
      </c>
      <c r="N85" t="s">
        <v>50</v>
      </c>
      <c r="O85" t="s">
        <v>51</v>
      </c>
      <c r="P85">
        <v>5559.59</v>
      </c>
      <c r="Q85">
        <v>2051.69</v>
      </c>
      <c r="R85">
        <v>4306.01</v>
      </c>
      <c r="S85">
        <v>1666.36</v>
      </c>
      <c r="T85">
        <v>6</v>
      </c>
      <c r="U85">
        <v>48</v>
      </c>
    </row>
    <row r="86" spans="1:21" x14ac:dyDescent="0.3">
      <c r="A86" t="s">
        <v>221</v>
      </c>
      <c r="B86">
        <v>37701</v>
      </c>
      <c r="C86" t="s">
        <v>8</v>
      </c>
      <c r="D86" t="s">
        <v>40</v>
      </c>
      <c r="E86" t="s">
        <v>68</v>
      </c>
      <c r="F86" t="s">
        <v>222</v>
      </c>
      <c r="G86">
        <v>45469</v>
      </c>
      <c r="I86">
        <v>45489</v>
      </c>
      <c r="J86" t="s">
        <v>43</v>
      </c>
      <c r="K86" t="s">
        <v>37</v>
      </c>
      <c r="L86" t="s">
        <v>73</v>
      </c>
      <c r="M86" t="s">
        <v>1152</v>
      </c>
      <c r="N86" t="s">
        <v>24</v>
      </c>
      <c r="O86" t="s">
        <v>25</v>
      </c>
      <c r="P86">
        <v>10345.34</v>
      </c>
      <c r="Q86">
        <v>3065.7</v>
      </c>
      <c r="R86">
        <v>2444.85</v>
      </c>
      <c r="S86">
        <v>265.08999999999997</v>
      </c>
      <c r="T86">
        <v>5</v>
      </c>
      <c r="U86">
        <v>23</v>
      </c>
    </row>
    <row r="87" spans="1:21" x14ac:dyDescent="0.3">
      <c r="A87" t="s">
        <v>223</v>
      </c>
      <c r="B87">
        <v>31226</v>
      </c>
      <c r="C87" t="s">
        <v>47</v>
      </c>
      <c r="D87" t="s">
        <v>9</v>
      </c>
      <c r="E87" t="s">
        <v>68</v>
      </c>
      <c r="F87" t="s">
        <v>224</v>
      </c>
      <c r="G87">
        <v>45575</v>
      </c>
      <c r="I87">
        <v>45584</v>
      </c>
      <c r="J87" t="s">
        <v>12</v>
      </c>
      <c r="K87" t="s">
        <v>37</v>
      </c>
      <c r="L87" t="s">
        <v>45</v>
      </c>
      <c r="M87" t="s">
        <v>1154</v>
      </c>
      <c r="N87" t="s">
        <v>50</v>
      </c>
      <c r="O87" t="s">
        <v>51</v>
      </c>
      <c r="P87">
        <v>12278.64</v>
      </c>
      <c r="Q87">
        <v>362.54</v>
      </c>
      <c r="R87">
        <v>4087.65</v>
      </c>
      <c r="S87">
        <v>1412.92</v>
      </c>
      <c r="T87">
        <v>10</v>
      </c>
      <c r="U87">
        <v>40</v>
      </c>
    </row>
    <row r="88" spans="1:21" x14ac:dyDescent="0.3">
      <c r="A88" t="s">
        <v>225</v>
      </c>
      <c r="B88">
        <v>36117</v>
      </c>
      <c r="C88" t="s">
        <v>33</v>
      </c>
      <c r="D88" t="s">
        <v>34</v>
      </c>
      <c r="E88" t="s">
        <v>75</v>
      </c>
      <c r="F88" t="s">
        <v>226</v>
      </c>
      <c r="G88">
        <v>45477</v>
      </c>
      <c r="I88">
        <v>45487</v>
      </c>
      <c r="J88" t="s">
        <v>100</v>
      </c>
      <c r="K88" t="s">
        <v>13</v>
      </c>
      <c r="L88" t="s">
        <v>73</v>
      </c>
      <c r="M88" t="s">
        <v>1147</v>
      </c>
      <c r="N88" t="s">
        <v>65</v>
      </c>
      <c r="O88" t="s">
        <v>51</v>
      </c>
      <c r="P88">
        <v>9125.43</v>
      </c>
      <c r="Q88">
        <v>2923.96</v>
      </c>
      <c r="R88">
        <v>4210.9799999999996</v>
      </c>
      <c r="S88">
        <v>1433.08</v>
      </c>
      <c r="T88">
        <v>2</v>
      </c>
      <c r="U88">
        <v>27</v>
      </c>
    </row>
    <row r="89" spans="1:21" x14ac:dyDescent="0.3">
      <c r="A89" t="s">
        <v>227</v>
      </c>
      <c r="B89">
        <v>17597</v>
      </c>
      <c r="C89" t="s">
        <v>18</v>
      </c>
      <c r="D89" t="s">
        <v>34</v>
      </c>
      <c r="E89" t="s">
        <v>58</v>
      </c>
      <c r="F89" t="s">
        <v>228</v>
      </c>
      <c r="G89">
        <v>45497</v>
      </c>
      <c r="I89">
        <v>45508</v>
      </c>
      <c r="J89" t="s">
        <v>111</v>
      </c>
      <c r="K89" t="s">
        <v>44</v>
      </c>
      <c r="L89" t="s">
        <v>23</v>
      </c>
      <c r="M89" t="s">
        <v>1156</v>
      </c>
      <c r="N89" t="s">
        <v>65</v>
      </c>
      <c r="O89" t="s">
        <v>16</v>
      </c>
      <c r="P89">
        <v>3234.48</v>
      </c>
      <c r="Q89">
        <v>667.64</v>
      </c>
      <c r="R89">
        <v>3657.34</v>
      </c>
      <c r="S89">
        <v>2019.87</v>
      </c>
      <c r="T89">
        <v>3</v>
      </c>
      <c r="U89">
        <v>78</v>
      </c>
    </row>
    <row r="90" spans="1:21" x14ac:dyDescent="0.3">
      <c r="A90" t="s">
        <v>229</v>
      </c>
      <c r="B90">
        <v>28969</v>
      </c>
      <c r="C90" t="s">
        <v>47</v>
      </c>
      <c r="D90" t="s">
        <v>53</v>
      </c>
      <c r="E90" t="s">
        <v>35</v>
      </c>
      <c r="F90" t="s">
        <v>230</v>
      </c>
      <c r="G90">
        <v>45674</v>
      </c>
      <c r="I90">
        <v>45675</v>
      </c>
      <c r="J90" t="s">
        <v>29</v>
      </c>
      <c r="K90" t="s">
        <v>22</v>
      </c>
      <c r="L90" t="s">
        <v>30</v>
      </c>
      <c r="M90" t="s">
        <v>1156</v>
      </c>
      <c r="N90" t="s">
        <v>24</v>
      </c>
      <c r="O90" t="s">
        <v>31</v>
      </c>
      <c r="P90">
        <v>8492.9699999999993</v>
      </c>
      <c r="Q90">
        <v>2821.41</v>
      </c>
      <c r="R90">
        <v>1230.27</v>
      </c>
      <c r="S90">
        <v>1890.51</v>
      </c>
      <c r="T90">
        <v>4</v>
      </c>
      <c r="U90">
        <v>47</v>
      </c>
    </row>
    <row r="91" spans="1:21" x14ac:dyDescent="0.3">
      <c r="A91" t="s">
        <v>231</v>
      </c>
      <c r="B91">
        <v>38534</v>
      </c>
      <c r="C91" t="s">
        <v>47</v>
      </c>
      <c r="D91" t="s">
        <v>61</v>
      </c>
      <c r="E91" t="s">
        <v>58</v>
      </c>
      <c r="F91" t="s">
        <v>232</v>
      </c>
      <c r="G91">
        <v>45525</v>
      </c>
      <c r="I91">
        <v>45533</v>
      </c>
      <c r="J91" t="s">
        <v>1168</v>
      </c>
      <c r="K91" t="s">
        <v>37</v>
      </c>
      <c r="L91" t="s">
        <v>15</v>
      </c>
      <c r="M91" t="s">
        <v>1156</v>
      </c>
      <c r="N91" t="s">
        <v>15</v>
      </c>
      <c r="O91" t="s">
        <v>51</v>
      </c>
      <c r="P91">
        <v>3071.28</v>
      </c>
      <c r="Q91">
        <v>590.66</v>
      </c>
      <c r="R91">
        <v>4056.19</v>
      </c>
      <c r="S91">
        <v>474.76</v>
      </c>
      <c r="T91">
        <v>1</v>
      </c>
      <c r="U91">
        <v>20</v>
      </c>
    </row>
    <row r="92" spans="1:21" x14ac:dyDescent="0.3">
      <c r="A92" t="s">
        <v>233</v>
      </c>
      <c r="B92">
        <v>26241</v>
      </c>
      <c r="C92" t="s">
        <v>18</v>
      </c>
      <c r="D92" t="s">
        <v>61</v>
      </c>
      <c r="E92" t="s">
        <v>102</v>
      </c>
      <c r="F92" t="s">
        <v>234</v>
      </c>
      <c r="G92">
        <v>45970</v>
      </c>
      <c r="I92">
        <v>45987</v>
      </c>
      <c r="J92" t="s">
        <v>12</v>
      </c>
      <c r="K92" t="s">
        <v>13</v>
      </c>
      <c r="L92" t="s">
        <v>30</v>
      </c>
      <c r="M92" t="s">
        <v>1159</v>
      </c>
      <c r="N92" t="s">
        <v>65</v>
      </c>
      <c r="O92" t="s">
        <v>16</v>
      </c>
      <c r="P92">
        <v>9976.35</v>
      </c>
      <c r="Q92">
        <v>530.16</v>
      </c>
      <c r="R92">
        <v>1869.82</v>
      </c>
      <c r="S92">
        <v>1020.53</v>
      </c>
      <c r="T92">
        <v>10</v>
      </c>
      <c r="U92">
        <v>54</v>
      </c>
    </row>
    <row r="93" spans="1:21" x14ac:dyDescent="0.3">
      <c r="A93" t="s">
        <v>235</v>
      </c>
      <c r="B93">
        <v>31812</v>
      </c>
      <c r="C93" t="s">
        <v>47</v>
      </c>
      <c r="D93" t="s">
        <v>27</v>
      </c>
      <c r="E93" t="s">
        <v>41</v>
      </c>
      <c r="F93" t="s">
        <v>236</v>
      </c>
      <c r="G93">
        <v>45879</v>
      </c>
      <c r="I93">
        <v>45895</v>
      </c>
      <c r="J93" t="s">
        <v>114</v>
      </c>
      <c r="K93" t="s">
        <v>22</v>
      </c>
      <c r="L93" t="s">
        <v>15</v>
      </c>
      <c r="M93" t="s">
        <v>1162</v>
      </c>
      <c r="N93" t="s">
        <v>65</v>
      </c>
      <c r="O93" t="s">
        <v>31</v>
      </c>
      <c r="P93">
        <v>15204.2</v>
      </c>
      <c r="Q93">
        <v>554.48</v>
      </c>
      <c r="R93">
        <v>475.97</v>
      </c>
      <c r="S93">
        <v>336.17</v>
      </c>
      <c r="T93">
        <v>4</v>
      </c>
      <c r="U93">
        <v>39</v>
      </c>
    </row>
    <row r="94" spans="1:21" x14ac:dyDescent="0.3">
      <c r="A94" t="s">
        <v>237</v>
      </c>
      <c r="B94">
        <v>24704</v>
      </c>
      <c r="C94" t="s">
        <v>33</v>
      </c>
      <c r="D94" t="s">
        <v>9</v>
      </c>
      <c r="E94" t="s">
        <v>41</v>
      </c>
      <c r="F94" t="s">
        <v>238</v>
      </c>
      <c r="G94">
        <v>45566</v>
      </c>
      <c r="I94">
        <v>45569</v>
      </c>
      <c r="J94" t="s">
        <v>29</v>
      </c>
      <c r="K94" t="s">
        <v>13</v>
      </c>
      <c r="L94" t="s">
        <v>38</v>
      </c>
      <c r="M94" t="s">
        <v>1147</v>
      </c>
      <c r="N94" t="s">
        <v>15</v>
      </c>
      <c r="O94" t="s">
        <v>16</v>
      </c>
      <c r="P94">
        <v>4080.32</v>
      </c>
      <c r="Q94">
        <v>1785.23</v>
      </c>
      <c r="R94">
        <v>3098.14</v>
      </c>
      <c r="S94">
        <v>1820.22</v>
      </c>
      <c r="T94">
        <v>5</v>
      </c>
      <c r="U94">
        <v>58</v>
      </c>
    </row>
    <row r="95" spans="1:21" x14ac:dyDescent="0.3">
      <c r="A95" t="s">
        <v>239</v>
      </c>
      <c r="B95">
        <v>37837</v>
      </c>
      <c r="C95" t="s">
        <v>8</v>
      </c>
      <c r="D95" t="s">
        <v>57</v>
      </c>
      <c r="E95" t="s">
        <v>35</v>
      </c>
      <c r="F95" t="s">
        <v>240</v>
      </c>
      <c r="G95">
        <v>45713</v>
      </c>
      <c r="I95">
        <v>45728</v>
      </c>
      <c r="J95" t="s">
        <v>1169</v>
      </c>
      <c r="K95" t="s">
        <v>44</v>
      </c>
      <c r="L95" t="s">
        <v>38</v>
      </c>
      <c r="M95" t="s">
        <v>1154</v>
      </c>
      <c r="N95" t="s">
        <v>15</v>
      </c>
      <c r="O95" t="s">
        <v>25</v>
      </c>
      <c r="P95">
        <v>3774.03</v>
      </c>
      <c r="Q95">
        <v>170.46</v>
      </c>
      <c r="R95">
        <v>4762.21</v>
      </c>
      <c r="S95">
        <v>1277.73</v>
      </c>
      <c r="T95">
        <v>9</v>
      </c>
      <c r="U95">
        <v>22</v>
      </c>
    </row>
    <row r="96" spans="1:21" x14ac:dyDescent="0.3">
      <c r="A96" t="s">
        <v>241</v>
      </c>
      <c r="B96">
        <v>36400</v>
      </c>
      <c r="C96" t="s">
        <v>33</v>
      </c>
      <c r="D96" t="s">
        <v>139</v>
      </c>
      <c r="E96" t="s">
        <v>54</v>
      </c>
      <c r="F96" t="s">
        <v>242</v>
      </c>
      <c r="G96">
        <v>45461</v>
      </c>
      <c r="I96">
        <v>45464</v>
      </c>
      <c r="J96" t="s">
        <v>1153</v>
      </c>
      <c r="K96" t="s">
        <v>37</v>
      </c>
      <c r="L96" t="s">
        <v>38</v>
      </c>
      <c r="M96" t="s">
        <v>1157</v>
      </c>
      <c r="N96" t="s">
        <v>65</v>
      </c>
      <c r="O96" t="s">
        <v>25</v>
      </c>
      <c r="P96">
        <v>7521.34</v>
      </c>
      <c r="Q96">
        <v>306.69</v>
      </c>
      <c r="R96">
        <v>4718.91</v>
      </c>
      <c r="S96">
        <v>1715.54</v>
      </c>
      <c r="T96">
        <v>9</v>
      </c>
      <c r="U96">
        <v>26</v>
      </c>
    </row>
    <row r="97" spans="1:21" x14ac:dyDescent="0.3">
      <c r="A97" t="s">
        <v>243</v>
      </c>
      <c r="B97">
        <v>31731</v>
      </c>
      <c r="C97" t="s">
        <v>47</v>
      </c>
      <c r="D97" t="s">
        <v>27</v>
      </c>
      <c r="E97" t="s">
        <v>102</v>
      </c>
      <c r="F97" t="s">
        <v>244</v>
      </c>
      <c r="G97">
        <v>45641</v>
      </c>
      <c r="I97">
        <v>45653</v>
      </c>
      <c r="J97" t="s">
        <v>43</v>
      </c>
      <c r="K97" t="s">
        <v>22</v>
      </c>
      <c r="L97" t="s">
        <v>64</v>
      </c>
      <c r="M97" t="s">
        <v>1162</v>
      </c>
      <c r="N97" t="s">
        <v>65</v>
      </c>
      <c r="O97" t="s">
        <v>25</v>
      </c>
      <c r="P97">
        <v>3681.42</v>
      </c>
      <c r="Q97">
        <v>2420.7399999999998</v>
      </c>
      <c r="R97">
        <v>3462.7</v>
      </c>
      <c r="S97">
        <v>1280.8</v>
      </c>
      <c r="T97">
        <v>10</v>
      </c>
      <c r="U97">
        <v>39</v>
      </c>
    </row>
    <row r="98" spans="1:21" x14ac:dyDescent="0.3">
      <c r="A98" t="s">
        <v>245</v>
      </c>
      <c r="B98">
        <v>21424</v>
      </c>
      <c r="C98" t="s">
        <v>47</v>
      </c>
      <c r="D98" t="s">
        <v>57</v>
      </c>
      <c r="E98" t="s">
        <v>10</v>
      </c>
      <c r="F98" t="s">
        <v>246</v>
      </c>
      <c r="G98">
        <v>45487</v>
      </c>
      <c r="I98">
        <v>45498</v>
      </c>
      <c r="J98" t="s">
        <v>1170</v>
      </c>
      <c r="K98" t="s">
        <v>44</v>
      </c>
      <c r="L98" t="s">
        <v>23</v>
      </c>
      <c r="M98" t="s">
        <v>1162</v>
      </c>
      <c r="N98" t="s">
        <v>15</v>
      </c>
      <c r="O98" t="s">
        <v>31</v>
      </c>
      <c r="P98">
        <v>11872.55</v>
      </c>
      <c r="Q98">
        <v>1940.74</v>
      </c>
      <c r="R98">
        <v>2786.41</v>
      </c>
      <c r="S98">
        <v>827.93</v>
      </c>
      <c r="T98">
        <v>10</v>
      </c>
      <c r="U98">
        <v>67</v>
      </c>
    </row>
    <row r="99" spans="1:21" x14ac:dyDescent="0.3">
      <c r="A99" t="s">
        <v>247</v>
      </c>
      <c r="B99">
        <v>25729</v>
      </c>
      <c r="C99" t="s">
        <v>18</v>
      </c>
      <c r="D99" t="s">
        <v>40</v>
      </c>
      <c r="E99" t="s">
        <v>54</v>
      </c>
      <c r="F99" t="s">
        <v>248</v>
      </c>
      <c r="G99">
        <v>45755</v>
      </c>
      <c r="I99">
        <v>45760</v>
      </c>
      <c r="J99" t="s">
        <v>114</v>
      </c>
      <c r="K99" t="s">
        <v>44</v>
      </c>
      <c r="L99" t="s">
        <v>64</v>
      </c>
      <c r="M99" t="s">
        <v>1162</v>
      </c>
      <c r="N99" t="s">
        <v>24</v>
      </c>
      <c r="O99" t="s">
        <v>25</v>
      </c>
      <c r="P99">
        <v>10192.370000000001</v>
      </c>
      <c r="Q99">
        <v>2977.78</v>
      </c>
      <c r="R99">
        <v>4868.2700000000004</v>
      </c>
      <c r="S99">
        <v>1494.87</v>
      </c>
      <c r="T99">
        <v>6</v>
      </c>
      <c r="U99">
        <v>56</v>
      </c>
    </row>
    <row r="100" spans="1:21" x14ac:dyDescent="0.3">
      <c r="A100" t="s">
        <v>249</v>
      </c>
      <c r="B100">
        <v>35081</v>
      </c>
      <c r="C100" t="s">
        <v>47</v>
      </c>
      <c r="D100" t="s">
        <v>48</v>
      </c>
      <c r="E100" t="s">
        <v>62</v>
      </c>
      <c r="F100" t="s">
        <v>250</v>
      </c>
      <c r="G100">
        <v>45401</v>
      </c>
      <c r="I100">
        <v>45402</v>
      </c>
      <c r="J100" t="s">
        <v>111</v>
      </c>
      <c r="K100" t="s">
        <v>13</v>
      </c>
      <c r="L100" t="s">
        <v>14</v>
      </c>
      <c r="M100" t="s">
        <v>1147</v>
      </c>
      <c r="N100" t="s">
        <v>50</v>
      </c>
      <c r="O100" t="s">
        <v>51</v>
      </c>
      <c r="P100">
        <v>13310.12</v>
      </c>
      <c r="Q100">
        <v>1218.02</v>
      </c>
      <c r="R100">
        <v>3308.76</v>
      </c>
      <c r="S100">
        <v>1665.84</v>
      </c>
      <c r="T100">
        <v>3</v>
      </c>
      <c r="U100">
        <v>30</v>
      </c>
    </row>
    <row r="101" spans="1:21" x14ac:dyDescent="0.3">
      <c r="A101" t="s">
        <v>251</v>
      </c>
      <c r="B101">
        <v>38181</v>
      </c>
      <c r="C101" t="s">
        <v>8</v>
      </c>
      <c r="D101" t="s">
        <v>61</v>
      </c>
      <c r="E101" t="s">
        <v>35</v>
      </c>
      <c r="F101" t="s">
        <v>252</v>
      </c>
      <c r="G101">
        <v>45718</v>
      </c>
      <c r="I101">
        <v>45729</v>
      </c>
      <c r="J101" t="s">
        <v>1171</v>
      </c>
      <c r="K101" t="s">
        <v>44</v>
      </c>
      <c r="L101" t="s">
        <v>14</v>
      </c>
      <c r="M101" t="s">
        <v>1159</v>
      </c>
      <c r="N101" t="s">
        <v>50</v>
      </c>
      <c r="O101" t="s">
        <v>25</v>
      </c>
      <c r="P101">
        <v>13056.85</v>
      </c>
      <c r="Q101">
        <v>943.06</v>
      </c>
      <c r="R101">
        <v>3194.06</v>
      </c>
      <c r="S101">
        <v>618.83000000000004</v>
      </c>
      <c r="T101">
        <v>8</v>
      </c>
      <c r="U101">
        <v>21</v>
      </c>
    </row>
    <row r="102" spans="1:21" x14ac:dyDescent="0.3">
      <c r="A102" t="s">
        <v>253</v>
      </c>
      <c r="B102">
        <v>30072</v>
      </c>
      <c r="C102" t="s">
        <v>8</v>
      </c>
      <c r="D102" t="s">
        <v>27</v>
      </c>
      <c r="E102" t="s">
        <v>75</v>
      </c>
      <c r="F102" t="s">
        <v>254</v>
      </c>
      <c r="G102">
        <v>45630</v>
      </c>
      <c r="I102">
        <v>45645</v>
      </c>
      <c r="J102" t="s">
        <v>1151</v>
      </c>
      <c r="K102" t="s">
        <v>44</v>
      </c>
      <c r="L102" t="s">
        <v>15</v>
      </c>
      <c r="M102" t="s">
        <v>1152</v>
      </c>
      <c r="N102" t="s">
        <v>15</v>
      </c>
      <c r="O102" t="s">
        <v>25</v>
      </c>
      <c r="P102">
        <v>2355.4</v>
      </c>
      <c r="Q102">
        <v>2499.09</v>
      </c>
      <c r="R102">
        <v>1913.33</v>
      </c>
      <c r="S102">
        <v>716.04</v>
      </c>
      <c r="T102">
        <v>10</v>
      </c>
      <c r="U102">
        <v>44</v>
      </c>
    </row>
    <row r="103" spans="1:21" x14ac:dyDescent="0.3">
      <c r="A103" t="s">
        <v>255</v>
      </c>
      <c r="B103">
        <v>29526</v>
      </c>
      <c r="C103" t="s">
        <v>8</v>
      </c>
      <c r="D103" t="s">
        <v>57</v>
      </c>
      <c r="E103" t="s">
        <v>62</v>
      </c>
      <c r="F103" t="s">
        <v>256</v>
      </c>
      <c r="G103">
        <v>45409</v>
      </c>
      <c r="I103">
        <v>45421</v>
      </c>
      <c r="J103" t="s">
        <v>1153</v>
      </c>
      <c r="K103" t="s">
        <v>13</v>
      </c>
      <c r="L103" t="s">
        <v>38</v>
      </c>
      <c r="M103" t="s">
        <v>1157</v>
      </c>
      <c r="N103" t="s">
        <v>24</v>
      </c>
      <c r="O103" t="s">
        <v>51</v>
      </c>
      <c r="P103">
        <v>11366.51</v>
      </c>
      <c r="Q103">
        <v>281.26</v>
      </c>
      <c r="R103">
        <v>4317.2299999999996</v>
      </c>
      <c r="S103">
        <v>224.37</v>
      </c>
      <c r="T103">
        <v>6</v>
      </c>
      <c r="U103">
        <v>45</v>
      </c>
    </row>
    <row r="104" spans="1:21" x14ac:dyDescent="0.3">
      <c r="A104" t="s">
        <v>257</v>
      </c>
      <c r="B104">
        <v>21510</v>
      </c>
      <c r="C104" t="s">
        <v>8</v>
      </c>
      <c r="D104" t="s">
        <v>126</v>
      </c>
      <c r="E104" t="s">
        <v>19</v>
      </c>
      <c r="F104" t="s">
        <v>258</v>
      </c>
      <c r="G104">
        <v>45510</v>
      </c>
      <c r="I104">
        <v>45524</v>
      </c>
      <c r="J104" t="s">
        <v>100</v>
      </c>
      <c r="K104" t="s">
        <v>37</v>
      </c>
      <c r="L104" t="s">
        <v>45</v>
      </c>
      <c r="M104" t="s">
        <v>1158</v>
      </c>
      <c r="N104" t="s">
        <v>15</v>
      </c>
      <c r="O104" t="s">
        <v>16</v>
      </c>
      <c r="P104">
        <v>7308.13</v>
      </c>
      <c r="Q104">
        <v>2779.68</v>
      </c>
      <c r="R104">
        <v>3456.3</v>
      </c>
      <c r="S104">
        <v>73.48</v>
      </c>
      <c r="T104">
        <v>2</v>
      </c>
      <c r="U104">
        <v>67</v>
      </c>
    </row>
    <row r="105" spans="1:21" x14ac:dyDescent="0.3">
      <c r="A105" t="s">
        <v>259</v>
      </c>
      <c r="B105">
        <v>31766</v>
      </c>
      <c r="C105" t="s">
        <v>33</v>
      </c>
      <c r="D105" t="s">
        <v>53</v>
      </c>
      <c r="E105" t="s">
        <v>58</v>
      </c>
      <c r="F105" t="s">
        <v>260</v>
      </c>
      <c r="G105">
        <v>45356</v>
      </c>
      <c r="I105">
        <v>45375</v>
      </c>
      <c r="J105" t="s">
        <v>43</v>
      </c>
      <c r="K105" t="s">
        <v>13</v>
      </c>
      <c r="L105" t="s">
        <v>30</v>
      </c>
      <c r="M105" t="s">
        <v>1159</v>
      </c>
      <c r="N105" t="s">
        <v>24</v>
      </c>
      <c r="O105" t="s">
        <v>31</v>
      </c>
      <c r="P105">
        <v>12482.98</v>
      </c>
      <c r="Q105">
        <v>1315.69</v>
      </c>
      <c r="R105">
        <v>3251.74</v>
      </c>
      <c r="S105">
        <v>69.680000000000007</v>
      </c>
      <c r="T105">
        <v>5</v>
      </c>
      <c r="U105">
        <v>39</v>
      </c>
    </row>
    <row r="106" spans="1:21" x14ac:dyDescent="0.3">
      <c r="A106" t="s">
        <v>261</v>
      </c>
      <c r="B106">
        <v>17186</v>
      </c>
      <c r="C106" t="s">
        <v>8</v>
      </c>
      <c r="D106" t="s">
        <v>40</v>
      </c>
      <c r="E106" t="s">
        <v>19</v>
      </c>
      <c r="F106" t="s">
        <v>262</v>
      </c>
      <c r="G106">
        <v>45902</v>
      </c>
      <c r="I106">
        <v>45915</v>
      </c>
      <c r="J106" t="s">
        <v>104</v>
      </c>
      <c r="K106" t="s">
        <v>13</v>
      </c>
      <c r="L106" t="s">
        <v>14</v>
      </c>
      <c r="M106" t="s">
        <v>1158</v>
      </c>
      <c r="N106" t="s">
        <v>65</v>
      </c>
      <c r="O106" t="s">
        <v>51</v>
      </c>
      <c r="P106">
        <v>4705.2</v>
      </c>
      <c r="Q106">
        <v>1479.17</v>
      </c>
      <c r="R106">
        <v>4904.72</v>
      </c>
      <c r="S106">
        <v>714.86</v>
      </c>
      <c r="T106">
        <v>9</v>
      </c>
      <c r="U106">
        <v>79</v>
      </c>
    </row>
    <row r="107" spans="1:21" x14ac:dyDescent="0.3">
      <c r="A107" t="s">
        <v>263</v>
      </c>
      <c r="B107">
        <v>23287</v>
      </c>
      <c r="C107" t="s">
        <v>18</v>
      </c>
      <c r="D107" t="s">
        <v>126</v>
      </c>
      <c r="E107" t="s">
        <v>75</v>
      </c>
      <c r="F107" t="s">
        <v>264</v>
      </c>
      <c r="G107">
        <v>45490</v>
      </c>
      <c r="I107">
        <v>45501</v>
      </c>
      <c r="J107" t="s">
        <v>1153</v>
      </c>
      <c r="K107" t="s">
        <v>44</v>
      </c>
      <c r="L107" t="s">
        <v>64</v>
      </c>
      <c r="M107" t="s">
        <v>1156</v>
      </c>
      <c r="N107" t="s">
        <v>15</v>
      </c>
      <c r="O107" t="s">
        <v>25</v>
      </c>
      <c r="P107">
        <v>8154.74</v>
      </c>
      <c r="Q107">
        <v>2948.42</v>
      </c>
      <c r="R107">
        <v>2650.7</v>
      </c>
      <c r="S107">
        <v>250.79</v>
      </c>
      <c r="T107">
        <v>10</v>
      </c>
      <c r="U107">
        <v>62</v>
      </c>
    </row>
    <row r="108" spans="1:21" x14ac:dyDescent="0.3">
      <c r="A108" t="s">
        <v>265</v>
      </c>
      <c r="B108">
        <v>36237</v>
      </c>
      <c r="C108" t="s">
        <v>33</v>
      </c>
      <c r="D108" t="s">
        <v>9</v>
      </c>
      <c r="E108" t="s">
        <v>41</v>
      </c>
      <c r="F108" t="s">
        <v>266</v>
      </c>
      <c r="G108">
        <v>45493</v>
      </c>
      <c r="I108">
        <v>45502</v>
      </c>
      <c r="J108" t="s">
        <v>100</v>
      </c>
      <c r="K108" t="s">
        <v>22</v>
      </c>
      <c r="L108" t="s">
        <v>23</v>
      </c>
      <c r="M108" t="s">
        <v>1156</v>
      </c>
      <c r="N108" t="s">
        <v>65</v>
      </c>
      <c r="O108" t="s">
        <v>31</v>
      </c>
      <c r="P108">
        <v>7363.87</v>
      </c>
      <c r="Q108">
        <v>2490.89</v>
      </c>
      <c r="R108">
        <v>252.27</v>
      </c>
      <c r="S108">
        <v>1804.2</v>
      </c>
      <c r="T108">
        <v>9</v>
      </c>
      <c r="U108">
        <v>27</v>
      </c>
    </row>
    <row r="109" spans="1:21" x14ac:dyDescent="0.3">
      <c r="A109" t="s">
        <v>267</v>
      </c>
      <c r="B109">
        <v>26729</v>
      </c>
      <c r="C109" t="s">
        <v>18</v>
      </c>
      <c r="D109" t="s">
        <v>57</v>
      </c>
      <c r="E109" t="s">
        <v>75</v>
      </c>
      <c r="F109" t="s">
        <v>268</v>
      </c>
      <c r="G109">
        <v>45871</v>
      </c>
      <c r="I109">
        <v>45890</v>
      </c>
      <c r="J109" t="s">
        <v>114</v>
      </c>
      <c r="K109" t="s">
        <v>22</v>
      </c>
      <c r="L109" t="s">
        <v>14</v>
      </c>
      <c r="M109" t="s">
        <v>1152</v>
      </c>
      <c r="N109" t="s">
        <v>24</v>
      </c>
      <c r="O109" t="s">
        <v>25</v>
      </c>
      <c r="P109">
        <v>14919.91</v>
      </c>
      <c r="Q109">
        <v>236.88</v>
      </c>
      <c r="R109">
        <v>4894.4399999999996</v>
      </c>
      <c r="S109">
        <v>394.83</v>
      </c>
      <c r="T109">
        <v>8</v>
      </c>
      <c r="U109">
        <v>53</v>
      </c>
    </row>
    <row r="110" spans="1:21" x14ac:dyDescent="0.3">
      <c r="A110" t="s">
        <v>269</v>
      </c>
      <c r="B110">
        <v>30282</v>
      </c>
      <c r="C110" t="s">
        <v>18</v>
      </c>
      <c r="D110" t="s">
        <v>139</v>
      </c>
      <c r="E110" t="s">
        <v>41</v>
      </c>
      <c r="F110" t="s">
        <v>270</v>
      </c>
      <c r="G110">
        <v>45371</v>
      </c>
      <c r="I110">
        <v>45388</v>
      </c>
      <c r="J110" t="s">
        <v>12</v>
      </c>
      <c r="K110" t="s">
        <v>44</v>
      </c>
      <c r="L110" t="s">
        <v>23</v>
      </c>
      <c r="M110" t="s">
        <v>1159</v>
      </c>
      <c r="N110" t="s">
        <v>50</v>
      </c>
      <c r="O110" t="s">
        <v>16</v>
      </c>
      <c r="P110">
        <v>7036.02</v>
      </c>
      <c r="Q110">
        <v>1576.72</v>
      </c>
      <c r="R110">
        <v>1135.1099999999999</v>
      </c>
      <c r="S110">
        <v>909.56</v>
      </c>
      <c r="T110">
        <v>6</v>
      </c>
      <c r="U110">
        <v>43</v>
      </c>
    </row>
    <row r="111" spans="1:21" x14ac:dyDescent="0.3">
      <c r="A111" t="s">
        <v>271</v>
      </c>
      <c r="B111">
        <v>32371</v>
      </c>
      <c r="C111" t="s">
        <v>18</v>
      </c>
      <c r="D111" t="s">
        <v>126</v>
      </c>
      <c r="E111" t="s">
        <v>41</v>
      </c>
      <c r="F111" t="s">
        <v>272</v>
      </c>
      <c r="G111">
        <v>45507</v>
      </c>
      <c r="I111">
        <v>45526</v>
      </c>
      <c r="J111" t="s">
        <v>114</v>
      </c>
      <c r="K111" t="s">
        <v>37</v>
      </c>
      <c r="L111" t="s">
        <v>30</v>
      </c>
      <c r="M111" t="s">
        <v>1162</v>
      </c>
      <c r="N111" t="s">
        <v>50</v>
      </c>
      <c r="O111" t="s">
        <v>51</v>
      </c>
      <c r="R111">
        <v>4047.73</v>
      </c>
      <c r="S111">
        <v>379.97</v>
      </c>
      <c r="T111">
        <v>10</v>
      </c>
      <c r="U111">
        <v>37</v>
      </c>
    </row>
    <row r="112" spans="1:21" x14ac:dyDescent="0.3">
      <c r="A112" t="s">
        <v>273</v>
      </c>
      <c r="B112">
        <v>34999</v>
      </c>
      <c r="C112" t="s">
        <v>18</v>
      </c>
      <c r="D112" t="s">
        <v>57</v>
      </c>
      <c r="E112" t="s">
        <v>35</v>
      </c>
      <c r="F112" t="s">
        <v>274</v>
      </c>
      <c r="G112">
        <v>45478</v>
      </c>
      <c r="I112">
        <v>45498</v>
      </c>
      <c r="J112" t="s">
        <v>104</v>
      </c>
      <c r="K112" t="s">
        <v>37</v>
      </c>
      <c r="L112" t="s">
        <v>14</v>
      </c>
      <c r="M112" t="s">
        <v>1162</v>
      </c>
      <c r="N112" t="s">
        <v>15</v>
      </c>
      <c r="O112" t="s">
        <v>25</v>
      </c>
      <c r="P112">
        <v>11433.33</v>
      </c>
      <c r="Q112">
        <v>1966.65</v>
      </c>
      <c r="R112">
        <v>4599.75</v>
      </c>
      <c r="S112">
        <v>1902.89</v>
      </c>
      <c r="T112">
        <v>2</v>
      </c>
      <c r="U112">
        <v>30</v>
      </c>
    </row>
    <row r="113" spans="1:21" x14ac:dyDescent="0.3">
      <c r="A113" t="s">
        <v>275</v>
      </c>
      <c r="B113">
        <v>24860</v>
      </c>
      <c r="C113" t="s">
        <v>18</v>
      </c>
      <c r="D113" t="s">
        <v>27</v>
      </c>
      <c r="E113" t="s">
        <v>62</v>
      </c>
      <c r="F113" t="s">
        <v>276</v>
      </c>
      <c r="G113">
        <v>45834</v>
      </c>
      <c r="I113">
        <v>45848</v>
      </c>
      <c r="J113" t="s">
        <v>72</v>
      </c>
      <c r="K113" t="s">
        <v>37</v>
      </c>
      <c r="L113" t="s">
        <v>73</v>
      </c>
      <c r="M113" t="s">
        <v>1147</v>
      </c>
      <c r="N113" t="s">
        <v>65</v>
      </c>
      <c r="O113" t="s">
        <v>16</v>
      </c>
      <c r="P113">
        <v>9022.19</v>
      </c>
      <c r="Q113">
        <v>1543.9</v>
      </c>
      <c r="R113">
        <v>1850.78</v>
      </c>
      <c r="S113">
        <v>686.44</v>
      </c>
      <c r="T113">
        <v>10</v>
      </c>
      <c r="U113">
        <v>58</v>
      </c>
    </row>
    <row r="114" spans="1:21" x14ac:dyDescent="0.3">
      <c r="A114" t="s">
        <v>277</v>
      </c>
      <c r="B114">
        <v>26622</v>
      </c>
      <c r="C114" t="s">
        <v>8</v>
      </c>
      <c r="D114" t="s">
        <v>57</v>
      </c>
      <c r="E114" t="s">
        <v>35</v>
      </c>
      <c r="F114" t="s">
        <v>278</v>
      </c>
      <c r="G114">
        <v>45551</v>
      </c>
      <c r="I114">
        <v>45560</v>
      </c>
      <c r="J114" t="s">
        <v>104</v>
      </c>
      <c r="K114" t="s">
        <v>13</v>
      </c>
      <c r="L114" t="s">
        <v>23</v>
      </c>
      <c r="M114" t="s">
        <v>1162</v>
      </c>
      <c r="N114" t="s">
        <v>50</v>
      </c>
      <c r="O114" t="s">
        <v>25</v>
      </c>
      <c r="P114">
        <v>8600.11</v>
      </c>
      <c r="Q114">
        <v>2876.75</v>
      </c>
      <c r="R114">
        <v>1435.03</v>
      </c>
      <c r="S114">
        <v>1081.03</v>
      </c>
      <c r="T114">
        <v>4</v>
      </c>
      <c r="U114">
        <v>53</v>
      </c>
    </row>
    <row r="115" spans="1:21" x14ac:dyDescent="0.3">
      <c r="A115" t="s">
        <v>279</v>
      </c>
      <c r="B115">
        <v>20291</v>
      </c>
      <c r="C115" t="s">
        <v>33</v>
      </c>
      <c r="D115" t="s">
        <v>61</v>
      </c>
      <c r="E115" t="s">
        <v>35</v>
      </c>
      <c r="F115" t="s">
        <v>280</v>
      </c>
      <c r="G115">
        <v>45297</v>
      </c>
      <c r="I115">
        <v>45300</v>
      </c>
      <c r="J115" t="s">
        <v>114</v>
      </c>
      <c r="K115" t="s">
        <v>13</v>
      </c>
      <c r="L115" t="s">
        <v>38</v>
      </c>
      <c r="M115" t="s">
        <v>1157</v>
      </c>
      <c r="N115" t="s">
        <v>50</v>
      </c>
      <c r="O115" t="s">
        <v>31</v>
      </c>
      <c r="P115">
        <v>15091.88</v>
      </c>
      <c r="Q115">
        <v>338.31</v>
      </c>
      <c r="R115">
        <v>4372.6000000000004</v>
      </c>
      <c r="S115">
        <v>127.2</v>
      </c>
      <c r="T115">
        <v>9</v>
      </c>
      <c r="U115">
        <v>70</v>
      </c>
    </row>
    <row r="116" spans="1:21" x14ac:dyDescent="0.3">
      <c r="A116" t="s">
        <v>281</v>
      </c>
      <c r="B116">
        <v>32154</v>
      </c>
      <c r="C116" t="s">
        <v>47</v>
      </c>
      <c r="D116" t="s">
        <v>27</v>
      </c>
      <c r="E116" t="s">
        <v>35</v>
      </c>
      <c r="F116" t="s">
        <v>282</v>
      </c>
      <c r="G116">
        <v>45536</v>
      </c>
      <c r="I116">
        <v>45537</v>
      </c>
      <c r="J116" t="s">
        <v>1151</v>
      </c>
      <c r="K116" t="s">
        <v>37</v>
      </c>
      <c r="L116" t="s">
        <v>30</v>
      </c>
      <c r="M116" t="s">
        <v>1150</v>
      </c>
      <c r="N116" t="s">
        <v>50</v>
      </c>
      <c r="O116" t="s">
        <v>25</v>
      </c>
      <c r="R116">
        <v>4809.47</v>
      </c>
      <c r="S116">
        <v>398.36</v>
      </c>
      <c r="T116">
        <v>7</v>
      </c>
      <c r="U116">
        <v>38</v>
      </c>
    </row>
    <row r="117" spans="1:21" x14ac:dyDescent="0.3">
      <c r="A117" t="s">
        <v>283</v>
      </c>
      <c r="B117">
        <v>28256</v>
      </c>
      <c r="C117" t="s">
        <v>33</v>
      </c>
      <c r="D117" t="s">
        <v>9</v>
      </c>
      <c r="E117" t="s">
        <v>68</v>
      </c>
      <c r="F117" t="s">
        <v>284</v>
      </c>
      <c r="G117">
        <v>45411</v>
      </c>
      <c r="I117">
        <v>45428</v>
      </c>
      <c r="J117" t="s">
        <v>12</v>
      </c>
      <c r="K117" t="s">
        <v>37</v>
      </c>
      <c r="L117" t="s">
        <v>15</v>
      </c>
      <c r="M117" t="s">
        <v>1150</v>
      </c>
      <c r="N117" t="s">
        <v>50</v>
      </c>
      <c r="O117" t="s">
        <v>25</v>
      </c>
      <c r="P117">
        <v>13924.73</v>
      </c>
      <c r="Q117">
        <v>2937.28</v>
      </c>
      <c r="R117">
        <v>3043.65</v>
      </c>
      <c r="S117">
        <v>74.040000000000006</v>
      </c>
      <c r="T117">
        <v>7</v>
      </c>
      <c r="U117">
        <v>49</v>
      </c>
    </row>
    <row r="118" spans="1:21" x14ac:dyDescent="0.3">
      <c r="A118" t="s">
        <v>285</v>
      </c>
      <c r="B118">
        <v>23055</v>
      </c>
      <c r="C118" t="s">
        <v>18</v>
      </c>
      <c r="D118" t="s">
        <v>139</v>
      </c>
      <c r="E118" t="s">
        <v>102</v>
      </c>
      <c r="F118" t="s">
        <v>286</v>
      </c>
      <c r="G118">
        <v>45981</v>
      </c>
      <c r="I118">
        <v>45992</v>
      </c>
      <c r="J118" t="s">
        <v>100</v>
      </c>
      <c r="K118" t="s">
        <v>44</v>
      </c>
      <c r="L118" t="s">
        <v>45</v>
      </c>
      <c r="M118" t="s">
        <v>1150</v>
      </c>
      <c r="N118" t="s">
        <v>24</v>
      </c>
      <c r="O118" t="s">
        <v>25</v>
      </c>
      <c r="P118">
        <v>3833.94</v>
      </c>
      <c r="Q118">
        <v>1519.86</v>
      </c>
      <c r="R118">
        <v>1174.02</v>
      </c>
      <c r="S118">
        <v>1451.79</v>
      </c>
      <c r="T118">
        <v>10</v>
      </c>
      <c r="U118">
        <v>63</v>
      </c>
    </row>
    <row r="119" spans="1:21" x14ac:dyDescent="0.3">
      <c r="A119" t="s">
        <v>287</v>
      </c>
      <c r="B119">
        <v>34214</v>
      </c>
      <c r="C119" t="s">
        <v>47</v>
      </c>
      <c r="D119" t="s">
        <v>57</v>
      </c>
      <c r="E119" t="s">
        <v>10</v>
      </c>
      <c r="F119" t="s">
        <v>288</v>
      </c>
      <c r="G119">
        <v>45785</v>
      </c>
      <c r="I119">
        <v>45797</v>
      </c>
      <c r="J119" t="s">
        <v>21</v>
      </c>
      <c r="K119" t="s">
        <v>13</v>
      </c>
      <c r="L119" t="s">
        <v>23</v>
      </c>
      <c r="M119" t="s">
        <v>1156</v>
      </c>
      <c r="N119" t="s">
        <v>65</v>
      </c>
      <c r="O119" t="s">
        <v>25</v>
      </c>
      <c r="P119">
        <v>12458.21</v>
      </c>
      <c r="Q119">
        <v>2078.29</v>
      </c>
      <c r="R119">
        <v>2753.92</v>
      </c>
      <c r="S119">
        <v>77.709999999999994</v>
      </c>
      <c r="T119">
        <v>9</v>
      </c>
      <c r="U119">
        <v>32</v>
      </c>
    </row>
    <row r="120" spans="1:21" x14ac:dyDescent="0.3">
      <c r="A120" t="s">
        <v>289</v>
      </c>
      <c r="B120">
        <v>23913</v>
      </c>
      <c r="C120" t="s">
        <v>33</v>
      </c>
      <c r="D120" t="s">
        <v>67</v>
      </c>
      <c r="E120" t="s">
        <v>68</v>
      </c>
      <c r="F120" t="s">
        <v>290</v>
      </c>
      <c r="G120">
        <v>45557</v>
      </c>
      <c r="I120">
        <v>45563</v>
      </c>
      <c r="J120" t="s">
        <v>104</v>
      </c>
      <c r="K120" t="s">
        <v>44</v>
      </c>
      <c r="L120" t="s">
        <v>14</v>
      </c>
      <c r="M120" t="s">
        <v>1158</v>
      </c>
      <c r="N120" t="s">
        <v>50</v>
      </c>
      <c r="O120" t="s">
        <v>25</v>
      </c>
      <c r="P120">
        <v>10030.219999999999</v>
      </c>
      <c r="Q120">
        <v>1566.39</v>
      </c>
      <c r="R120">
        <v>3239.61</v>
      </c>
      <c r="S120">
        <v>1705.96</v>
      </c>
      <c r="T120">
        <v>7</v>
      </c>
      <c r="U120">
        <v>60</v>
      </c>
    </row>
    <row r="121" spans="1:21" x14ac:dyDescent="0.3">
      <c r="A121" t="s">
        <v>291</v>
      </c>
      <c r="B121">
        <v>35070</v>
      </c>
      <c r="C121" t="s">
        <v>18</v>
      </c>
      <c r="D121" t="s">
        <v>126</v>
      </c>
      <c r="E121" t="s">
        <v>102</v>
      </c>
      <c r="F121" t="s">
        <v>292</v>
      </c>
      <c r="G121">
        <v>45723</v>
      </c>
      <c r="I121">
        <v>45739</v>
      </c>
      <c r="J121" t="s">
        <v>114</v>
      </c>
      <c r="K121" t="s">
        <v>22</v>
      </c>
      <c r="L121" t="s">
        <v>30</v>
      </c>
      <c r="M121" t="s">
        <v>1154</v>
      </c>
      <c r="N121" t="s">
        <v>24</v>
      </c>
      <c r="O121" t="s">
        <v>25</v>
      </c>
      <c r="P121">
        <v>10237.49</v>
      </c>
      <c r="Q121">
        <v>2073</v>
      </c>
      <c r="R121">
        <v>2245.41</v>
      </c>
      <c r="S121">
        <v>869.06</v>
      </c>
      <c r="T121">
        <v>2</v>
      </c>
      <c r="U121">
        <v>30</v>
      </c>
    </row>
    <row r="122" spans="1:21" x14ac:dyDescent="0.3">
      <c r="A122" t="s">
        <v>293</v>
      </c>
      <c r="B122">
        <v>34466</v>
      </c>
      <c r="C122" t="s">
        <v>8</v>
      </c>
      <c r="D122" t="s">
        <v>53</v>
      </c>
      <c r="E122" t="s">
        <v>54</v>
      </c>
      <c r="F122" t="s">
        <v>294</v>
      </c>
      <c r="G122">
        <v>45624</v>
      </c>
      <c r="I122">
        <v>45641</v>
      </c>
      <c r="J122" t="s">
        <v>1153</v>
      </c>
      <c r="K122" t="s">
        <v>22</v>
      </c>
      <c r="L122" t="s">
        <v>45</v>
      </c>
      <c r="M122" t="s">
        <v>1154</v>
      </c>
      <c r="N122" t="s">
        <v>24</v>
      </c>
      <c r="O122" t="s">
        <v>31</v>
      </c>
      <c r="P122">
        <v>11489.36</v>
      </c>
      <c r="Q122">
        <v>1671.37</v>
      </c>
      <c r="R122">
        <v>2351.54</v>
      </c>
      <c r="S122">
        <v>842.56</v>
      </c>
      <c r="T122">
        <v>8</v>
      </c>
      <c r="U122">
        <v>32</v>
      </c>
    </row>
    <row r="123" spans="1:21" x14ac:dyDescent="0.3">
      <c r="A123" t="s">
        <v>295</v>
      </c>
      <c r="B123">
        <v>33894</v>
      </c>
      <c r="C123" t="s">
        <v>33</v>
      </c>
      <c r="D123" t="s">
        <v>57</v>
      </c>
      <c r="E123" t="s">
        <v>58</v>
      </c>
      <c r="F123" t="s">
        <v>296</v>
      </c>
      <c r="G123">
        <v>45753</v>
      </c>
      <c r="I123">
        <v>45767</v>
      </c>
      <c r="J123" t="s">
        <v>1168</v>
      </c>
      <c r="K123" t="s">
        <v>37</v>
      </c>
      <c r="L123" t="s">
        <v>14</v>
      </c>
      <c r="M123" t="s">
        <v>1158</v>
      </c>
      <c r="N123" t="s">
        <v>50</v>
      </c>
      <c r="O123" t="s">
        <v>51</v>
      </c>
      <c r="P123">
        <v>2535.83</v>
      </c>
      <c r="Q123">
        <v>2786.16</v>
      </c>
      <c r="R123">
        <v>3323.94</v>
      </c>
      <c r="S123">
        <v>562.88</v>
      </c>
      <c r="T123">
        <v>2</v>
      </c>
      <c r="U123">
        <v>33</v>
      </c>
    </row>
    <row r="124" spans="1:21" x14ac:dyDescent="0.3">
      <c r="A124" t="s">
        <v>297</v>
      </c>
      <c r="B124">
        <v>19629</v>
      </c>
      <c r="C124" t="s">
        <v>18</v>
      </c>
      <c r="D124" t="s">
        <v>61</v>
      </c>
      <c r="E124" t="s">
        <v>54</v>
      </c>
      <c r="F124" t="s">
        <v>298</v>
      </c>
      <c r="G124">
        <v>45466</v>
      </c>
      <c r="I124">
        <v>45467</v>
      </c>
      <c r="J124" t="s">
        <v>43</v>
      </c>
      <c r="K124" t="s">
        <v>22</v>
      </c>
      <c r="L124" t="s">
        <v>64</v>
      </c>
      <c r="M124" t="s">
        <v>1156</v>
      </c>
      <c r="N124" t="s">
        <v>50</v>
      </c>
      <c r="O124" t="s">
        <v>25</v>
      </c>
      <c r="P124">
        <v>13773.55</v>
      </c>
      <c r="Q124">
        <v>2046.72</v>
      </c>
      <c r="R124">
        <v>2658.58</v>
      </c>
      <c r="S124">
        <v>559.79</v>
      </c>
      <c r="T124">
        <v>9</v>
      </c>
      <c r="U124">
        <v>72</v>
      </c>
    </row>
    <row r="125" spans="1:21" x14ac:dyDescent="0.3">
      <c r="A125" t="s">
        <v>299</v>
      </c>
      <c r="B125">
        <v>28561</v>
      </c>
      <c r="C125" t="s">
        <v>8</v>
      </c>
      <c r="D125" t="s">
        <v>40</v>
      </c>
      <c r="E125" t="s">
        <v>10</v>
      </c>
      <c r="F125" t="s">
        <v>300</v>
      </c>
      <c r="G125">
        <v>45585</v>
      </c>
      <c r="I125">
        <v>45601</v>
      </c>
      <c r="J125" t="s">
        <v>1171</v>
      </c>
      <c r="K125" t="s">
        <v>13</v>
      </c>
      <c r="L125" t="s">
        <v>15</v>
      </c>
      <c r="M125" t="s">
        <v>1150</v>
      </c>
      <c r="N125" t="s">
        <v>24</v>
      </c>
      <c r="O125" t="s">
        <v>16</v>
      </c>
      <c r="P125">
        <v>2219.2399999999998</v>
      </c>
      <c r="Q125">
        <v>2033.96</v>
      </c>
      <c r="R125">
        <v>2113.66</v>
      </c>
      <c r="S125">
        <v>1703.5</v>
      </c>
      <c r="T125">
        <v>7</v>
      </c>
      <c r="U125">
        <v>48</v>
      </c>
    </row>
    <row r="126" spans="1:21" x14ac:dyDescent="0.3">
      <c r="A126" t="s">
        <v>301</v>
      </c>
      <c r="B126">
        <v>31764</v>
      </c>
      <c r="C126" t="s">
        <v>8</v>
      </c>
      <c r="D126" t="s">
        <v>126</v>
      </c>
      <c r="E126" t="s">
        <v>41</v>
      </c>
      <c r="F126" t="s">
        <v>302</v>
      </c>
      <c r="G126">
        <v>45567</v>
      </c>
      <c r="I126">
        <v>45581</v>
      </c>
      <c r="J126" t="s">
        <v>72</v>
      </c>
      <c r="K126" t="s">
        <v>22</v>
      </c>
      <c r="L126" t="s">
        <v>30</v>
      </c>
      <c r="M126" t="s">
        <v>1159</v>
      </c>
      <c r="N126" t="s">
        <v>15</v>
      </c>
      <c r="O126" t="s">
        <v>25</v>
      </c>
      <c r="P126">
        <v>12420.2</v>
      </c>
      <c r="Q126">
        <v>565.69000000000005</v>
      </c>
      <c r="R126">
        <v>853.07</v>
      </c>
      <c r="S126">
        <v>1040.8599999999999</v>
      </c>
      <c r="T126">
        <v>10</v>
      </c>
      <c r="U126">
        <v>39</v>
      </c>
    </row>
    <row r="127" spans="1:21" x14ac:dyDescent="0.3">
      <c r="A127" t="s">
        <v>303</v>
      </c>
      <c r="B127">
        <v>34923</v>
      </c>
      <c r="C127" t="s">
        <v>8</v>
      </c>
      <c r="D127" t="s">
        <v>53</v>
      </c>
      <c r="E127" t="s">
        <v>58</v>
      </c>
      <c r="F127" t="s">
        <v>304</v>
      </c>
      <c r="G127">
        <v>45766</v>
      </c>
      <c r="I127">
        <v>45768</v>
      </c>
      <c r="J127" t="s">
        <v>1172</v>
      </c>
      <c r="K127" t="s">
        <v>13</v>
      </c>
      <c r="L127" t="s">
        <v>45</v>
      </c>
      <c r="M127" t="s">
        <v>1157</v>
      </c>
      <c r="N127" t="s">
        <v>50</v>
      </c>
      <c r="O127" t="s">
        <v>51</v>
      </c>
      <c r="P127">
        <v>8785.32</v>
      </c>
      <c r="Q127">
        <v>305.64999999999998</v>
      </c>
      <c r="R127">
        <v>921.11</v>
      </c>
      <c r="S127">
        <v>469.64</v>
      </c>
      <c r="T127">
        <v>7</v>
      </c>
      <c r="U127">
        <v>30</v>
      </c>
    </row>
    <row r="128" spans="1:21" x14ac:dyDescent="0.3">
      <c r="A128" t="s">
        <v>305</v>
      </c>
      <c r="B128">
        <v>20417</v>
      </c>
      <c r="C128" t="s">
        <v>33</v>
      </c>
      <c r="D128" t="s">
        <v>34</v>
      </c>
      <c r="E128" t="s">
        <v>58</v>
      </c>
      <c r="F128" t="s">
        <v>306</v>
      </c>
      <c r="G128">
        <v>45335</v>
      </c>
      <c r="I128">
        <v>45353</v>
      </c>
      <c r="J128" t="s">
        <v>104</v>
      </c>
      <c r="K128" t="s">
        <v>44</v>
      </c>
      <c r="L128" t="s">
        <v>73</v>
      </c>
      <c r="M128" t="s">
        <v>1157</v>
      </c>
      <c r="N128" t="s">
        <v>15</v>
      </c>
      <c r="O128" t="s">
        <v>25</v>
      </c>
      <c r="P128">
        <v>12374.21</v>
      </c>
      <c r="Q128">
        <v>899.04</v>
      </c>
      <c r="R128">
        <v>3219.08</v>
      </c>
      <c r="S128">
        <v>536.88</v>
      </c>
      <c r="T128">
        <v>1</v>
      </c>
      <c r="U128">
        <v>70</v>
      </c>
    </row>
    <row r="129" spans="1:21" x14ac:dyDescent="0.3">
      <c r="A129" t="s">
        <v>307</v>
      </c>
      <c r="B129">
        <v>38293</v>
      </c>
      <c r="C129" t="s">
        <v>33</v>
      </c>
      <c r="D129" t="s">
        <v>48</v>
      </c>
      <c r="E129" t="s">
        <v>102</v>
      </c>
      <c r="F129" t="s">
        <v>308</v>
      </c>
      <c r="G129">
        <v>45353</v>
      </c>
      <c r="I129">
        <v>45365</v>
      </c>
      <c r="J129" t="s">
        <v>114</v>
      </c>
      <c r="K129" t="s">
        <v>44</v>
      </c>
      <c r="L129" t="s">
        <v>30</v>
      </c>
      <c r="M129" t="s">
        <v>1157</v>
      </c>
      <c r="N129" t="s">
        <v>15</v>
      </c>
      <c r="O129" t="s">
        <v>51</v>
      </c>
      <c r="P129">
        <v>12514.5</v>
      </c>
      <c r="Q129">
        <v>2071.27</v>
      </c>
      <c r="R129">
        <v>2568.27</v>
      </c>
      <c r="S129">
        <v>1032.49</v>
      </c>
      <c r="T129">
        <v>9</v>
      </c>
      <c r="U129">
        <v>21</v>
      </c>
    </row>
    <row r="130" spans="1:21" x14ac:dyDescent="0.3">
      <c r="A130" t="s">
        <v>309</v>
      </c>
      <c r="B130">
        <v>24091</v>
      </c>
      <c r="C130" t="s">
        <v>33</v>
      </c>
      <c r="D130" t="s">
        <v>48</v>
      </c>
      <c r="E130" t="s">
        <v>41</v>
      </c>
      <c r="F130" t="s">
        <v>310</v>
      </c>
      <c r="G130">
        <v>45573</v>
      </c>
      <c r="I130">
        <v>45593</v>
      </c>
      <c r="J130" t="s">
        <v>104</v>
      </c>
      <c r="K130" t="s">
        <v>44</v>
      </c>
      <c r="L130" t="s">
        <v>64</v>
      </c>
      <c r="M130" t="s">
        <v>1162</v>
      </c>
      <c r="N130" t="s">
        <v>15</v>
      </c>
      <c r="O130" t="s">
        <v>16</v>
      </c>
      <c r="P130">
        <v>4134.07</v>
      </c>
      <c r="Q130">
        <v>1342.94</v>
      </c>
      <c r="R130">
        <v>4251.57</v>
      </c>
      <c r="S130">
        <v>365.65</v>
      </c>
      <c r="T130">
        <v>0</v>
      </c>
      <c r="U130">
        <v>60</v>
      </c>
    </row>
    <row r="131" spans="1:21" x14ac:dyDescent="0.3">
      <c r="A131" t="s">
        <v>311</v>
      </c>
      <c r="B131">
        <v>31567</v>
      </c>
      <c r="C131" t="s">
        <v>33</v>
      </c>
      <c r="D131" t="s">
        <v>9</v>
      </c>
      <c r="E131" t="s">
        <v>68</v>
      </c>
      <c r="F131" t="s">
        <v>312</v>
      </c>
      <c r="G131">
        <v>45390</v>
      </c>
      <c r="I131">
        <v>45407</v>
      </c>
      <c r="J131" t="s">
        <v>1173</v>
      </c>
      <c r="K131" t="s">
        <v>37</v>
      </c>
      <c r="L131" t="s">
        <v>14</v>
      </c>
      <c r="M131" t="s">
        <v>1157</v>
      </c>
      <c r="N131" t="s">
        <v>50</v>
      </c>
      <c r="O131" t="s">
        <v>51</v>
      </c>
      <c r="R131">
        <v>801.81</v>
      </c>
      <c r="S131">
        <v>1331.04</v>
      </c>
      <c r="T131">
        <v>4</v>
      </c>
      <c r="U131">
        <v>40</v>
      </c>
    </row>
    <row r="132" spans="1:21" x14ac:dyDescent="0.3">
      <c r="A132" t="s">
        <v>313</v>
      </c>
      <c r="B132">
        <v>35035</v>
      </c>
      <c r="C132" t="s">
        <v>33</v>
      </c>
      <c r="D132" t="s">
        <v>40</v>
      </c>
      <c r="E132" t="s">
        <v>102</v>
      </c>
      <c r="F132" t="s">
        <v>314</v>
      </c>
      <c r="G132">
        <v>45923</v>
      </c>
      <c r="I132">
        <v>45932</v>
      </c>
      <c r="J132" t="s">
        <v>1171</v>
      </c>
      <c r="K132" t="s">
        <v>44</v>
      </c>
      <c r="L132" t="s">
        <v>15</v>
      </c>
      <c r="M132" t="s">
        <v>1162</v>
      </c>
      <c r="N132" t="s">
        <v>24</v>
      </c>
      <c r="O132" t="s">
        <v>31</v>
      </c>
      <c r="P132">
        <v>12008.72</v>
      </c>
      <c r="Q132">
        <v>1301.79</v>
      </c>
      <c r="R132">
        <v>3686.28</v>
      </c>
      <c r="S132">
        <v>400.62</v>
      </c>
      <c r="T132">
        <v>4</v>
      </c>
      <c r="U132">
        <v>30</v>
      </c>
    </row>
    <row r="133" spans="1:21" x14ac:dyDescent="0.3">
      <c r="A133" t="s">
        <v>315</v>
      </c>
      <c r="B133">
        <v>31854</v>
      </c>
      <c r="C133" t="s">
        <v>18</v>
      </c>
      <c r="D133" t="s">
        <v>53</v>
      </c>
      <c r="E133" t="s">
        <v>35</v>
      </c>
      <c r="F133" t="s">
        <v>316</v>
      </c>
      <c r="G133">
        <v>45906</v>
      </c>
      <c r="I133">
        <v>45921</v>
      </c>
      <c r="J133" t="s">
        <v>29</v>
      </c>
      <c r="K133" t="s">
        <v>37</v>
      </c>
      <c r="L133" t="s">
        <v>73</v>
      </c>
      <c r="M133" t="s">
        <v>1158</v>
      </c>
      <c r="N133" t="s">
        <v>65</v>
      </c>
      <c r="O133" t="s">
        <v>25</v>
      </c>
      <c r="P133">
        <v>9115.09</v>
      </c>
      <c r="Q133">
        <v>1613.23</v>
      </c>
      <c r="R133">
        <v>2572.66</v>
      </c>
      <c r="S133">
        <v>484.74</v>
      </c>
      <c r="T133">
        <v>7</v>
      </c>
      <c r="U133">
        <v>39</v>
      </c>
    </row>
    <row r="134" spans="1:21" x14ac:dyDescent="0.3">
      <c r="A134" t="s">
        <v>317</v>
      </c>
      <c r="B134">
        <v>34695</v>
      </c>
      <c r="C134" t="s">
        <v>18</v>
      </c>
      <c r="D134" t="s">
        <v>40</v>
      </c>
      <c r="E134" t="s">
        <v>62</v>
      </c>
      <c r="F134" t="s">
        <v>318</v>
      </c>
      <c r="G134">
        <v>45574</v>
      </c>
      <c r="I134">
        <v>45592</v>
      </c>
      <c r="J134" t="s">
        <v>104</v>
      </c>
      <c r="K134" t="s">
        <v>37</v>
      </c>
      <c r="L134" t="s">
        <v>64</v>
      </c>
      <c r="M134" t="s">
        <v>1156</v>
      </c>
      <c r="N134" t="s">
        <v>50</v>
      </c>
      <c r="O134" t="s">
        <v>51</v>
      </c>
      <c r="P134">
        <v>9324.7099999999991</v>
      </c>
      <c r="Q134">
        <v>439.77</v>
      </c>
      <c r="R134">
        <v>4901.95</v>
      </c>
      <c r="S134">
        <v>244.76</v>
      </c>
      <c r="T134">
        <v>6</v>
      </c>
      <c r="U134">
        <v>31</v>
      </c>
    </row>
    <row r="135" spans="1:21" x14ac:dyDescent="0.3">
      <c r="A135" t="s">
        <v>319</v>
      </c>
      <c r="B135">
        <v>33524</v>
      </c>
      <c r="C135" t="s">
        <v>33</v>
      </c>
      <c r="D135" t="s">
        <v>126</v>
      </c>
      <c r="E135" t="s">
        <v>62</v>
      </c>
      <c r="F135" t="s">
        <v>320</v>
      </c>
      <c r="G135">
        <v>45372</v>
      </c>
      <c r="I135">
        <v>45374</v>
      </c>
      <c r="J135" t="s">
        <v>29</v>
      </c>
      <c r="K135" t="s">
        <v>44</v>
      </c>
      <c r="L135" t="s">
        <v>64</v>
      </c>
      <c r="M135" t="s">
        <v>1152</v>
      </c>
      <c r="N135" t="s">
        <v>50</v>
      </c>
      <c r="O135" t="s">
        <v>16</v>
      </c>
      <c r="P135">
        <v>3059.52</v>
      </c>
      <c r="Q135">
        <v>629.98</v>
      </c>
      <c r="R135">
        <v>3415.1</v>
      </c>
      <c r="S135">
        <v>1590.76</v>
      </c>
      <c r="T135">
        <v>4</v>
      </c>
      <c r="U135">
        <v>34</v>
      </c>
    </row>
    <row r="136" spans="1:21" x14ac:dyDescent="0.3">
      <c r="A136" t="s">
        <v>321</v>
      </c>
      <c r="B136">
        <v>26445</v>
      </c>
      <c r="C136" t="s">
        <v>18</v>
      </c>
      <c r="D136" t="s">
        <v>139</v>
      </c>
      <c r="E136" t="s">
        <v>35</v>
      </c>
      <c r="F136" t="s">
        <v>322</v>
      </c>
      <c r="G136">
        <v>45695</v>
      </c>
      <c r="I136">
        <v>45700</v>
      </c>
      <c r="J136" t="s">
        <v>114</v>
      </c>
      <c r="K136" t="s">
        <v>44</v>
      </c>
      <c r="L136" t="s">
        <v>45</v>
      </c>
      <c r="M136" t="s">
        <v>1150</v>
      </c>
      <c r="N136" t="s">
        <v>65</v>
      </c>
      <c r="O136" t="s">
        <v>31</v>
      </c>
      <c r="P136">
        <v>5638.77</v>
      </c>
      <c r="Q136">
        <v>2334.92</v>
      </c>
      <c r="R136">
        <v>2817.47</v>
      </c>
      <c r="S136">
        <v>1203.48</v>
      </c>
      <c r="T136">
        <v>2</v>
      </c>
      <c r="U136">
        <v>54</v>
      </c>
    </row>
    <row r="137" spans="1:21" x14ac:dyDescent="0.3">
      <c r="A137" t="s">
        <v>323</v>
      </c>
      <c r="B137">
        <v>24996</v>
      </c>
      <c r="C137" t="s">
        <v>18</v>
      </c>
      <c r="D137" t="s">
        <v>40</v>
      </c>
      <c r="E137" t="s">
        <v>75</v>
      </c>
      <c r="F137" t="s">
        <v>324</v>
      </c>
      <c r="G137">
        <v>45620</v>
      </c>
      <c r="I137">
        <v>45632</v>
      </c>
      <c r="J137" t="s">
        <v>21</v>
      </c>
      <c r="K137" t="s">
        <v>37</v>
      </c>
      <c r="L137" t="s">
        <v>45</v>
      </c>
      <c r="M137" t="s">
        <v>1147</v>
      </c>
      <c r="N137" t="s">
        <v>50</v>
      </c>
      <c r="O137" t="s">
        <v>51</v>
      </c>
      <c r="P137">
        <v>15565.44</v>
      </c>
      <c r="Q137">
        <v>1543.62</v>
      </c>
      <c r="R137">
        <v>2457.37</v>
      </c>
      <c r="S137">
        <v>1480.21</v>
      </c>
      <c r="T137">
        <v>8</v>
      </c>
      <c r="U137">
        <v>58</v>
      </c>
    </row>
    <row r="138" spans="1:21" x14ac:dyDescent="0.3">
      <c r="A138" t="s">
        <v>325</v>
      </c>
      <c r="B138">
        <v>27405</v>
      </c>
      <c r="C138" t="s">
        <v>47</v>
      </c>
      <c r="D138" t="s">
        <v>67</v>
      </c>
      <c r="E138" t="s">
        <v>41</v>
      </c>
      <c r="F138" t="s">
        <v>326</v>
      </c>
      <c r="G138">
        <v>45506</v>
      </c>
      <c r="I138">
        <v>45524</v>
      </c>
      <c r="J138" t="s">
        <v>72</v>
      </c>
      <c r="K138" t="s">
        <v>22</v>
      </c>
      <c r="L138" t="s">
        <v>73</v>
      </c>
      <c r="M138" t="s">
        <v>1156</v>
      </c>
      <c r="N138" t="s">
        <v>65</v>
      </c>
      <c r="O138" t="s">
        <v>25</v>
      </c>
      <c r="P138">
        <v>1979.65</v>
      </c>
      <c r="Q138">
        <v>2345.3000000000002</v>
      </c>
      <c r="R138">
        <v>2388.3000000000002</v>
      </c>
      <c r="S138">
        <v>1922.01</v>
      </c>
      <c r="T138">
        <v>3</v>
      </c>
      <c r="U138">
        <v>51</v>
      </c>
    </row>
    <row r="139" spans="1:21" x14ac:dyDescent="0.3">
      <c r="A139" t="s">
        <v>327</v>
      </c>
      <c r="B139">
        <v>23328</v>
      </c>
      <c r="C139" t="s">
        <v>47</v>
      </c>
      <c r="D139" t="s">
        <v>126</v>
      </c>
      <c r="E139" t="s">
        <v>102</v>
      </c>
      <c r="F139" t="s">
        <v>328</v>
      </c>
      <c r="G139">
        <v>45528</v>
      </c>
      <c r="I139">
        <v>45541</v>
      </c>
      <c r="J139" t="s">
        <v>104</v>
      </c>
      <c r="K139" t="s">
        <v>44</v>
      </c>
      <c r="L139" t="s">
        <v>73</v>
      </c>
      <c r="M139" t="s">
        <v>1154</v>
      </c>
      <c r="N139" t="s">
        <v>24</v>
      </c>
      <c r="O139" t="s">
        <v>25</v>
      </c>
      <c r="P139">
        <v>6947.23</v>
      </c>
      <c r="Q139">
        <v>2121.6799999999998</v>
      </c>
      <c r="R139">
        <v>2133.6</v>
      </c>
      <c r="S139">
        <v>1059.79</v>
      </c>
      <c r="T139">
        <v>9</v>
      </c>
      <c r="U139">
        <v>62</v>
      </c>
    </row>
    <row r="140" spans="1:21" x14ac:dyDescent="0.3">
      <c r="A140" t="s">
        <v>329</v>
      </c>
      <c r="B140">
        <v>37099</v>
      </c>
      <c r="C140" t="s">
        <v>18</v>
      </c>
      <c r="D140" t="s">
        <v>53</v>
      </c>
      <c r="E140" t="s">
        <v>102</v>
      </c>
      <c r="F140" t="s">
        <v>330</v>
      </c>
      <c r="G140">
        <v>45322</v>
      </c>
      <c r="I140">
        <v>45340</v>
      </c>
      <c r="J140" t="s">
        <v>12</v>
      </c>
      <c r="K140" t="s">
        <v>22</v>
      </c>
      <c r="L140" t="s">
        <v>38</v>
      </c>
      <c r="M140" t="s">
        <v>1152</v>
      </c>
      <c r="N140" t="s">
        <v>50</v>
      </c>
      <c r="O140" t="s">
        <v>16</v>
      </c>
      <c r="P140">
        <v>4539.47</v>
      </c>
      <c r="Q140">
        <v>2753.73</v>
      </c>
      <c r="R140">
        <v>4913.1400000000003</v>
      </c>
      <c r="S140">
        <v>1668.12</v>
      </c>
      <c r="T140">
        <v>7</v>
      </c>
      <c r="U140">
        <v>24</v>
      </c>
    </row>
    <row r="141" spans="1:21" x14ac:dyDescent="0.3">
      <c r="A141" t="s">
        <v>331</v>
      </c>
      <c r="B141">
        <v>32859</v>
      </c>
      <c r="C141" t="s">
        <v>18</v>
      </c>
      <c r="D141" t="s">
        <v>48</v>
      </c>
      <c r="E141" t="s">
        <v>58</v>
      </c>
      <c r="F141" t="s">
        <v>332</v>
      </c>
      <c r="G141">
        <v>45430</v>
      </c>
      <c r="I141">
        <v>45444</v>
      </c>
      <c r="J141" t="s">
        <v>114</v>
      </c>
      <c r="K141" t="s">
        <v>22</v>
      </c>
      <c r="L141" t="s">
        <v>23</v>
      </c>
      <c r="M141" t="s">
        <v>1150</v>
      </c>
      <c r="N141" t="s">
        <v>65</v>
      </c>
      <c r="O141" t="s">
        <v>51</v>
      </c>
      <c r="P141">
        <v>2839.75</v>
      </c>
      <c r="Q141">
        <v>1356.78</v>
      </c>
      <c r="R141">
        <v>2346.56</v>
      </c>
      <c r="S141">
        <v>1285.55</v>
      </c>
      <c r="T141">
        <v>9</v>
      </c>
      <c r="U141">
        <v>36</v>
      </c>
    </row>
    <row r="142" spans="1:21" x14ac:dyDescent="0.3">
      <c r="A142" t="s">
        <v>333</v>
      </c>
      <c r="B142">
        <v>32154</v>
      </c>
      <c r="C142" t="s">
        <v>33</v>
      </c>
      <c r="D142" t="s">
        <v>126</v>
      </c>
      <c r="E142" t="s">
        <v>62</v>
      </c>
      <c r="F142" t="s">
        <v>334</v>
      </c>
      <c r="G142">
        <v>45373</v>
      </c>
      <c r="I142">
        <v>45389</v>
      </c>
      <c r="J142" t="s">
        <v>114</v>
      </c>
      <c r="K142" t="s">
        <v>37</v>
      </c>
      <c r="L142" t="s">
        <v>23</v>
      </c>
      <c r="M142" t="s">
        <v>1156</v>
      </c>
      <c r="N142" t="s">
        <v>15</v>
      </c>
      <c r="O142" t="s">
        <v>25</v>
      </c>
      <c r="P142">
        <v>12093.9</v>
      </c>
      <c r="Q142">
        <v>888.21</v>
      </c>
      <c r="R142">
        <v>3936.76</v>
      </c>
      <c r="S142">
        <v>915.24</v>
      </c>
      <c r="T142">
        <v>8</v>
      </c>
      <c r="U142">
        <v>38</v>
      </c>
    </row>
    <row r="143" spans="1:21" x14ac:dyDescent="0.3">
      <c r="A143" t="s">
        <v>335</v>
      </c>
      <c r="B143">
        <v>33402</v>
      </c>
      <c r="C143" t="s">
        <v>33</v>
      </c>
      <c r="D143" t="s">
        <v>48</v>
      </c>
      <c r="E143" t="s">
        <v>58</v>
      </c>
      <c r="F143" t="s">
        <v>336</v>
      </c>
      <c r="G143">
        <v>45918</v>
      </c>
      <c r="I143">
        <v>45937</v>
      </c>
      <c r="J143" t="s">
        <v>21</v>
      </c>
      <c r="K143" t="s">
        <v>37</v>
      </c>
      <c r="L143" t="s">
        <v>45</v>
      </c>
      <c r="M143" t="s">
        <v>1158</v>
      </c>
      <c r="N143" t="s">
        <v>15</v>
      </c>
      <c r="O143" t="s">
        <v>31</v>
      </c>
      <c r="P143">
        <v>7905.4</v>
      </c>
      <c r="Q143">
        <v>2192.9299999999998</v>
      </c>
      <c r="R143">
        <v>2488.13</v>
      </c>
      <c r="S143">
        <v>899.72</v>
      </c>
      <c r="T143">
        <v>1</v>
      </c>
      <c r="U143">
        <v>34</v>
      </c>
    </row>
    <row r="144" spans="1:21" x14ac:dyDescent="0.3">
      <c r="A144" t="s">
        <v>337</v>
      </c>
      <c r="B144">
        <v>27348</v>
      </c>
      <c r="C144" t="s">
        <v>18</v>
      </c>
      <c r="D144" t="s">
        <v>139</v>
      </c>
      <c r="E144" t="s">
        <v>19</v>
      </c>
      <c r="F144" t="s">
        <v>338</v>
      </c>
      <c r="G144">
        <v>45384</v>
      </c>
      <c r="I144">
        <v>45401</v>
      </c>
      <c r="J144" t="s">
        <v>100</v>
      </c>
      <c r="K144" t="s">
        <v>37</v>
      </c>
      <c r="L144" t="s">
        <v>14</v>
      </c>
      <c r="M144" t="s">
        <v>1162</v>
      </c>
      <c r="N144" t="s">
        <v>15</v>
      </c>
      <c r="P144">
        <v>11250.94</v>
      </c>
      <c r="Q144">
        <v>1701.36</v>
      </c>
      <c r="R144">
        <v>4461.7299999999996</v>
      </c>
      <c r="S144">
        <v>1547.55</v>
      </c>
      <c r="T144">
        <v>8</v>
      </c>
      <c r="U144">
        <v>51</v>
      </c>
    </row>
    <row r="145" spans="1:21" x14ac:dyDescent="0.3">
      <c r="A145" t="s">
        <v>339</v>
      </c>
      <c r="B145">
        <v>29404</v>
      </c>
      <c r="C145" t="s">
        <v>33</v>
      </c>
      <c r="D145" t="s">
        <v>67</v>
      </c>
      <c r="E145" t="s">
        <v>41</v>
      </c>
      <c r="F145" t="s">
        <v>340</v>
      </c>
      <c r="G145">
        <v>45466</v>
      </c>
      <c r="I145">
        <v>45477</v>
      </c>
      <c r="J145" t="s">
        <v>21</v>
      </c>
      <c r="K145" t="s">
        <v>22</v>
      </c>
      <c r="L145" t="s">
        <v>73</v>
      </c>
      <c r="M145" t="s">
        <v>1156</v>
      </c>
      <c r="N145" t="s">
        <v>15</v>
      </c>
      <c r="O145" t="s">
        <v>51</v>
      </c>
      <c r="P145">
        <v>15013.64</v>
      </c>
      <c r="Q145">
        <v>659.89</v>
      </c>
      <c r="R145">
        <v>207.8</v>
      </c>
      <c r="S145">
        <v>1041.8900000000001</v>
      </c>
      <c r="T145">
        <v>1</v>
      </c>
      <c r="U145">
        <v>45</v>
      </c>
    </row>
    <row r="146" spans="1:21" x14ac:dyDescent="0.3">
      <c r="A146" t="s">
        <v>341</v>
      </c>
      <c r="B146">
        <v>26148</v>
      </c>
      <c r="C146" t="s">
        <v>8</v>
      </c>
      <c r="D146" t="s">
        <v>34</v>
      </c>
      <c r="E146" t="s">
        <v>19</v>
      </c>
      <c r="F146" t="s">
        <v>342</v>
      </c>
      <c r="G146">
        <v>45907</v>
      </c>
      <c r="I146">
        <v>45927</v>
      </c>
      <c r="J146" t="s">
        <v>43</v>
      </c>
      <c r="K146" t="s">
        <v>22</v>
      </c>
      <c r="L146" t="s">
        <v>23</v>
      </c>
      <c r="M146" t="s">
        <v>1156</v>
      </c>
      <c r="N146" t="s">
        <v>24</v>
      </c>
      <c r="O146" t="s">
        <v>51</v>
      </c>
      <c r="P146">
        <v>1180.1300000000001</v>
      </c>
      <c r="Q146">
        <v>268.48</v>
      </c>
      <c r="R146">
        <v>2583.2800000000002</v>
      </c>
      <c r="S146">
        <v>1876.95</v>
      </c>
      <c r="T146">
        <v>4</v>
      </c>
      <c r="U146">
        <v>54</v>
      </c>
    </row>
    <row r="147" spans="1:21" x14ac:dyDescent="0.3">
      <c r="A147" t="s">
        <v>343</v>
      </c>
      <c r="B147">
        <v>36041</v>
      </c>
      <c r="C147" t="s">
        <v>47</v>
      </c>
      <c r="D147" t="s">
        <v>139</v>
      </c>
      <c r="E147" t="s">
        <v>54</v>
      </c>
      <c r="F147" t="s">
        <v>344</v>
      </c>
      <c r="G147">
        <v>45591</v>
      </c>
      <c r="I147">
        <v>45607</v>
      </c>
      <c r="J147" t="s">
        <v>114</v>
      </c>
      <c r="K147" t="s">
        <v>22</v>
      </c>
      <c r="L147" t="s">
        <v>23</v>
      </c>
      <c r="M147" t="s">
        <v>1147</v>
      </c>
      <c r="N147" t="s">
        <v>15</v>
      </c>
      <c r="O147" t="s">
        <v>25</v>
      </c>
      <c r="P147">
        <v>9743.18</v>
      </c>
      <c r="Q147">
        <v>2249.38</v>
      </c>
      <c r="R147">
        <v>4226.25</v>
      </c>
      <c r="S147">
        <v>432.18</v>
      </c>
      <c r="T147">
        <v>4</v>
      </c>
      <c r="U147">
        <v>27</v>
      </c>
    </row>
    <row r="148" spans="1:21" x14ac:dyDescent="0.3">
      <c r="A148" t="s">
        <v>345</v>
      </c>
      <c r="B148">
        <v>20824</v>
      </c>
      <c r="C148" t="s">
        <v>18</v>
      </c>
      <c r="D148" t="s">
        <v>48</v>
      </c>
      <c r="E148" t="s">
        <v>62</v>
      </c>
      <c r="F148" t="s">
        <v>346</v>
      </c>
      <c r="G148">
        <v>45316</v>
      </c>
      <c r="I148">
        <v>45331</v>
      </c>
      <c r="J148" t="s">
        <v>100</v>
      </c>
      <c r="K148" t="s">
        <v>37</v>
      </c>
      <c r="L148" t="s">
        <v>73</v>
      </c>
      <c r="M148" t="s">
        <v>1162</v>
      </c>
      <c r="N148" t="s">
        <v>24</v>
      </c>
      <c r="O148" t="s">
        <v>16</v>
      </c>
      <c r="R148">
        <v>4821.6000000000004</v>
      </c>
      <c r="S148">
        <v>120.6</v>
      </c>
      <c r="T148">
        <v>6</v>
      </c>
      <c r="U148">
        <v>69</v>
      </c>
    </row>
    <row r="149" spans="1:21" x14ac:dyDescent="0.3">
      <c r="A149" t="s">
        <v>347</v>
      </c>
      <c r="B149">
        <v>35968</v>
      </c>
      <c r="C149" t="s">
        <v>8</v>
      </c>
      <c r="D149" t="s">
        <v>61</v>
      </c>
      <c r="E149" t="s">
        <v>75</v>
      </c>
      <c r="F149" t="s">
        <v>348</v>
      </c>
      <c r="G149">
        <v>45782</v>
      </c>
      <c r="I149">
        <v>45798</v>
      </c>
      <c r="J149" t="s">
        <v>43</v>
      </c>
      <c r="K149" t="s">
        <v>22</v>
      </c>
      <c r="L149" t="s">
        <v>64</v>
      </c>
      <c r="M149" t="s">
        <v>1162</v>
      </c>
      <c r="N149" t="s">
        <v>50</v>
      </c>
      <c r="O149" t="s">
        <v>16</v>
      </c>
      <c r="P149">
        <v>5935.74</v>
      </c>
      <c r="Q149">
        <v>2338.59</v>
      </c>
      <c r="R149">
        <v>2976.36</v>
      </c>
      <c r="S149">
        <v>1329.71</v>
      </c>
      <c r="T149">
        <v>8</v>
      </c>
      <c r="U149">
        <v>27</v>
      </c>
    </row>
    <row r="150" spans="1:21" x14ac:dyDescent="0.3">
      <c r="A150" t="s">
        <v>349</v>
      </c>
      <c r="B150">
        <v>20732</v>
      </c>
      <c r="C150" t="s">
        <v>47</v>
      </c>
      <c r="D150" t="s">
        <v>40</v>
      </c>
      <c r="E150" t="s">
        <v>19</v>
      </c>
      <c r="F150" t="s">
        <v>350</v>
      </c>
      <c r="G150">
        <v>45607</v>
      </c>
      <c r="I150">
        <v>45618</v>
      </c>
      <c r="J150" t="s">
        <v>43</v>
      </c>
      <c r="K150" t="s">
        <v>44</v>
      </c>
      <c r="L150" t="s">
        <v>45</v>
      </c>
      <c r="M150" t="s">
        <v>1154</v>
      </c>
      <c r="N150" t="s">
        <v>15</v>
      </c>
      <c r="O150" t="s">
        <v>51</v>
      </c>
      <c r="P150">
        <v>13373.88</v>
      </c>
      <c r="Q150">
        <v>1617.19</v>
      </c>
      <c r="R150">
        <v>2719.55</v>
      </c>
      <c r="S150">
        <v>351.47</v>
      </c>
      <c r="T150">
        <v>5</v>
      </c>
      <c r="U150">
        <v>69</v>
      </c>
    </row>
    <row r="151" spans="1:21" x14ac:dyDescent="0.3">
      <c r="A151" t="s">
        <v>351</v>
      </c>
      <c r="B151">
        <v>21521</v>
      </c>
      <c r="C151" t="s">
        <v>8</v>
      </c>
      <c r="D151" t="s">
        <v>126</v>
      </c>
      <c r="E151" t="s">
        <v>54</v>
      </c>
      <c r="F151" t="s">
        <v>352</v>
      </c>
      <c r="G151">
        <v>45762</v>
      </c>
      <c r="I151">
        <v>45775</v>
      </c>
      <c r="J151" t="s">
        <v>104</v>
      </c>
      <c r="K151" t="s">
        <v>44</v>
      </c>
      <c r="L151" t="s">
        <v>30</v>
      </c>
      <c r="M151" t="s">
        <v>1158</v>
      </c>
      <c r="N151" t="s">
        <v>24</v>
      </c>
      <c r="O151" t="s">
        <v>31</v>
      </c>
      <c r="P151">
        <v>13602.12</v>
      </c>
      <c r="Q151">
        <v>2948.81</v>
      </c>
      <c r="R151">
        <v>1090.27</v>
      </c>
      <c r="S151">
        <v>355.68</v>
      </c>
      <c r="T151">
        <v>2</v>
      </c>
      <c r="U151">
        <v>67</v>
      </c>
    </row>
    <row r="152" spans="1:21" x14ac:dyDescent="0.3">
      <c r="A152" t="s">
        <v>353</v>
      </c>
      <c r="B152">
        <v>21440</v>
      </c>
      <c r="C152" t="s">
        <v>47</v>
      </c>
      <c r="D152" t="s">
        <v>78</v>
      </c>
      <c r="E152" t="s">
        <v>58</v>
      </c>
      <c r="F152" t="s">
        <v>354</v>
      </c>
      <c r="G152">
        <v>45854</v>
      </c>
      <c r="I152">
        <v>45865</v>
      </c>
      <c r="J152" t="s">
        <v>12</v>
      </c>
      <c r="K152" t="s">
        <v>37</v>
      </c>
      <c r="L152" t="s">
        <v>14</v>
      </c>
      <c r="M152" t="s">
        <v>1161</v>
      </c>
      <c r="N152" t="s">
        <v>15</v>
      </c>
      <c r="O152" t="s">
        <v>25</v>
      </c>
      <c r="P152">
        <v>4136.68</v>
      </c>
      <c r="Q152">
        <v>2425.48</v>
      </c>
      <c r="R152">
        <v>5017.95</v>
      </c>
      <c r="S152">
        <v>1467.97</v>
      </c>
      <c r="T152">
        <v>2</v>
      </c>
      <c r="U152">
        <v>67</v>
      </c>
    </row>
    <row r="153" spans="1:21" x14ac:dyDescent="0.3">
      <c r="A153" t="s">
        <v>355</v>
      </c>
      <c r="B153">
        <v>24220</v>
      </c>
      <c r="C153" t="s">
        <v>33</v>
      </c>
      <c r="D153" t="s">
        <v>139</v>
      </c>
      <c r="E153" t="s">
        <v>102</v>
      </c>
      <c r="F153" t="s">
        <v>356</v>
      </c>
      <c r="G153">
        <v>45978</v>
      </c>
      <c r="I153">
        <v>45996</v>
      </c>
      <c r="J153" t="s">
        <v>100</v>
      </c>
      <c r="K153" t="s">
        <v>44</v>
      </c>
      <c r="L153" t="s">
        <v>64</v>
      </c>
      <c r="M153" t="s">
        <v>1154</v>
      </c>
      <c r="N153" t="s">
        <v>15</v>
      </c>
      <c r="O153" t="s">
        <v>16</v>
      </c>
      <c r="P153">
        <v>8517.26</v>
      </c>
      <c r="Q153">
        <v>2388.1799999999998</v>
      </c>
      <c r="R153">
        <v>4004.29</v>
      </c>
      <c r="S153">
        <v>1023.06</v>
      </c>
      <c r="T153">
        <v>8</v>
      </c>
      <c r="U153">
        <v>60</v>
      </c>
    </row>
    <row r="154" spans="1:21" x14ac:dyDescent="0.3">
      <c r="A154" t="s">
        <v>357</v>
      </c>
      <c r="B154">
        <v>34505</v>
      </c>
      <c r="C154" t="s">
        <v>33</v>
      </c>
      <c r="D154" t="s">
        <v>40</v>
      </c>
      <c r="E154" t="s">
        <v>54</v>
      </c>
      <c r="F154" t="s">
        <v>358</v>
      </c>
      <c r="G154">
        <v>45880</v>
      </c>
      <c r="I154">
        <v>45885</v>
      </c>
      <c r="J154" t="s">
        <v>104</v>
      </c>
      <c r="K154" t="s">
        <v>37</v>
      </c>
      <c r="L154" t="s">
        <v>64</v>
      </c>
      <c r="M154" t="s">
        <v>1150</v>
      </c>
      <c r="N154" t="s">
        <v>15</v>
      </c>
      <c r="O154" t="s">
        <v>31</v>
      </c>
      <c r="P154">
        <v>14330.21</v>
      </c>
      <c r="Q154">
        <v>1439.61</v>
      </c>
      <c r="R154">
        <v>4824.7299999999996</v>
      </c>
      <c r="S154">
        <v>1169.71</v>
      </c>
      <c r="T154">
        <v>2</v>
      </c>
      <c r="U154">
        <v>31</v>
      </c>
    </row>
    <row r="155" spans="1:21" x14ac:dyDescent="0.3">
      <c r="A155" t="s">
        <v>359</v>
      </c>
      <c r="B155">
        <v>33957</v>
      </c>
      <c r="C155" t="s">
        <v>33</v>
      </c>
      <c r="D155" t="s">
        <v>34</v>
      </c>
      <c r="E155" t="s">
        <v>68</v>
      </c>
      <c r="F155" t="s">
        <v>360</v>
      </c>
      <c r="G155">
        <v>45790</v>
      </c>
      <c r="I155">
        <v>45794</v>
      </c>
      <c r="J155" t="s">
        <v>21</v>
      </c>
      <c r="K155" t="s">
        <v>37</v>
      </c>
      <c r="L155" t="s">
        <v>23</v>
      </c>
      <c r="M155" t="s">
        <v>1159</v>
      </c>
      <c r="N155" t="s">
        <v>15</v>
      </c>
      <c r="O155" t="s">
        <v>31</v>
      </c>
      <c r="P155">
        <v>9495.5</v>
      </c>
      <c r="Q155">
        <v>1890.62</v>
      </c>
      <c r="R155">
        <v>4878.72</v>
      </c>
      <c r="S155">
        <v>475.08</v>
      </c>
      <c r="T155">
        <v>7</v>
      </c>
      <c r="U155">
        <v>33</v>
      </c>
    </row>
    <row r="156" spans="1:21" x14ac:dyDescent="0.3">
      <c r="A156" t="s">
        <v>361</v>
      </c>
      <c r="B156">
        <v>29900</v>
      </c>
      <c r="C156" t="s">
        <v>8</v>
      </c>
      <c r="D156" t="s">
        <v>27</v>
      </c>
      <c r="E156" t="s">
        <v>62</v>
      </c>
      <c r="F156" t="s">
        <v>362</v>
      </c>
      <c r="G156">
        <v>45737</v>
      </c>
      <c r="I156">
        <v>45749</v>
      </c>
      <c r="J156" t="s">
        <v>100</v>
      </c>
      <c r="K156" t="s">
        <v>13</v>
      </c>
      <c r="L156" t="s">
        <v>64</v>
      </c>
      <c r="M156" t="s">
        <v>1161</v>
      </c>
      <c r="N156" t="s">
        <v>15</v>
      </c>
      <c r="O156" t="s">
        <v>16</v>
      </c>
      <c r="P156">
        <v>7186.19</v>
      </c>
      <c r="Q156">
        <v>657.25</v>
      </c>
      <c r="R156">
        <v>1896.25</v>
      </c>
      <c r="S156">
        <v>998.95</v>
      </c>
      <c r="T156">
        <v>1</v>
      </c>
      <c r="U156">
        <v>44</v>
      </c>
    </row>
    <row r="157" spans="1:21" x14ac:dyDescent="0.3">
      <c r="A157" t="s">
        <v>363</v>
      </c>
      <c r="B157">
        <v>35981</v>
      </c>
      <c r="C157" t="s">
        <v>18</v>
      </c>
      <c r="D157" t="s">
        <v>9</v>
      </c>
      <c r="E157" t="s">
        <v>10</v>
      </c>
      <c r="F157" t="s">
        <v>364</v>
      </c>
      <c r="G157">
        <v>45587</v>
      </c>
      <c r="I157">
        <v>45592</v>
      </c>
      <c r="J157" t="s">
        <v>1151</v>
      </c>
      <c r="K157" t="s">
        <v>13</v>
      </c>
      <c r="L157" t="s">
        <v>15</v>
      </c>
      <c r="M157" t="s">
        <v>1152</v>
      </c>
      <c r="N157" t="s">
        <v>15</v>
      </c>
      <c r="O157" t="s">
        <v>31</v>
      </c>
      <c r="P157">
        <v>7158.31</v>
      </c>
      <c r="Q157">
        <v>711.13</v>
      </c>
      <c r="R157">
        <v>1664.48</v>
      </c>
      <c r="S157">
        <v>63.9</v>
      </c>
      <c r="T157">
        <v>8</v>
      </c>
      <c r="U157">
        <v>27</v>
      </c>
    </row>
    <row r="158" spans="1:21" x14ac:dyDescent="0.3">
      <c r="A158" t="s">
        <v>365</v>
      </c>
      <c r="B158">
        <v>26195</v>
      </c>
      <c r="C158" t="s">
        <v>8</v>
      </c>
      <c r="D158" t="s">
        <v>139</v>
      </c>
      <c r="E158" t="s">
        <v>35</v>
      </c>
      <c r="F158" t="s">
        <v>366</v>
      </c>
      <c r="G158">
        <v>45667</v>
      </c>
      <c r="I158">
        <v>45669</v>
      </c>
      <c r="J158" t="s">
        <v>43</v>
      </c>
      <c r="K158" t="s">
        <v>37</v>
      </c>
      <c r="L158" t="s">
        <v>30</v>
      </c>
      <c r="M158" t="s">
        <v>1147</v>
      </c>
      <c r="N158" t="s">
        <v>65</v>
      </c>
      <c r="O158" t="s">
        <v>31</v>
      </c>
      <c r="P158">
        <v>6663.03</v>
      </c>
      <c r="Q158">
        <v>2474.15</v>
      </c>
      <c r="R158">
        <v>234.89</v>
      </c>
      <c r="S158">
        <v>1114.3</v>
      </c>
      <c r="T158">
        <v>2</v>
      </c>
      <c r="U158">
        <v>54</v>
      </c>
    </row>
    <row r="159" spans="1:21" x14ac:dyDescent="0.3">
      <c r="A159" t="s">
        <v>367</v>
      </c>
      <c r="B159">
        <v>24602</v>
      </c>
      <c r="C159" t="s">
        <v>47</v>
      </c>
      <c r="D159" t="s">
        <v>67</v>
      </c>
      <c r="E159" t="s">
        <v>68</v>
      </c>
      <c r="F159" t="s">
        <v>368</v>
      </c>
      <c r="G159">
        <v>45463</v>
      </c>
      <c r="I159">
        <v>45465</v>
      </c>
      <c r="J159" t="s">
        <v>21</v>
      </c>
      <c r="K159" t="s">
        <v>22</v>
      </c>
      <c r="L159" t="s">
        <v>30</v>
      </c>
      <c r="M159" t="s">
        <v>1159</v>
      </c>
      <c r="N159" t="s">
        <v>24</v>
      </c>
      <c r="O159" t="s">
        <v>25</v>
      </c>
      <c r="P159">
        <v>5866.86</v>
      </c>
      <c r="Q159">
        <v>363.93</v>
      </c>
      <c r="R159">
        <v>290.14</v>
      </c>
      <c r="S159">
        <v>1264.73</v>
      </c>
      <c r="T159">
        <v>10</v>
      </c>
      <c r="U159">
        <v>59</v>
      </c>
    </row>
    <row r="160" spans="1:21" x14ac:dyDescent="0.3">
      <c r="A160" t="s">
        <v>369</v>
      </c>
      <c r="B160">
        <v>24906</v>
      </c>
      <c r="C160" t="s">
        <v>33</v>
      </c>
      <c r="D160" t="s">
        <v>53</v>
      </c>
      <c r="E160" t="s">
        <v>102</v>
      </c>
      <c r="F160" t="s">
        <v>370</v>
      </c>
      <c r="G160">
        <v>46009</v>
      </c>
      <c r="I160">
        <v>46017</v>
      </c>
      <c r="J160" t="s">
        <v>1153</v>
      </c>
      <c r="K160" t="s">
        <v>22</v>
      </c>
      <c r="L160" t="s">
        <v>73</v>
      </c>
      <c r="M160" t="s">
        <v>1158</v>
      </c>
      <c r="N160" t="s">
        <v>65</v>
      </c>
      <c r="O160" t="s">
        <v>31</v>
      </c>
      <c r="P160">
        <v>1527.6</v>
      </c>
      <c r="Q160">
        <v>1552.41</v>
      </c>
      <c r="R160">
        <v>3413.62</v>
      </c>
      <c r="S160">
        <v>1032.31</v>
      </c>
      <c r="T160">
        <v>3</v>
      </c>
      <c r="U160">
        <v>58</v>
      </c>
    </row>
    <row r="161" spans="1:21" x14ac:dyDescent="0.3">
      <c r="A161" t="s">
        <v>371</v>
      </c>
      <c r="B161">
        <v>32490</v>
      </c>
      <c r="C161" t="s">
        <v>8</v>
      </c>
      <c r="D161" t="s">
        <v>53</v>
      </c>
      <c r="E161" t="s">
        <v>54</v>
      </c>
      <c r="F161" t="s">
        <v>372</v>
      </c>
      <c r="G161">
        <v>45777</v>
      </c>
      <c r="I161">
        <v>45786</v>
      </c>
      <c r="J161" t="s">
        <v>114</v>
      </c>
      <c r="K161" t="s">
        <v>37</v>
      </c>
      <c r="L161" t="s">
        <v>30</v>
      </c>
      <c r="M161" t="s">
        <v>1147</v>
      </c>
      <c r="N161" t="s">
        <v>15</v>
      </c>
      <c r="O161" t="s">
        <v>25</v>
      </c>
      <c r="P161">
        <v>8827.15</v>
      </c>
      <c r="Q161">
        <v>1926.2</v>
      </c>
      <c r="R161">
        <v>2153.4299999999998</v>
      </c>
      <c r="S161">
        <v>1263.52</v>
      </c>
      <c r="T161">
        <v>6</v>
      </c>
      <c r="U161">
        <v>37</v>
      </c>
    </row>
    <row r="162" spans="1:21" x14ac:dyDescent="0.3">
      <c r="A162" t="s">
        <v>373</v>
      </c>
      <c r="B162">
        <v>23986</v>
      </c>
      <c r="C162" t="s">
        <v>47</v>
      </c>
      <c r="D162" t="s">
        <v>126</v>
      </c>
      <c r="E162" t="s">
        <v>54</v>
      </c>
      <c r="F162" t="s">
        <v>374</v>
      </c>
      <c r="G162">
        <v>45980</v>
      </c>
      <c r="I162">
        <v>45981</v>
      </c>
      <c r="J162" t="s">
        <v>1173</v>
      </c>
      <c r="K162" t="s">
        <v>37</v>
      </c>
      <c r="L162" t="s">
        <v>14</v>
      </c>
      <c r="M162" t="s">
        <v>1162</v>
      </c>
      <c r="N162" t="s">
        <v>50</v>
      </c>
      <c r="O162" t="s">
        <v>31</v>
      </c>
      <c r="P162">
        <v>7315.39</v>
      </c>
      <c r="Q162">
        <v>2211.39</v>
      </c>
      <c r="R162">
        <v>4817.32</v>
      </c>
      <c r="S162">
        <v>442.8</v>
      </c>
      <c r="T162">
        <v>8</v>
      </c>
      <c r="U162">
        <v>60</v>
      </c>
    </row>
    <row r="163" spans="1:21" x14ac:dyDescent="0.3">
      <c r="A163" t="s">
        <v>375</v>
      </c>
      <c r="B163">
        <v>23245</v>
      </c>
      <c r="C163" t="s">
        <v>47</v>
      </c>
      <c r="D163" t="s">
        <v>67</v>
      </c>
      <c r="E163" t="s">
        <v>62</v>
      </c>
      <c r="F163" t="s">
        <v>376</v>
      </c>
      <c r="G163">
        <v>45369</v>
      </c>
      <c r="I163">
        <v>45384</v>
      </c>
      <c r="J163" t="s">
        <v>12</v>
      </c>
      <c r="K163" t="s">
        <v>13</v>
      </c>
      <c r="L163" t="s">
        <v>23</v>
      </c>
      <c r="M163" t="s">
        <v>1156</v>
      </c>
      <c r="N163" t="s">
        <v>65</v>
      </c>
      <c r="O163" t="s">
        <v>25</v>
      </c>
      <c r="P163">
        <v>3397.63</v>
      </c>
      <c r="Q163">
        <v>1120.2</v>
      </c>
      <c r="R163">
        <v>3653.84</v>
      </c>
      <c r="S163">
        <v>1342.31</v>
      </c>
      <c r="T163">
        <v>2</v>
      </c>
      <c r="U163">
        <v>62</v>
      </c>
    </row>
    <row r="164" spans="1:21" x14ac:dyDescent="0.3">
      <c r="A164" t="s">
        <v>377</v>
      </c>
      <c r="B164">
        <v>18631</v>
      </c>
      <c r="C164" t="s">
        <v>8</v>
      </c>
      <c r="D164" t="s">
        <v>53</v>
      </c>
      <c r="E164" t="s">
        <v>54</v>
      </c>
      <c r="F164" t="s">
        <v>378</v>
      </c>
      <c r="G164">
        <v>45364</v>
      </c>
      <c r="I164">
        <v>45383</v>
      </c>
      <c r="J164" t="s">
        <v>1163</v>
      </c>
      <c r="K164" t="s">
        <v>13</v>
      </c>
      <c r="L164" t="s">
        <v>14</v>
      </c>
      <c r="M164" t="s">
        <v>1152</v>
      </c>
      <c r="N164" t="s">
        <v>50</v>
      </c>
      <c r="O164" t="s">
        <v>16</v>
      </c>
      <c r="P164">
        <v>938.42</v>
      </c>
      <c r="Q164">
        <v>724.29</v>
      </c>
      <c r="R164">
        <v>4061.12</v>
      </c>
      <c r="S164">
        <v>1162.75</v>
      </c>
      <c r="T164">
        <v>1</v>
      </c>
      <c r="U164">
        <v>75</v>
      </c>
    </row>
    <row r="165" spans="1:21" x14ac:dyDescent="0.3">
      <c r="A165" t="s">
        <v>379</v>
      </c>
      <c r="B165">
        <v>32276</v>
      </c>
      <c r="C165" t="s">
        <v>33</v>
      </c>
      <c r="D165" t="s">
        <v>9</v>
      </c>
      <c r="E165" t="s">
        <v>102</v>
      </c>
      <c r="F165" t="s">
        <v>380</v>
      </c>
      <c r="G165">
        <v>45348</v>
      </c>
      <c r="I165">
        <v>45351</v>
      </c>
      <c r="J165" t="s">
        <v>29</v>
      </c>
      <c r="K165" t="s">
        <v>37</v>
      </c>
      <c r="L165" t="s">
        <v>38</v>
      </c>
      <c r="M165" t="s">
        <v>1162</v>
      </c>
      <c r="N165" t="s">
        <v>15</v>
      </c>
      <c r="O165" t="s">
        <v>31</v>
      </c>
      <c r="R165">
        <v>411.31</v>
      </c>
      <c r="S165">
        <v>1543.82</v>
      </c>
      <c r="T165">
        <v>5</v>
      </c>
      <c r="U165">
        <v>38</v>
      </c>
    </row>
    <row r="166" spans="1:21" x14ac:dyDescent="0.3">
      <c r="A166" t="s">
        <v>381</v>
      </c>
      <c r="B166">
        <v>25260</v>
      </c>
      <c r="C166" t="s">
        <v>18</v>
      </c>
      <c r="D166" t="s">
        <v>9</v>
      </c>
      <c r="E166" t="s">
        <v>35</v>
      </c>
      <c r="F166" t="s">
        <v>382</v>
      </c>
      <c r="G166">
        <v>45845</v>
      </c>
      <c r="I166">
        <v>45855</v>
      </c>
      <c r="J166" t="s">
        <v>1153</v>
      </c>
      <c r="K166" t="s">
        <v>44</v>
      </c>
      <c r="L166" t="s">
        <v>14</v>
      </c>
      <c r="M166" t="s">
        <v>1157</v>
      </c>
      <c r="N166" t="s">
        <v>50</v>
      </c>
      <c r="O166" t="s">
        <v>16</v>
      </c>
      <c r="P166">
        <v>9163.83</v>
      </c>
      <c r="Q166">
        <v>120.7</v>
      </c>
      <c r="R166">
        <v>4050.72</v>
      </c>
      <c r="S166">
        <v>1288.29</v>
      </c>
      <c r="T166">
        <v>1</v>
      </c>
      <c r="U166">
        <v>57</v>
      </c>
    </row>
    <row r="167" spans="1:21" x14ac:dyDescent="0.3">
      <c r="A167" t="s">
        <v>383</v>
      </c>
      <c r="B167">
        <v>20761</v>
      </c>
      <c r="C167" t="s">
        <v>33</v>
      </c>
      <c r="D167" t="s">
        <v>34</v>
      </c>
      <c r="E167" t="s">
        <v>10</v>
      </c>
      <c r="F167" t="s">
        <v>384</v>
      </c>
      <c r="G167">
        <v>45606</v>
      </c>
      <c r="I167">
        <v>45610</v>
      </c>
      <c r="J167" t="s">
        <v>1153</v>
      </c>
      <c r="K167" t="s">
        <v>44</v>
      </c>
      <c r="L167" t="s">
        <v>73</v>
      </c>
      <c r="M167" t="s">
        <v>1147</v>
      </c>
      <c r="N167" t="s">
        <v>50</v>
      </c>
      <c r="O167" t="s">
        <v>31</v>
      </c>
      <c r="P167">
        <v>6059.22</v>
      </c>
      <c r="Q167">
        <v>496.42</v>
      </c>
      <c r="R167">
        <v>2357.12</v>
      </c>
      <c r="S167">
        <v>878.4</v>
      </c>
      <c r="T167">
        <v>10</v>
      </c>
      <c r="U167">
        <v>69</v>
      </c>
    </row>
    <row r="168" spans="1:21" x14ac:dyDescent="0.3">
      <c r="A168" t="s">
        <v>385</v>
      </c>
      <c r="B168">
        <v>26773</v>
      </c>
      <c r="C168" t="s">
        <v>8</v>
      </c>
      <c r="D168" t="s">
        <v>53</v>
      </c>
      <c r="E168" t="s">
        <v>68</v>
      </c>
      <c r="F168" t="s">
        <v>386</v>
      </c>
      <c r="G168">
        <v>45333</v>
      </c>
      <c r="I168">
        <v>45338</v>
      </c>
      <c r="J168" t="s">
        <v>100</v>
      </c>
      <c r="K168" t="s">
        <v>13</v>
      </c>
      <c r="L168" t="s">
        <v>15</v>
      </c>
      <c r="M168" t="s">
        <v>1150</v>
      </c>
      <c r="N168" t="s">
        <v>50</v>
      </c>
      <c r="O168" t="s">
        <v>16</v>
      </c>
      <c r="P168">
        <v>11194.67</v>
      </c>
      <c r="Q168">
        <v>697.56</v>
      </c>
      <c r="R168">
        <v>5002</v>
      </c>
      <c r="S168">
        <v>1073.5999999999999</v>
      </c>
      <c r="T168">
        <v>5</v>
      </c>
      <c r="U168">
        <v>53</v>
      </c>
    </row>
    <row r="169" spans="1:21" x14ac:dyDescent="0.3">
      <c r="A169" t="s">
        <v>387</v>
      </c>
      <c r="B169">
        <v>24654</v>
      </c>
      <c r="C169" t="s">
        <v>18</v>
      </c>
      <c r="D169" t="s">
        <v>67</v>
      </c>
      <c r="E169" t="s">
        <v>58</v>
      </c>
      <c r="F169" t="s">
        <v>388</v>
      </c>
      <c r="G169">
        <v>45863</v>
      </c>
      <c r="I169">
        <v>45871</v>
      </c>
      <c r="J169" t="s">
        <v>72</v>
      </c>
      <c r="K169" t="s">
        <v>13</v>
      </c>
      <c r="L169" t="s">
        <v>23</v>
      </c>
      <c r="M169" t="s">
        <v>1159</v>
      </c>
      <c r="N169" t="s">
        <v>65</v>
      </c>
      <c r="O169" t="s">
        <v>31</v>
      </c>
      <c r="P169">
        <v>2029.86</v>
      </c>
      <c r="Q169">
        <v>2621.19</v>
      </c>
      <c r="R169">
        <v>2455.96</v>
      </c>
      <c r="S169">
        <v>550.71</v>
      </c>
      <c r="T169">
        <v>9</v>
      </c>
      <c r="U169">
        <v>58</v>
      </c>
    </row>
    <row r="170" spans="1:21" x14ac:dyDescent="0.3">
      <c r="A170" t="s">
        <v>389</v>
      </c>
      <c r="B170">
        <v>18964</v>
      </c>
      <c r="C170" t="s">
        <v>8</v>
      </c>
      <c r="D170" t="s">
        <v>40</v>
      </c>
      <c r="E170" t="s">
        <v>19</v>
      </c>
      <c r="F170" t="s">
        <v>390</v>
      </c>
      <c r="G170">
        <v>45842</v>
      </c>
      <c r="I170">
        <v>45848</v>
      </c>
      <c r="J170" t="s">
        <v>114</v>
      </c>
      <c r="K170" t="s">
        <v>13</v>
      </c>
      <c r="L170" t="s">
        <v>45</v>
      </c>
      <c r="M170" t="s">
        <v>1161</v>
      </c>
      <c r="N170" t="s">
        <v>50</v>
      </c>
      <c r="O170" t="s">
        <v>31</v>
      </c>
      <c r="P170">
        <v>2174.9899999999998</v>
      </c>
      <c r="Q170">
        <v>429.51</v>
      </c>
      <c r="R170">
        <v>4073.43</v>
      </c>
      <c r="S170">
        <v>919.25</v>
      </c>
      <c r="T170">
        <v>8</v>
      </c>
      <c r="U170">
        <v>74</v>
      </c>
    </row>
    <row r="171" spans="1:21" x14ac:dyDescent="0.3">
      <c r="A171" t="s">
        <v>391</v>
      </c>
      <c r="B171">
        <v>25359</v>
      </c>
      <c r="C171" t="s">
        <v>33</v>
      </c>
      <c r="D171" t="s">
        <v>78</v>
      </c>
      <c r="E171" t="s">
        <v>75</v>
      </c>
      <c r="F171" t="s">
        <v>392</v>
      </c>
      <c r="G171">
        <v>45760</v>
      </c>
      <c r="I171">
        <v>45767</v>
      </c>
      <c r="J171" t="s">
        <v>29</v>
      </c>
      <c r="K171" t="s">
        <v>44</v>
      </c>
      <c r="L171" t="s">
        <v>45</v>
      </c>
      <c r="M171" t="s">
        <v>1162</v>
      </c>
      <c r="N171" t="s">
        <v>15</v>
      </c>
      <c r="O171" t="s">
        <v>51</v>
      </c>
      <c r="P171">
        <v>15061.77</v>
      </c>
      <c r="Q171">
        <v>250.22</v>
      </c>
      <c r="R171">
        <v>1932.16</v>
      </c>
      <c r="S171">
        <v>1757.14</v>
      </c>
      <c r="T171">
        <v>1</v>
      </c>
      <c r="U171">
        <v>57</v>
      </c>
    </row>
    <row r="172" spans="1:21" x14ac:dyDescent="0.3">
      <c r="A172" t="s">
        <v>393</v>
      </c>
      <c r="B172">
        <v>33702</v>
      </c>
      <c r="C172" t="s">
        <v>47</v>
      </c>
      <c r="D172" t="s">
        <v>53</v>
      </c>
      <c r="E172" t="s">
        <v>35</v>
      </c>
      <c r="F172" t="s">
        <v>394</v>
      </c>
      <c r="G172">
        <v>45627</v>
      </c>
      <c r="I172">
        <v>45641</v>
      </c>
      <c r="J172" t="s">
        <v>21</v>
      </c>
      <c r="K172" t="s">
        <v>44</v>
      </c>
      <c r="L172" t="s">
        <v>14</v>
      </c>
      <c r="M172" t="s">
        <v>1152</v>
      </c>
      <c r="N172" t="s">
        <v>65</v>
      </c>
      <c r="O172" t="s">
        <v>51</v>
      </c>
      <c r="P172">
        <v>12587.79</v>
      </c>
      <c r="Q172">
        <v>2488.83</v>
      </c>
      <c r="R172">
        <v>1898.27</v>
      </c>
      <c r="S172">
        <v>636.95000000000005</v>
      </c>
      <c r="T172">
        <v>3</v>
      </c>
      <c r="U172">
        <v>34</v>
      </c>
    </row>
    <row r="173" spans="1:21" x14ac:dyDescent="0.3">
      <c r="A173" t="s">
        <v>395</v>
      </c>
      <c r="B173">
        <v>27708</v>
      </c>
      <c r="C173" t="s">
        <v>47</v>
      </c>
      <c r="D173" t="s">
        <v>9</v>
      </c>
      <c r="E173" t="s">
        <v>19</v>
      </c>
      <c r="F173" t="s">
        <v>396</v>
      </c>
      <c r="G173">
        <v>45457</v>
      </c>
      <c r="I173">
        <v>45472</v>
      </c>
      <c r="J173" t="s">
        <v>1174</v>
      </c>
      <c r="K173" t="s">
        <v>22</v>
      </c>
      <c r="L173" t="s">
        <v>15</v>
      </c>
      <c r="M173" t="s">
        <v>1158</v>
      </c>
      <c r="N173" t="s">
        <v>50</v>
      </c>
      <c r="O173" t="s">
        <v>16</v>
      </c>
      <c r="P173">
        <v>14089.67</v>
      </c>
      <c r="Q173">
        <v>2026.18</v>
      </c>
      <c r="R173">
        <v>2923.58</v>
      </c>
      <c r="S173">
        <v>157.74</v>
      </c>
      <c r="T173">
        <v>7</v>
      </c>
      <c r="U173">
        <v>50</v>
      </c>
    </row>
    <row r="174" spans="1:21" x14ac:dyDescent="0.3">
      <c r="A174" t="s">
        <v>397</v>
      </c>
      <c r="B174">
        <v>19187</v>
      </c>
      <c r="C174" t="s">
        <v>33</v>
      </c>
      <c r="D174" t="s">
        <v>48</v>
      </c>
      <c r="E174" t="s">
        <v>54</v>
      </c>
      <c r="F174" t="s">
        <v>398</v>
      </c>
      <c r="G174">
        <v>45768</v>
      </c>
      <c r="I174">
        <v>45788</v>
      </c>
      <c r="J174" t="s">
        <v>43</v>
      </c>
      <c r="K174" t="s">
        <v>22</v>
      </c>
      <c r="L174" t="s">
        <v>15</v>
      </c>
      <c r="M174" t="s">
        <v>1158</v>
      </c>
      <c r="N174" t="s">
        <v>65</v>
      </c>
      <c r="O174" t="s">
        <v>31</v>
      </c>
      <c r="P174">
        <v>1910.81</v>
      </c>
      <c r="Q174">
        <v>2416.9299999999998</v>
      </c>
      <c r="R174">
        <v>3854.62</v>
      </c>
      <c r="S174">
        <v>1139.48</v>
      </c>
      <c r="T174">
        <v>4</v>
      </c>
      <c r="U174">
        <v>73</v>
      </c>
    </row>
    <row r="175" spans="1:21" x14ac:dyDescent="0.3">
      <c r="A175" t="s">
        <v>399</v>
      </c>
      <c r="B175">
        <v>26949</v>
      </c>
      <c r="C175" t="s">
        <v>47</v>
      </c>
      <c r="D175" t="s">
        <v>48</v>
      </c>
      <c r="E175" t="s">
        <v>41</v>
      </c>
      <c r="F175" t="s">
        <v>400</v>
      </c>
      <c r="G175">
        <v>45981</v>
      </c>
      <c r="I175">
        <v>45984</v>
      </c>
      <c r="J175" t="s">
        <v>72</v>
      </c>
      <c r="K175" t="s">
        <v>37</v>
      </c>
      <c r="L175" t="s">
        <v>30</v>
      </c>
      <c r="M175" t="s">
        <v>1161</v>
      </c>
      <c r="N175" t="s">
        <v>50</v>
      </c>
      <c r="O175" t="s">
        <v>31</v>
      </c>
      <c r="P175">
        <v>8610.7000000000007</v>
      </c>
      <c r="Q175">
        <v>1739.79</v>
      </c>
      <c r="R175">
        <v>3809.77</v>
      </c>
      <c r="S175">
        <v>77.58</v>
      </c>
      <c r="T175">
        <v>5</v>
      </c>
      <c r="U175">
        <v>52</v>
      </c>
    </row>
    <row r="176" spans="1:21" x14ac:dyDescent="0.3">
      <c r="A176" t="s">
        <v>401</v>
      </c>
      <c r="B176">
        <v>36643</v>
      </c>
      <c r="C176" t="s">
        <v>18</v>
      </c>
      <c r="D176" t="s">
        <v>67</v>
      </c>
      <c r="E176" t="s">
        <v>41</v>
      </c>
      <c r="F176" t="s">
        <v>402</v>
      </c>
      <c r="G176">
        <v>45824</v>
      </c>
      <c r="I176">
        <v>45835</v>
      </c>
      <c r="J176" t="s">
        <v>111</v>
      </c>
      <c r="K176" t="s">
        <v>37</v>
      </c>
      <c r="L176" t="s">
        <v>23</v>
      </c>
      <c r="M176" t="s">
        <v>1154</v>
      </c>
      <c r="N176" t="s">
        <v>24</v>
      </c>
      <c r="O176" t="s">
        <v>25</v>
      </c>
      <c r="P176">
        <v>8925.2099999999991</v>
      </c>
      <c r="Q176">
        <v>2100.34</v>
      </c>
      <c r="R176">
        <v>1488.18</v>
      </c>
      <c r="S176">
        <v>613.11</v>
      </c>
      <c r="T176">
        <v>9</v>
      </c>
      <c r="U176">
        <v>26</v>
      </c>
    </row>
    <row r="177" spans="1:21" x14ac:dyDescent="0.3">
      <c r="A177" t="s">
        <v>403</v>
      </c>
      <c r="B177">
        <v>20183</v>
      </c>
      <c r="C177" t="s">
        <v>33</v>
      </c>
      <c r="D177" t="s">
        <v>57</v>
      </c>
      <c r="E177" t="s">
        <v>41</v>
      </c>
      <c r="F177" t="s">
        <v>404</v>
      </c>
      <c r="G177">
        <v>45334</v>
      </c>
      <c r="I177">
        <v>45345</v>
      </c>
      <c r="J177" t="s">
        <v>21</v>
      </c>
      <c r="K177" t="s">
        <v>13</v>
      </c>
      <c r="L177" t="s">
        <v>23</v>
      </c>
      <c r="M177" t="s">
        <v>1156</v>
      </c>
      <c r="N177" t="s">
        <v>24</v>
      </c>
      <c r="O177" t="s">
        <v>51</v>
      </c>
      <c r="P177">
        <v>3060.29</v>
      </c>
      <c r="Q177">
        <v>946.25</v>
      </c>
      <c r="R177">
        <v>4671.5600000000004</v>
      </c>
      <c r="S177">
        <v>730.36</v>
      </c>
      <c r="T177">
        <v>1</v>
      </c>
      <c r="U177">
        <v>71</v>
      </c>
    </row>
    <row r="178" spans="1:21" x14ac:dyDescent="0.3">
      <c r="A178" t="s">
        <v>405</v>
      </c>
      <c r="B178">
        <v>37401</v>
      </c>
      <c r="C178" t="s">
        <v>8</v>
      </c>
      <c r="D178" t="s">
        <v>126</v>
      </c>
      <c r="E178" t="s">
        <v>10</v>
      </c>
      <c r="F178" t="s">
        <v>406</v>
      </c>
      <c r="G178">
        <v>45879</v>
      </c>
      <c r="I178">
        <v>45884</v>
      </c>
      <c r="J178" t="s">
        <v>21</v>
      </c>
      <c r="K178" t="s">
        <v>22</v>
      </c>
      <c r="L178" t="s">
        <v>73</v>
      </c>
      <c r="M178" t="s">
        <v>1147</v>
      </c>
      <c r="N178" t="s">
        <v>50</v>
      </c>
      <c r="O178" t="s">
        <v>25</v>
      </c>
      <c r="P178">
        <v>10584.43</v>
      </c>
      <c r="Q178">
        <v>2883.23</v>
      </c>
      <c r="R178">
        <v>2395.5700000000002</v>
      </c>
      <c r="S178">
        <v>217.92</v>
      </c>
      <c r="T178">
        <v>8</v>
      </c>
      <c r="U178">
        <v>24</v>
      </c>
    </row>
    <row r="179" spans="1:21" x14ac:dyDescent="0.3">
      <c r="A179" t="s">
        <v>407</v>
      </c>
      <c r="B179">
        <v>28313</v>
      </c>
      <c r="C179" t="s">
        <v>8</v>
      </c>
      <c r="D179" t="s">
        <v>67</v>
      </c>
      <c r="E179" t="s">
        <v>68</v>
      </c>
      <c r="F179" t="s">
        <v>408</v>
      </c>
      <c r="G179">
        <v>45794</v>
      </c>
      <c r="I179">
        <v>45805</v>
      </c>
      <c r="J179" t="s">
        <v>21</v>
      </c>
      <c r="K179" t="s">
        <v>13</v>
      </c>
      <c r="L179" t="s">
        <v>38</v>
      </c>
      <c r="M179" t="s">
        <v>1158</v>
      </c>
      <c r="N179" t="s">
        <v>50</v>
      </c>
      <c r="O179" t="s">
        <v>25</v>
      </c>
      <c r="P179">
        <v>14428</v>
      </c>
      <c r="Q179">
        <v>1692.79</v>
      </c>
      <c r="R179">
        <v>3644.86</v>
      </c>
      <c r="S179">
        <v>874.98</v>
      </c>
      <c r="T179">
        <v>7</v>
      </c>
      <c r="U179">
        <v>48</v>
      </c>
    </row>
    <row r="180" spans="1:21" x14ac:dyDescent="0.3">
      <c r="A180" t="s">
        <v>409</v>
      </c>
      <c r="B180">
        <v>21321</v>
      </c>
      <c r="C180" t="s">
        <v>18</v>
      </c>
      <c r="D180" t="s">
        <v>40</v>
      </c>
      <c r="E180" t="s">
        <v>41</v>
      </c>
      <c r="F180" t="s">
        <v>410</v>
      </c>
      <c r="G180">
        <v>45829</v>
      </c>
      <c r="I180">
        <v>45840</v>
      </c>
      <c r="J180" t="s">
        <v>100</v>
      </c>
      <c r="K180" t="s">
        <v>22</v>
      </c>
      <c r="L180" t="s">
        <v>30</v>
      </c>
      <c r="M180" t="s">
        <v>1156</v>
      </c>
      <c r="N180" t="s">
        <v>15</v>
      </c>
      <c r="O180" t="s">
        <v>16</v>
      </c>
      <c r="P180">
        <v>4204.84</v>
      </c>
      <c r="Q180">
        <v>412.66</v>
      </c>
      <c r="R180">
        <v>135.4</v>
      </c>
      <c r="S180">
        <v>681.8</v>
      </c>
      <c r="T180">
        <v>5</v>
      </c>
      <c r="U180">
        <v>68</v>
      </c>
    </row>
    <row r="181" spans="1:21" x14ac:dyDescent="0.3">
      <c r="A181" t="s">
        <v>411</v>
      </c>
      <c r="B181">
        <v>31726</v>
      </c>
      <c r="C181" t="s">
        <v>33</v>
      </c>
      <c r="D181" t="s">
        <v>61</v>
      </c>
      <c r="E181" t="s">
        <v>10</v>
      </c>
      <c r="F181" t="s">
        <v>412</v>
      </c>
      <c r="G181">
        <v>45719</v>
      </c>
      <c r="I181">
        <v>45725</v>
      </c>
      <c r="J181" t="s">
        <v>1153</v>
      </c>
      <c r="K181" t="s">
        <v>22</v>
      </c>
      <c r="L181" t="s">
        <v>73</v>
      </c>
      <c r="M181" t="s">
        <v>1158</v>
      </c>
      <c r="N181" t="s">
        <v>50</v>
      </c>
      <c r="O181" t="s">
        <v>31</v>
      </c>
      <c r="P181">
        <v>10087.51</v>
      </c>
      <c r="Q181">
        <v>614.47</v>
      </c>
      <c r="R181">
        <v>2764.1</v>
      </c>
      <c r="S181">
        <v>1445.77</v>
      </c>
      <c r="T181">
        <v>8</v>
      </c>
      <c r="U181">
        <v>39</v>
      </c>
    </row>
    <row r="182" spans="1:21" x14ac:dyDescent="0.3">
      <c r="A182" t="s">
        <v>413</v>
      </c>
      <c r="B182">
        <v>22811</v>
      </c>
      <c r="C182" t="s">
        <v>8</v>
      </c>
      <c r="D182" t="s">
        <v>34</v>
      </c>
      <c r="E182" t="s">
        <v>62</v>
      </c>
      <c r="F182" t="s">
        <v>414</v>
      </c>
      <c r="G182">
        <v>45943</v>
      </c>
      <c r="I182">
        <v>45955</v>
      </c>
      <c r="J182" t="s">
        <v>43</v>
      </c>
      <c r="K182" t="s">
        <v>22</v>
      </c>
      <c r="L182" t="s">
        <v>23</v>
      </c>
      <c r="M182" t="s">
        <v>1157</v>
      </c>
      <c r="N182" t="s">
        <v>50</v>
      </c>
      <c r="O182" t="s">
        <v>31</v>
      </c>
      <c r="P182">
        <v>9270.42</v>
      </c>
      <c r="Q182">
        <v>2173.38</v>
      </c>
      <c r="R182">
        <v>4113.2</v>
      </c>
      <c r="S182">
        <v>1951.54</v>
      </c>
      <c r="T182">
        <v>3</v>
      </c>
      <c r="U182">
        <v>63</v>
      </c>
    </row>
    <row r="183" spans="1:21" x14ac:dyDescent="0.3">
      <c r="A183" t="s">
        <v>415</v>
      </c>
      <c r="B183">
        <v>19975</v>
      </c>
      <c r="C183" t="s">
        <v>8</v>
      </c>
      <c r="D183" t="s">
        <v>67</v>
      </c>
      <c r="E183" t="s">
        <v>75</v>
      </c>
      <c r="F183" t="s">
        <v>416</v>
      </c>
      <c r="G183">
        <v>45484</v>
      </c>
      <c r="I183">
        <v>45502</v>
      </c>
      <c r="J183" t="s">
        <v>21</v>
      </c>
      <c r="K183" t="s">
        <v>37</v>
      </c>
      <c r="L183" t="s">
        <v>30</v>
      </c>
      <c r="M183" t="s">
        <v>1157</v>
      </c>
      <c r="N183" t="s">
        <v>65</v>
      </c>
      <c r="O183" t="s">
        <v>31</v>
      </c>
      <c r="R183">
        <v>1334.8</v>
      </c>
      <c r="S183">
        <v>655.27</v>
      </c>
      <c r="T183">
        <v>2</v>
      </c>
      <c r="U183">
        <v>71</v>
      </c>
    </row>
    <row r="184" spans="1:21" x14ac:dyDescent="0.3">
      <c r="A184" t="s">
        <v>417</v>
      </c>
      <c r="B184">
        <v>26658</v>
      </c>
      <c r="C184" t="s">
        <v>47</v>
      </c>
      <c r="D184" t="s">
        <v>27</v>
      </c>
      <c r="E184" t="s">
        <v>62</v>
      </c>
      <c r="F184" t="s">
        <v>418</v>
      </c>
      <c r="G184">
        <v>45406</v>
      </c>
      <c r="I184">
        <v>45409</v>
      </c>
      <c r="J184" t="s">
        <v>43</v>
      </c>
      <c r="K184" t="s">
        <v>44</v>
      </c>
      <c r="L184" t="s">
        <v>45</v>
      </c>
      <c r="M184" t="s">
        <v>1159</v>
      </c>
      <c r="N184" t="s">
        <v>24</v>
      </c>
      <c r="O184" t="s">
        <v>31</v>
      </c>
      <c r="P184">
        <v>1069.78</v>
      </c>
      <c r="Q184">
        <v>864.78</v>
      </c>
      <c r="R184">
        <v>2466.88</v>
      </c>
      <c r="S184">
        <v>749.61</v>
      </c>
      <c r="T184">
        <v>9</v>
      </c>
      <c r="U184">
        <v>53</v>
      </c>
    </row>
    <row r="185" spans="1:21" x14ac:dyDescent="0.3">
      <c r="A185" t="s">
        <v>419</v>
      </c>
      <c r="B185">
        <v>18926</v>
      </c>
      <c r="C185" t="s">
        <v>33</v>
      </c>
      <c r="D185" t="s">
        <v>34</v>
      </c>
      <c r="E185" t="s">
        <v>54</v>
      </c>
      <c r="F185" t="s">
        <v>420</v>
      </c>
      <c r="G185">
        <v>45306</v>
      </c>
      <c r="I185">
        <v>45323</v>
      </c>
      <c r="J185" t="s">
        <v>72</v>
      </c>
      <c r="K185" t="s">
        <v>13</v>
      </c>
      <c r="L185" t="s">
        <v>15</v>
      </c>
      <c r="M185" t="s">
        <v>1150</v>
      </c>
      <c r="N185" t="s">
        <v>50</v>
      </c>
      <c r="O185" t="s">
        <v>51</v>
      </c>
      <c r="P185">
        <v>7289.85</v>
      </c>
      <c r="Q185">
        <v>2250.4299999999998</v>
      </c>
      <c r="R185">
        <v>2686.36</v>
      </c>
      <c r="S185">
        <v>270.99</v>
      </c>
      <c r="T185">
        <v>2</v>
      </c>
      <c r="U185">
        <v>74</v>
      </c>
    </row>
    <row r="186" spans="1:21" x14ac:dyDescent="0.3">
      <c r="A186" t="s">
        <v>421</v>
      </c>
      <c r="B186">
        <v>33011</v>
      </c>
      <c r="C186" t="s">
        <v>33</v>
      </c>
      <c r="D186" t="s">
        <v>40</v>
      </c>
      <c r="E186" t="s">
        <v>19</v>
      </c>
      <c r="F186" t="s">
        <v>422</v>
      </c>
      <c r="G186">
        <v>45333</v>
      </c>
      <c r="I186">
        <v>45336</v>
      </c>
      <c r="J186" t="s">
        <v>29</v>
      </c>
      <c r="K186" t="s">
        <v>13</v>
      </c>
      <c r="L186" t="s">
        <v>14</v>
      </c>
      <c r="M186" t="s">
        <v>1161</v>
      </c>
      <c r="N186" t="s">
        <v>15</v>
      </c>
      <c r="O186" t="s">
        <v>16</v>
      </c>
      <c r="P186">
        <v>9721.5499999999993</v>
      </c>
      <c r="Q186">
        <v>2582.62</v>
      </c>
      <c r="R186">
        <v>807.92</v>
      </c>
      <c r="S186">
        <v>848.03</v>
      </c>
      <c r="T186">
        <v>8</v>
      </c>
      <c r="U186">
        <v>36</v>
      </c>
    </row>
    <row r="187" spans="1:21" x14ac:dyDescent="0.3">
      <c r="A187" t="s">
        <v>423</v>
      </c>
      <c r="B187">
        <v>18056</v>
      </c>
      <c r="C187" t="s">
        <v>33</v>
      </c>
      <c r="D187" t="s">
        <v>34</v>
      </c>
      <c r="E187" t="s">
        <v>68</v>
      </c>
      <c r="F187" t="s">
        <v>424</v>
      </c>
      <c r="G187">
        <v>45638</v>
      </c>
      <c r="I187">
        <v>45645</v>
      </c>
      <c r="J187" t="s">
        <v>21</v>
      </c>
      <c r="K187" t="s">
        <v>44</v>
      </c>
      <c r="L187" t="s">
        <v>38</v>
      </c>
      <c r="M187" t="s">
        <v>1162</v>
      </c>
      <c r="N187" t="s">
        <v>65</v>
      </c>
      <c r="O187" t="s">
        <v>51</v>
      </c>
      <c r="P187">
        <v>5096.34</v>
      </c>
      <c r="Q187">
        <v>1861.52</v>
      </c>
      <c r="R187">
        <v>2052.84</v>
      </c>
      <c r="S187">
        <v>296.49</v>
      </c>
      <c r="T187">
        <v>5</v>
      </c>
      <c r="U187">
        <v>77</v>
      </c>
    </row>
    <row r="188" spans="1:21" x14ac:dyDescent="0.3">
      <c r="A188" t="s">
        <v>425</v>
      </c>
      <c r="B188">
        <v>28065</v>
      </c>
      <c r="C188" t="s">
        <v>33</v>
      </c>
      <c r="D188" t="s">
        <v>139</v>
      </c>
      <c r="E188" t="s">
        <v>35</v>
      </c>
      <c r="F188" t="s">
        <v>426</v>
      </c>
      <c r="G188">
        <v>45475</v>
      </c>
      <c r="I188">
        <v>45488</v>
      </c>
      <c r="J188" t="s">
        <v>21</v>
      </c>
      <c r="K188" t="s">
        <v>37</v>
      </c>
      <c r="L188" t="s">
        <v>73</v>
      </c>
      <c r="M188" t="s">
        <v>1161</v>
      </c>
      <c r="N188" t="s">
        <v>65</v>
      </c>
      <c r="O188" t="s">
        <v>31</v>
      </c>
      <c r="P188">
        <v>7235.12</v>
      </c>
      <c r="Q188">
        <v>429.11</v>
      </c>
      <c r="R188">
        <v>3226.26</v>
      </c>
      <c r="S188">
        <v>94.64</v>
      </c>
      <c r="T188">
        <v>9</v>
      </c>
      <c r="U188">
        <v>49</v>
      </c>
    </row>
    <row r="189" spans="1:21" x14ac:dyDescent="0.3">
      <c r="A189" t="s">
        <v>427</v>
      </c>
      <c r="B189">
        <v>27946</v>
      </c>
      <c r="C189" t="s">
        <v>47</v>
      </c>
      <c r="D189" t="s">
        <v>53</v>
      </c>
      <c r="E189" t="s">
        <v>62</v>
      </c>
      <c r="F189" t="s">
        <v>428</v>
      </c>
      <c r="G189">
        <v>45611</v>
      </c>
      <c r="I189">
        <v>45624</v>
      </c>
      <c r="J189" t="s">
        <v>1153</v>
      </c>
      <c r="K189" t="s">
        <v>22</v>
      </c>
      <c r="L189" t="s">
        <v>30</v>
      </c>
      <c r="M189" t="s">
        <v>1154</v>
      </c>
      <c r="N189" t="s">
        <v>65</v>
      </c>
      <c r="O189" t="s">
        <v>16</v>
      </c>
      <c r="P189">
        <v>1551.46</v>
      </c>
      <c r="Q189">
        <v>2808.38</v>
      </c>
      <c r="R189">
        <v>1233.69</v>
      </c>
      <c r="S189">
        <v>774.48</v>
      </c>
      <c r="T189">
        <v>9</v>
      </c>
      <c r="U189">
        <v>49</v>
      </c>
    </row>
    <row r="190" spans="1:21" x14ac:dyDescent="0.3">
      <c r="A190" t="s">
        <v>429</v>
      </c>
      <c r="B190">
        <v>25248</v>
      </c>
      <c r="C190" t="s">
        <v>47</v>
      </c>
      <c r="D190" t="s">
        <v>34</v>
      </c>
      <c r="E190" t="s">
        <v>41</v>
      </c>
      <c r="F190" t="s">
        <v>430</v>
      </c>
      <c r="G190">
        <v>45645</v>
      </c>
      <c r="I190">
        <v>45657</v>
      </c>
      <c r="J190" t="s">
        <v>111</v>
      </c>
      <c r="K190" t="s">
        <v>13</v>
      </c>
      <c r="L190" t="s">
        <v>15</v>
      </c>
      <c r="M190" t="s">
        <v>1158</v>
      </c>
      <c r="N190" t="s">
        <v>65</v>
      </c>
      <c r="O190" t="s">
        <v>51</v>
      </c>
      <c r="P190">
        <v>12371.7</v>
      </c>
      <c r="Q190">
        <v>1075.81</v>
      </c>
      <c r="R190">
        <v>380.58</v>
      </c>
      <c r="S190">
        <v>821.52</v>
      </c>
      <c r="T190">
        <v>10</v>
      </c>
      <c r="U190">
        <v>57</v>
      </c>
    </row>
    <row r="191" spans="1:21" x14ac:dyDescent="0.3">
      <c r="A191" t="s">
        <v>431</v>
      </c>
      <c r="B191">
        <v>35281</v>
      </c>
      <c r="C191" t="s">
        <v>47</v>
      </c>
      <c r="D191" t="s">
        <v>57</v>
      </c>
      <c r="E191" t="s">
        <v>102</v>
      </c>
      <c r="F191" t="s">
        <v>432</v>
      </c>
      <c r="G191">
        <v>45999</v>
      </c>
      <c r="I191">
        <v>46006</v>
      </c>
      <c r="J191" t="s">
        <v>29</v>
      </c>
      <c r="K191" t="s">
        <v>13</v>
      </c>
      <c r="L191" t="s">
        <v>45</v>
      </c>
      <c r="M191" t="s">
        <v>1147</v>
      </c>
      <c r="N191" t="s">
        <v>65</v>
      </c>
      <c r="O191" t="s">
        <v>25</v>
      </c>
      <c r="P191">
        <v>13102.19</v>
      </c>
      <c r="Q191">
        <v>793.48</v>
      </c>
      <c r="R191">
        <v>935.19</v>
      </c>
      <c r="S191">
        <v>582.36</v>
      </c>
      <c r="T191">
        <v>6</v>
      </c>
      <c r="U191">
        <v>29</v>
      </c>
    </row>
    <row r="192" spans="1:21" x14ac:dyDescent="0.3">
      <c r="A192" t="s">
        <v>433</v>
      </c>
      <c r="B192">
        <v>21362</v>
      </c>
      <c r="C192" t="s">
        <v>18</v>
      </c>
      <c r="D192" t="s">
        <v>126</v>
      </c>
      <c r="E192" t="s">
        <v>35</v>
      </c>
      <c r="F192" t="s">
        <v>434</v>
      </c>
      <c r="G192">
        <v>45370</v>
      </c>
      <c r="I192">
        <v>45380</v>
      </c>
      <c r="J192" t="s">
        <v>104</v>
      </c>
      <c r="K192" t="s">
        <v>13</v>
      </c>
      <c r="L192" t="s">
        <v>30</v>
      </c>
      <c r="M192" t="s">
        <v>1152</v>
      </c>
      <c r="N192" t="s">
        <v>15</v>
      </c>
      <c r="O192" t="s">
        <v>25</v>
      </c>
      <c r="P192">
        <v>10501.62</v>
      </c>
      <c r="Q192">
        <v>910.43</v>
      </c>
      <c r="R192">
        <v>642.23</v>
      </c>
      <c r="S192">
        <v>789.12</v>
      </c>
      <c r="T192">
        <v>5</v>
      </c>
      <c r="U192">
        <v>67</v>
      </c>
    </row>
    <row r="193" spans="1:21" x14ac:dyDescent="0.3">
      <c r="A193" t="s">
        <v>435</v>
      </c>
      <c r="B193">
        <v>33933</v>
      </c>
      <c r="C193" t="s">
        <v>18</v>
      </c>
      <c r="D193" t="s">
        <v>53</v>
      </c>
      <c r="E193" t="s">
        <v>102</v>
      </c>
      <c r="F193" t="s">
        <v>436</v>
      </c>
      <c r="G193">
        <v>45599</v>
      </c>
      <c r="I193">
        <v>45613</v>
      </c>
      <c r="J193" t="s">
        <v>111</v>
      </c>
      <c r="K193" t="s">
        <v>22</v>
      </c>
      <c r="L193" t="s">
        <v>38</v>
      </c>
      <c r="M193" t="s">
        <v>1156</v>
      </c>
      <c r="N193" t="s">
        <v>15</v>
      </c>
      <c r="O193" t="s">
        <v>31</v>
      </c>
      <c r="P193">
        <v>8060.92</v>
      </c>
      <c r="Q193">
        <v>2666.36</v>
      </c>
      <c r="R193">
        <v>423.2</v>
      </c>
      <c r="S193">
        <v>584.82000000000005</v>
      </c>
      <c r="T193">
        <v>7</v>
      </c>
      <c r="U193">
        <v>33</v>
      </c>
    </row>
    <row r="194" spans="1:21" x14ac:dyDescent="0.3">
      <c r="A194" t="s">
        <v>437</v>
      </c>
      <c r="B194">
        <v>32026</v>
      </c>
      <c r="C194" t="s">
        <v>47</v>
      </c>
      <c r="D194" t="s">
        <v>53</v>
      </c>
      <c r="E194" t="s">
        <v>41</v>
      </c>
      <c r="F194" t="s">
        <v>438</v>
      </c>
      <c r="G194">
        <v>45951</v>
      </c>
      <c r="I194">
        <v>45953</v>
      </c>
      <c r="J194" t="s">
        <v>1153</v>
      </c>
      <c r="K194" t="s">
        <v>22</v>
      </c>
      <c r="L194" t="s">
        <v>38</v>
      </c>
      <c r="M194" t="s">
        <v>1162</v>
      </c>
      <c r="N194" t="s">
        <v>50</v>
      </c>
      <c r="O194" t="s">
        <v>31</v>
      </c>
      <c r="P194">
        <v>10449.280000000001</v>
      </c>
      <c r="Q194">
        <v>1395.16</v>
      </c>
      <c r="R194">
        <v>2699.93</v>
      </c>
      <c r="S194">
        <v>1252.8599999999999</v>
      </c>
      <c r="T194">
        <v>2</v>
      </c>
      <c r="U194">
        <v>38</v>
      </c>
    </row>
    <row r="195" spans="1:21" x14ac:dyDescent="0.3">
      <c r="A195" t="s">
        <v>439</v>
      </c>
      <c r="B195">
        <v>21248</v>
      </c>
      <c r="C195" t="s">
        <v>8</v>
      </c>
      <c r="D195" t="s">
        <v>78</v>
      </c>
      <c r="E195" t="s">
        <v>75</v>
      </c>
      <c r="F195" t="s">
        <v>440</v>
      </c>
      <c r="G195">
        <v>45471</v>
      </c>
      <c r="I195">
        <v>45478</v>
      </c>
      <c r="J195" t="s">
        <v>12</v>
      </c>
      <c r="K195" t="s">
        <v>37</v>
      </c>
      <c r="L195" t="s">
        <v>73</v>
      </c>
      <c r="M195" t="s">
        <v>1150</v>
      </c>
      <c r="N195" t="s">
        <v>24</v>
      </c>
      <c r="O195" t="s">
        <v>31</v>
      </c>
      <c r="P195">
        <v>9939.69</v>
      </c>
      <c r="Q195">
        <v>2111.35</v>
      </c>
      <c r="R195">
        <v>3162.32</v>
      </c>
      <c r="S195">
        <v>1429.1</v>
      </c>
      <c r="T195">
        <v>2</v>
      </c>
      <c r="U195">
        <v>68</v>
      </c>
    </row>
    <row r="196" spans="1:21" x14ac:dyDescent="0.3">
      <c r="A196" t="s">
        <v>441</v>
      </c>
      <c r="B196">
        <v>25216</v>
      </c>
      <c r="C196" t="s">
        <v>33</v>
      </c>
      <c r="D196" t="s">
        <v>126</v>
      </c>
      <c r="E196" t="s">
        <v>62</v>
      </c>
      <c r="F196" t="s">
        <v>442</v>
      </c>
      <c r="G196">
        <v>45553</v>
      </c>
      <c r="I196">
        <v>45563</v>
      </c>
      <c r="J196" t="s">
        <v>100</v>
      </c>
      <c r="K196" t="s">
        <v>22</v>
      </c>
      <c r="L196" t="s">
        <v>15</v>
      </c>
      <c r="M196" t="s">
        <v>1162</v>
      </c>
      <c r="N196" t="s">
        <v>50</v>
      </c>
      <c r="O196" t="s">
        <v>25</v>
      </c>
      <c r="P196">
        <v>12203.97</v>
      </c>
      <c r="Q196">
        <v>996.94</v>
      </c>
      <c r="R196">
        <v>678.19</v>
      </c>
      <c r="S196">
        <v>1289.46</v>
      </c>
      <c r="T196">
        <v>3</v>
      </c>
      <c r="U196">
        <v>57</v>
      </c>
    </row>
    <row r="197" spans="1:21" x14ac:dyDescent="0.3">
      <c r="A197" t="s">
        <v>443</v>
      </c>
      <c r="B197">
        <v>32533</v>
      </c>
      <c r="C197" t="s">
        <v>18</v>
      </c>
      <c r="D197" t="s">
        <v>61</v>
      </c>
      <c r="E197" t="s">
        <v>10</v>
      </c>
      <c r="F197" t="s">
        <v>444</v>
      </c>
      <c r="G197">
        <v>45345</v>
      </c>
      <c r="I197">
        <v>45351</v>
      </c>
      <c r="J197" t="s">
        <v>1153</v>
      </c>
      <c r="K197" t="s">
        <v>22</v>
      </c>
      <c r="L197" t="s">
        <v>23</v>
      </c>
      <c r="M197" t="s">
        <v>1147</v>
      </c>
      <c r="N197" t="s">
        <v>24</v>
      </c>
      <c r="O197" t="s">
        <v>16</v>
      </c>
      <c r="P197">
        <v>13880.8</v>
      </c>
      <c r="Q197">
        <v>931.83</v>
      </c>
      <c r="R197">
        <v>832.45</v>
      </c>
      <c r="S197">
        <v>411.67</v>
      </c>
      <c r="T197">
        <v>6</v>
      </c>
      <c r="U197">
        <v>37</v>
      </c>
    </row>
    <row r="198" spans="1:21" x14ac:dyDescent="0.3">
      <c r="A198" t="s">
        <v>445</v>
      </c>
      <c r="B198">
        <v>16820</v>
      </c>
      <c r="C198" t="s">
        <v>18</v>
      </c>
      <c r="D198" t="s">
        <v>27</v>
      </c>
      <c r="E198" t="s">
        <v>75</v>
      </c>
      <c r="F198" t="s">
        <v>446</v>
      </c>
      <c r="G198">
        <v>45954</v>
      </c>
      <c r="I198">
        <v>45974</v>
      </c>
      <c r="J198" t="s">
        <v>72</v>
      </c>
      <c r="K198" t="s">
        <v>13</v>
      </c>
      <c r="L198" t="s">
        <v>38</v>
      </c>
      <c r="M198" t="s">
        <v>1156</v>
      </c>
      <c r="N198" t="s">
        <v>65</v>
      </c>
      <c r="P198">
        <v>4890.5600000000004</v>
      </c>
      <c r="Q198">
        <v>1192.1300000000001</v>
      </c>
      <c r="R198">
        <v>1754.61</v>
      </c>
      <c r="S198">
        <v>1724.11</v>
      </c>
      <c r="T198">
        <v>3</v>
      </c>
      <c r="U198">
        <v>80</v>
      </c>
    </row>
    <row r="199" spans="1:21" x14ac:dyDescent="0.3">
      <c r="A199" t="s">
        <v>447</v>
      </c>
      <c r="B199">
        <v>25276</v>
      </c>
      <c r="C199" t="s">
        <v>33</v>
      </c>
      <c r="D199" t="s">
        <v>40</v>
      </c>
      <c r="E199" t="s">
        <v>75</v>
      </c>
      <c r="F199" t="s">
        <v>448</v>
      </c>
      <c r="G199">
        <v>45503</v>
      </c>
      <c r="I199">
        <v>45523</v>
      </c>
      <c r="J199" t="s">
        <v>72</v>
      </c>
      <c r="K199" t="s">
        <v>13</v>
      </c>
      <c r="L199" t="s">
        <v>23</v>
      </c>
      <c r="M199" t="s">
        <v>1154</v>
      </c>
      <c r="N199" t="s">
        <v>15</v>
      </c>
      <c r="P199">
        <v>11965.22</v>
      </c>
      <c r="Q199">
        <v>1781.04</v>
      </c>
      <c r="R199">
        <v>3311.85</v>
      </c>
      <c r="S199">
        <v>1556.86</v>
      </c>
      <c r="T199">
        <v>3</v>
      </c>
      <c r="U199">
        <v>57</v>
      </c>
    </row>
    <row r="200" spans="1:21" x14ac:dyDescent="0.3">
      <c r="A200" t="s">
        <v>449</v>
      </c>
      <c r="B200">
        <v>29222</v>
      </c>
      <c r="C200" t="s">
        <v>18</v>
      </c>
      <c r="D200" t="s">
        <v>57</v>
      </c>
      <c r="E200" t="s">
        <v>58</v>
      </c>
      <c r="F200" t="s">
        <v>450</v>
      </c>
      <c r="G200">
        <v>45632</v>
      </c>
      <c r="I200">
        <v>45640</v>
      </c>
      <c r="J200" t="s">
        <v>1153</v>
      </c>
      <c r="K200" t="s">
        <v>13</v>
      </c>
      <c r="L200" t="s">
        <v>64</v>
      </c>
      <c r="M200" t="s">
        <v>1156</v>
      </c>
      <c r="N200" t="s">
        <v>50</v>
      </c>
      <c r="O200" t="s">
        <v>31</v>
      </c>
      <c r="P200">
        <v>2285.3200000000002</v>
      </c>
      <c r="Q200">
        <v>96.37</v>
      </c>
      <c r="R200">
        <v>4488.29</v>
      </c>
      <c r="S200">
        <v>558.84</v>
      </c>
      <c r="T200">
        <v>10</v>
      </c>
      <c r="U200">
        <v>46</v>
      </c>
    </row>
    <row r="201" spans="1:21" x14ac:dyDescent="0.3">
      <c r="A201" t="s">
        <v>451</v>
      </c>
      <c r="B201">
        <v>27904</v>
      </c>
      <c r="C201" t="s">
        <v>18</v>
      </c>
      <c r="D201" t="s">
        <v>57</v>
      </c>
      <c r="E201" t="s">
        <v>68</v>
      </c>
      <c r="F201" t="s">
        <v>452</v>
      </c>
      <c r="G201">
        <v>45661</v>
      </c>
      <c r="I201">
        <v>45675</v>
      </c>
      <c r="J201" t="s">
        <v>12</v>
      </c>
      <c r="K201" t="s">
        <v>44</v>
      </c>
      <c r="L201" t="s">
        <v>73</v>
      </c>
      <c r="M201" t="s">
        <v>1156</v>
      </c>
      <c r="N201" t="s">
        <v>24</v>
      </c>
      <c r="O201" t="s">
        <v>25</v>
      </c>
      <c r="P201">
        <v>3884.96</v>
      </c>
      <c r="Q201">
        <v>2198.3000000000002</v>
      </c>
      <c r="R201">
        <v>3686.6</v>
      </c>
      <c r="S201">
        <v>1899.36</v>
      </c>
      <c r="T201">
        <v>3</v>
      </c>
      <c r="U201">
        <v>50</v>
      </c>
    </row>
    <row r="202" spans="1:21" x14ac:dyDescent="0.3">
      <c r="A202" t="s">
        <v>453</v>
      </c>
      <c r="B202">
        <v>24824</v>
      </c>
      <c r="C202" t="s">
        <v>8</v>
      </c>
      <c r="D202" t="s">
        <v>61</v>
      </c>
      <c r="E202" t="s">
        <v>54</v>
      </c>
      <c r="F202" t="s">
        <v>454</v>
      </c>
      <c r="G202">
        <v>45788</v>
      </c>
      <c r="I202">
        <v>45803</v>
      </c>
      <c r="J202" t="s">
        <v>1153</v>
      </c>
      <c r="K202" t="s">
        <v>44</v>
      </c>
      <c r="L202" t="s">
        <v>15</v>
      </c>
      <c r="M202" t="s">
        <v>1162</v>
      </c>
      <c r="N202" t="s">
        <v>50</v>
      </c>
      <c r="O202" t="s">
        <v>51</v>
      </c>
      <c r="P202">
        <v>13585.11</v>
      </c>
      <c r="Q202">
        <v>590.96</v>
      </c>
      <c r="R202">
        <v>960.74</v>
      </c>
      <c r="S202">
        <v>87.21</v>
      </c>
      <c r="T202">
        <v>4</v>
      </c>
      <c r="U202">
        <v>58</v>
      </c>
    </row>
    <row r="203" spans="1:21" x14ac:dyDescent="0.3">
      <c r="A203" t="s">
        <v>455</v>
      </c>
      <c r="B203">
        <v>25115</v>
      </c>
      <c r="C203" t="s">
        <v>33</v>
      </c>
      <c r="D203" t="s">
        <v>34</v>
      </c>
      <c r="E203" t="s">
        <v>54</v>
      </c>
      <c r="F203" t="s">
        <v>456</v>
      </c>
      <c r="G203">
        <v>45623</v>
      </c>
      <c r="I203">
        <v>45628</v>
      </c>
      <c r="J203" t="s">
        <v>1169</v>
      </c>
      <c r="K203" t="s">
        <v>22</v>
      </c>
      <c r="L203" t="s">
        <v>64</v>
      </c>
      <c r="M203" t="s">
        <v>1157</v>
      </c>
      <c r="N203" t="s">
        <v>65</v>
      </c>
      <c r="O203" t="s">
        <v>16</v>
      </c>
      <c r="P203">
        <v>10415.9</v>
      </c>
      <c r="Q203">
        <v>1971.84</v>
      </c>
      <c r="R203">
        <v>3233.26</v>
      </c>
      <c r="S203">
        <v>550.9</v>
      </c>
      <c r="T203">
        <v>7</v>
      </c>
      <c r="U203">
        <v>57</v>
      </c>
    </row>
    <row r="204" spans="1:21" x14ac:dyDescent="0.3">
      <c r="A204" t="s">
        <v>457</v>
      </c>
      <c r="B204">
        <v>16898</v>
      </c>
      <c r="C204" t="s">
        <v>18</v>
      </c>
      <c r="D204" t="s">
        <v>34</v>
      </c>
      <c r="E204" t="s">
        <v>19</v>
      </c>
      <c r="F204" t="s">
        <v>458</v>
      </c>
      <c r="G204">
        <v>45689</v>
      </c>
      <c r="I204">
        <v>45702</v>
      </c>
      <c r="J204" t="s">
        <v>12</v>
      </c>
      <c r="K204" t="s">
        <v>13</v>
      </c>
      <c r="L204" t="s">
        <v>38</v>
      </c>
      <c r="M204" t="s">
        <v>1158</v>
      </c>
      <c r="N204" t="s">
        <v>15</v>
      </c>
      <c r="O204" t="s">
        <v>51</v>
      </c>
      <c r="P204">
        <v>2734.49</v>
      </c>
      <c r="Q204">
        <v>572.85</v>
      </c>
      <c r="R204">
        <v>3177.39</v>
      </c>
      <c r="S204">
        <v>940.53</v>
      </c>
      <c r="T204">
        <v>7</v>
      </c>
      <c r="U204">
        <v>80</v>
      </c>
    </row>
    <row r="205" spans="1:21" x14ac:dyDescent="0.3">
      <c r="A205" t="s">
        <v>459</v>
      </c>
      <c r="B205">
        <v>28291</v>
      </c>
      <c r="C205" t="s">
        <v>18</v>
      </c>
      <c r="D205" t="s">
        <v>9</v>
      </c>
      <c r="E205" t="s">
        <v>62</v>
      </c>
      <c r="F205" t="s">
        <v>460</v>
      </c>
      <c r="G205">
        <v>45984</v>
      </c>
      <c r="I205">
        <v>45992</v>
      </c>
      <c r="J205" t="s">
        <v>114</v>
      </c>
      <c r="K205" t="s">
        <v>37</v>
      </c>
      <c r="L205" t="s">
        <v>14</v>
      </c>
      <c r="M205" t="s">
        <v>1157</v>
      </c>
      <c r="N205" t="s">
        <v>65</v>
      </c>
      <c r="O205" t="s">
        <v>31</v>
      </c>
      <c r="P205">
        <v>9290.91</v>
      </c>
      <c r="Q205">
        <v>1286.82</v>
      </c>
      <c r="R205">
        <v>920.47</v>
      </c>
      <c r="S205">
        <v>1523.42</v>
      </c>
      <c r="T205">
        <v>2</v>
      </c>
      <c r="U205">
        <v>48</v>
      </c>
    </row>
    <row r="206" spans="1:21" x14ac:dyDescent="0.3">
      <c r="A206" t="s">
        <v>461</v>
      </c>
      <c r="B206">
        <v>22557</v>
      </c>
      <c r="C206" t="s">
        <v>33</v>
      </c>
      <c r="D206" t="s">
        <v>9</v>
      </c>
      <c r="E206" t="s">
        <v>68</v>
      </c>
      <c r="F206" t="s">
        <v>462</v>
      </c>
      <c r="G206">
        <v>45807</v>
      </c>
      <c r="I206">
        <v>45808</v>
      </c>
      <c r="J206" t="s">
        <v>100</v>
      </c>
      <c r="K206" t="s">
        <v>44</v>
      </c>
      <c r="L206" t="s">
        <v>23</v>
      </c>
      <c r="M206" t="s">
        <v>1162</v>
      </c>
      <c r="N206" t="s">
        <v>24</v>
      </c>
      <c r="O206" t="s">
        <v>51</v>
      </c>
      <c r="P206">
        <v>15453.41</v>
      </c>
      <c r="Q206">
        <v>1663.53</v>
      </c>
      <c r="R206">
        <v>3706.44</v>
      </c>
      <c r="S206">
        <v>50.75</v>
      </c>
      <c r="T206">
        <v>7</v>
      </c>
      <c r="U206">
        <v>64</v>
      </c>
    </row>
    <row r="207" spans="1:21" x14ac:dyDescent="0.3">
      <c r="A207" t="s">
        <v>463</v>
      </c>
      <c r="B207">
        <v>31639</v>
      </c>
      <c r="C207" t="s">
        <v>18</v>
      </c>
      <c r="D207" t="s">
        <v>27</v>
      </c>
      <c r="E207" t="s">
        <v>58</v>
      </c>
      <c r="F207" t="s">
        <v>464</v>
      </c>
      <c r="G207">
        <v>46000</v>
      </c>
      <c r="I207">
        <v>46013</v>
      </c>
      <c r="J207" t="s">
        <v>21</v>
      </c>
      <c r="K207" t="s">
        <v>44</v>
      </c>
      <c r="L207" t="s">
        <v>45</v>
      </c>
      <c r="M207" t="s">
        <v>1161</v>
      </c>
      <c r="N207" t="s">
        <v>50</v>
      </c>
      <c r="O207" t="s">
        <v>25</v>
      </c>
      <c r="P207">
        <v>2210.92</v>
      </c>
      <c r="Q207">
        <v>2945.38</v>
      </c>
      <c r="R207">
        <v>3910.82</v>
      </c>
      <c r="S207">
        <v>885.09</v>
      </c>
      <c r="T207">
        <v>7</v>
      </c>
      <c r="U207">
        <v>39</v>
      </c>
    </row>
    <row r="208" spans="1:21" x14ac:dyDescent="0.3">
      <c r="A208" t="s">
        <v>465</v>
      </c>
      <c r="B208">
        <v>33953</v>
      </c>
      <c r="C208" t="s">
        <v>33</v>
      </c>
      <c r="D208" t="s">
        <v>53</v>
      </c>
      <c r="E208" t="s">
        <v>68</v>
      </c>
      <c r="F208" t="s">
        <v>466</v>
      </c>
      <c r="G208">
        <v>45788</v>
      </c>
      <c r="I208">
        <v>45804</v>
      </c>
      <c r="J208" t="s">
        <v>43</v>
      </c>
      <c r="K208" t="s">
        <v>13</v>
      </c>
      <c r="L208" t="s">
        <v>15</v>
      </c>
      <c r="M208" t="s">
        <v>1156</v>
      </c>
      <c r="N208" t="s">
        <v>15</v>
      </c>
      <c r="P208">
        <v>5013.29</v>
      </c>
      <c r="Q208">
        <v>1313.94</v>
      </c>
      <c r="R208">
        <v>4428.8999999999996</v>
      </c>
      <c r="S208">
        <v>1215.79</v>
      </c>
      <c r="T208">
        <v>4</v>
      </c>
      <c r="U208">
        <v>33</v>
      </c>
    </row>
    <row r="209" spans="1:21" x14ac:dyDescent="0.3">
      <c r="A209" t="s">
        <v>467</v>
      </c>
      <c r="B209">
        <v>37574</v>
      </c>
      <c r="C209" t="s">
        <v>18</v>
      </c>
      <c r="D209" t="s">
        <v>57</v>
      </c>
      <c r="E209" t="s">
        <v>102</v>
      </c>
      <c r="F209" t="s">
        <v>468</v>
      </c>
      <c r="G209">
        <v>45776</v>
      </c>
      <c r="I209">
        <v>45780</v>
      </c>
      <c r="J209" t="s">
        <v>1153</v>
      </c>
      <c r="K209" t="s">
        <v>13</v>
      </c>
      <c r="L209" t="s">
        <v>23</v>
      </c>
      <c r="M209" t="s">
        <v>1158</v>
      </c>
      <c r="N209" t="s">
        <v>15</v>
      </c>
      <c r="O209" t="s">
        <v>16</v>
      </c>
      <c r="P209">
        <v>8162.08</v>
      </c>
      <c r="Q209">
        <v>2950.62</v>
      </c>
      <c r="R209">
        <v>3130.6</v>
      </c>
      <c r="S209">
        <v>1705.55</v>
      </c>
      <c r="T209">
        <v>3</v>
      </c>
      <c r="U209">
        <v>23</v>
      </c>
    </row>
    <row r="210" spans="1:21" x14ac:dyDescent="0.3">
      <c r="A210" t="s">
        <v>469</v>
      </c>
      <c r="B210">
        <v>23369</v>
      </c>
      <c r="C210" t="s">
        <v>47</v>
      </c>
      <c r="D210" t="s">
        <v>34</v>
      </c>
      <c r="E210" t="s">
        <v>62</v>
      </c>
      <c r="F210" t="s">
        <v>470</v>
      </c>
      <c r="G210">
        <v>45380</v>
      </c>
      <c r="I210">
        <v>45396</v>
      </c>
      <c r="J210" t="s">
        <v>114</v>
      </c>
      <c r="K210" t="s">
        <v>37</v>
      </c>
      <c r="L210" t="s">
        <v>14</v>
      </c>
      <c r="M210" t="s">
        <v>1154</v>
      </c>
      <c r="N210" t="s">
        <v>15</v>
      </c>
      <c r="O210" t="s">
        <v>16</v>
      </c>
      <c r="P210">
        <v>2984.56</v>
      </c>
      <c r="Q210">
        <v>542.35</v>
      </c>
      <c r="R210">
        <v>1144.2</v>
      </c>
      <c r="S210">
        <v>1028.8900000000001</v>
      </c>
      <c r="T210">
        <v>8</v>
      </c>
      <c r="U210">
        <v>62</v>
      </c>
    </row>
    <row r="211" spans="1:21" x14ac:dyDescent="0.3">
      <c r="A211" t="s">
        <v>471</v>
      </c>
      <c r="B211">
        <v>34359</v>
      </c>
      <c r="C211" t="s">
        <v>47</v>
      </c>
      <c r="D211" t="s">
        <v>61</v>
      </c>
      <c r="E211" t="s">
        <v>54</v>
      </c>
      <c r="F211" t="s">
        <v>472</v>
      </c>
      <c r="G211">
        <v>45862</v>
      </c>
      <c r="I211">
        <v>45871</v>
      </c>
      <c r="J211" t="s">
        <v>114</v>
      </c>
      <c r="K211" t="s">
        <v>44</v>
      </c>
      <c r="L211" t="s">
        <v>14</v>
      </c>
      <c r="M211" t="s">
        <v>1150</v>
      </c>
      <c r="N211" t="s">
        <v>24</v>
      </c>
      <c r="O211" t="s">
        <v>31</v>
      </c>
      <c r="P211">
        <v>3800.35</v>
      </c>
      <c r="Q211">
        <v>2948.04</v>
      </c>
      <c r="R211">
        <v>3792.2</v>
      </c>
      <c r="S211">
        <v>1076.6300000000001</v>
      </c>
      <c r="T211">
        <v>8</v>
      </c>
      <c r="U211">
        <v>32</v>
      </c>
    </row>
    <row r="212" spans="1:21" x14ac:dyDescent="0.3">
      <c r="A212" t="s">
        <v>473</v>
      </c>
      <c r="B212">
        <v>31574</v>
      </c>
      <c r="C212" t="s">
        <v>8</v>
      </c>
      <c r="D212" t="s">
        <v>48</v>
      </c>
      <c r="E212" t="s">
        <v>10</v>
      </c>
      <c r="F212" t="s">
        <v>474</v>
      </c>
      <c r="G212">
        <v>45433</v>
      </c>
      <c r="I212">
        <v>45437</v>
      </c>
      <c r="J212" t="s">
        <v>72</v>
      </c>
      <c r="K212" t="s">
        <v>13</v>
      </c>
      <c r="L212" t="s">
        <v>45</v>
      </c>
      <c r="M212" t="s">
        <v>1159</v>
      </c>
      <c r="N212" t="s">
        <v>15</v>
      </c>
      <c r="O212" t="s">
        <v>31</v>
      </c>
      <c r="P212">
        <v>8191.02</v>
      </c>
      <c r="Q212">
        <v>1137.48</v>
      </c>
      <c r="R212">
        <v>3953.18</v>
      </c>
      <c r="S212">
        <v>1116.73</v>
      </c>
      <c r="T212">
        <v>8</v>
      </c>
      <c r="U212">
        <v>40</v>
      </c>
    </row>
    <row r="213" spans="1:21" x14ac:dyDescent="0.3">
      <c r="A213" t="s">
        <v>475</v>
      </c>
      <c r="B213">
        <v>26748</v>
      </c>
      <c r="C213" t="s">
        <v>18</v>
      </c>
      <c r="D213" t="s">
        <v>61</v>
      </c>
      <c r="E213" t="s">
        <v>58</v>
      </c>
      <c r="F213" t="s">
        <v>476</v>
      </c>
      <c r="G213">
        <v>45302</v>
      </c>
      <c r="I213">
        <v>45319</v>
      </c>
      <c r="J213" t="s">
        <v>1173</v>
      </c>
      <c r="K213" t="s">
        <v>37</v>
      </c>
      <c r="L213" t="s">
        <v>64</v>
      </c>
      <c r="M213" t="s">
        <v>1154</v>
      </c>
      <c r="N213" t="s">
        <v>65</v>
      </c>
      <c r="O213" t="s">
        <v>25</v>
      </c>
      <c r="R213">
        <v>4484.04</v>
      </c>
      <c r="S213">
        <v>355.01</v>
      </c>
      <c r="T213">
        <v>3</v>
      </c>
      <c r="U213">
        <v>53</v>
      </c>
    </row>
    <row r="214" spans="1:21" x14ac:dyDescent="0.3">
      <c r="A214" t="s">
        <v>477</v>
      </c>
      <c r="B214">
        <v>37154</v>
      </c>
      <c r="C214" t="s">
        <v>18</v>
      </c>
      <c r="D214" t="s">
        <v>57</v>
      </c>
      <c r="E214" t="s">
        <v>35</v>
      </c>
      <c r="F214" t="s">
        <v>478</v>
      </c>
      <c r="G214">
        <v>45925</v>
      </c>
      <c r="I214">
        <v>45940</v>
      </c>
      <c r="J214" t="s">
        <v>29</v>
      </c>
      <c r="K214" t="s">
        <v>22</v>
      </c>
      <c r="L214" t="s">
        <v>64</v>
      </c>
      <c r="M214" t="s">
        <v>1159</v>
      </c>
      <c r="N214" t="s">
        <v>65</v>
      </c>
      <c r="P214">
        <v>1846.32</v>
      </c>
      <c r="Q214">
        <v>946.1</v>
      </c>
      <c r="R214">
        <v>4582.25</v>
      </c>
      <c r="S214">
        <v>555.61</v>
      </c>
      <c r="T214">
        <v>2</v>
      </c>
      <c r="U214">
        <v>24</v>
      </c>
    </row>
    <row r="215" spans="1:21" x14ac:dyDescent="0.3">
      <c r="A215" t="s">
        <v>479</v>
      </c>
      <c r="B215">
        <v>28180</v>
      </c>
      <c r="C215" t="s">
        <v>18</v>
      </c>
      <c r="D215" t="s">
        <v>48</v>
      </c>
      <c r="E215" t="s">
        <v>54</v>
      </c>
      <c r="F215" t="s">
        <v>480</v>
      </c>
      <c r="G215">
        <v>45353</v>
      </c>
      <c r="I215">
        <v>45365</v>
      </c>
      <c r="J215" t="s">
        <v>12</v>
      </c>
      <c r="K215" t="s">
        <v>22</v>
      </c>
      <c r="L215" t="s">
        <v>30</v>
      </c>
      <c r="M215" t="s">
        <v>1158</v>
      </c>
      <c r="N215" t="s">
        <v>50</v>
      </c>
      <c r="O215" t="s">
        <v>31</v>
      </c>
      <c r="P215">
        <v>12580.67</v>
      </c>
      <c r="Q215">
        <v>2810.13</v>
      </c>
      <c r="R215">
        <v>2138.52</v>
      </c>
      <c r="S215">
        <v>1106.1199999999999</v>
      </c>
      <c r="T215">
        <v>8</v>
      </c>
      <c r="U215">
        <v>49</v>
      </c>
    </row>
    <row r="216" spans="1:21" x14ac:dyDescent="0.3">
      <c r="A216" t="s">
        <v>481</v>
      </c>
      <c r="B216">
        <v>18710</v>
      </c>
      <c r="C216" t="s">
        <v>33</v>
      </c>
      <c r="D216" t="s">
        <v>67</v>
      </c>
      <c r="E216" t="s">
        <v>54</v>
      </c>
      <c r="F216" t="s">
        <v>482</v>
      </c>
      <c r="G216">
        <v>45727</v>
      </c>
      <c r="I216">
        <v>45741</v>
      </c>
      <c r="J216" t="s">
        <v>1173</v>
      </c>
      <c r="K216" t="s">
        <v>13</v>
      </c>
      <c r="L216" t="s">
        <v>15</v>
      </c>
      <c r="M216" t="s">
        <v>1159</v>
      </c>
      <c r="N216" t="s">
        <v>50</v>
      </c>
      <c r="O216" t="s">
        <v>16</v>
      </c>
      <c r="P216">
        <v>8913.1200000000008</v>
      </c>
      <c r="Q216">
        <v>629.63</v>
      </c>
      <c r="R216">
        <v>3861.94</v>
      </c>
      <c r="S216">
        <v>1487.66</v>
      </c>
      <c r="T216">
        <v>8</v>
      </c>
      <c r="U216">
        <v>75</v>
      </c>
    </row>
    <row r="217" spans="1:21" x14ac:dyDescent="0.3">
      <c r="A217" t="s">
        <v>483</v>
      </c>
      <c r="B217">
        <v>27243</v>
      </c>
      <c r="C217" t="s">
        <v>8</v>
      </c>
      <c r="D217" t="s">
        <v>34</v>
      </c>
      <c r="E217" t="s">
        <v>62</v>
      </c>
      <c r="F217" t="s">
        <v>484</v>
      </c>
      <c r="G217">
        <v>45452</v>
      </c>
      <c r="I217">
        <v>45470</v>
      </c>
      <c r="J217" t="s">
        <v>29</v>
      </c>
      <c r="K217" t="s">
        <v>44</v>
      </c>
      <c r="L217" t="s">
        <v>15</v>
      </c>
      <c r="M217" t="s">
        <v>1157</v>
      </c>
      <c r="N217" t="s">
        <v>24</v>
      </c>
      <c r="O217" t="s">
        <v>16</v>
      </c>
      <c r="P217">
        <v>5359.58</v>
      </c>
      <c r="Q217">
        <v>513.09</v>
      </c>
      <c r="R217">
        <v>4104.21</v>
      </c>
      <c r="S217">
        <v>1158.43</v>
      </c>
      <c r="T217">
        <v>10</v>
      </c>
      <c r="U217">
        <v>51</v>
      </c>
    </row>
    <row r="218" spans="1:21" x14ac:dyDescent="0.3">
      <c r="A218" t="s">
        <v>485</v>
      </c>
      <c r="B218">
        <v>27677</v>
      </c>
      <c r="C218" t="s">
        <v>8</v>
      </c>
      <c r="D218" t="s">
        <v>27</v>
      </c>
      <c r="E218" t="s">
        <v>54</v>
      </c>
      <c r="F218" t="s">
        <v>486</v>
      </c>
      <c r="G218">
        <v>45871</v>
      </c>
      <c r="I218">
        <v>45886</v>
      </c>
      <c r="J218" t="s">
        <v>29</v>
      </c>
      <c r="K218" t="s">
        <v>22</v>
      </c>
      <c r="L218" t="s">
        <v>73</v>
      </c>
      <c r="M218" t="s">
        <v>1156</v>
      </c>
      <c r="N218" t="s">
        <v>24</v>
      </c>
      <c r="O218" t="s">
        <v>51</v>
      </c>
      <c r="P218">
        <v>11170.53</v>
      </c>
      <c r="Q218">
        <v>667.48</v>
      </c>
      <c r="R218">
        <v>1526.72</v>
      </c>
      <c r="S218">
        <v>1222.51</v>
      </c>
      <c r="T218">
        <v>8</v>
      </c>
      <c r="U218">
        <v>50</v>
      </c>
    </row>
    <row r="219" spans="1:21" x14ac:dyDescent="0.3">
      <c r="A219" t="s">
        <v>487</v>
      </c>
      <c r="B219">
        <v>31658</v>
      </c>
      <c r="C219" t="s">
        <v>47</v>
      </c>
      <c r="D219" t="s">
        <v>67</v>
      </c>
      <c r="E219" t="s">
        <v>102</v>
      </c>
      <c r="F219" t="s">
        <v>488</v>
      </c>
      <c r="G219">
        <v>45489</v>
      </c>
      <c r="I219">
        <v>45509</v>
      </c>
      <c r="J219" t="s">
        <v>104</v>
      </c>
      <c r="K219" t="s">
        <v>22</v>
      </c>
      <c r="L219" t="s">
        <v>15</v>
      </c>
      <c r="M219" t="s">
        <v>1147</v>
      </c>
      <c r="N219" t="s">
        <v>65</v>
      </c>
      <c r="O219" t="s">
        <v>51</v>
      </c>
      <c r="P219">
        <v>9413.9699999999993</v>
      </c>
      <c r="Q219">
        <v>2049.2600000000002</v>
      </c>
      <c r="R219">
        <v>324</v>
      </c>
      <c r="S219">
        <v>409.75</v>
      </c>
      <c r="T219">
        <v>1</v>
      </c>
      <c r="U219">
        <v>39</v>
      </c>
    </row>
    <row r="220" spans="1:21" x14ac:dyDescent="0.3">
      <c r="A220" t="s">
        <v>489</v>
      </c>
      <c r="B220">
        <v>22316</v>
      </c>
      <c r="C220" t="s">
        <v>18</v>
      </c>
      <c r="D220" t="s">
        <v>126</v>
      </c>
      <c r="E220" t="s">
        <v>58</v>
      </c>
      <c r="F220" t="s">
        <v>490</v>
      </c>
      <c r="G220">
        <v>45393</v>
      </c>
      <c r="I220">
        <v>45411</v>
      </c>
      <c r="J220" t="s">
        <v>114</v>
      </c>
      <c r="K220" t="s">
        <v>13</v>
      </c>
      <c r="L220" t="s">
        <v>64</v>
      </c>
      <c r="M220" t="s">
        <v>1158</v>
      </c>
      <c r="N220" t="s">
        <v>15</v>
      </c>
      <c r="O220" t="s">
        <v>31</v>
      </c>
      <c r="P220">
        <v>14960.5</v>
      </c>
      <c r="Q220">
        <v>711.68</v>
      </c>
      <c r="R220">
        <v>544.26</v>
      </c>
      <c r="S220">
        <v>1589.85</v>
      </c>
      <c r="T220">
        <v>7</v>
      </c>
      <c r="U220">
        <v>65</v>
      </c>
    </row>
    <row r="221" spans="1:21" x14ac:dyDescent="0.3">
      <c r="A221" t="s">
        <v>491</v>
      </c>
      <c r="B221">
        <v>28381</v>
      </c>
      <c r="C221" t="s">
        <v>47</v>
      </c>
      <c r="D221" t="s">
        <v>40</v>
      </c>
      <c r="E221" t="s">
        <v>35</v>
      </c>
      <c r="F221" t="s">
        <v>492</v>
      </c>
      <c r="G221">
        <v>45409</v>
      </c>
      <c r="I221">
        <v>45418</v>
      </c>
      <c r="J221" t="s">
        <v>43</v>
      </c>
      <c r="K221" t="s">
        <v>44</v>
      </c>
      <c r="L221" t="s">
        <v>23</v>
      </c>
      <c r="M221" t="s">
        <v>1154</v>
      </c>
      <c r="N221" t="s">
        <v>50</v>
      </c>
      <c r="O221" t="s">
        <v>31</v>
      </c>
      <c r="P221">
        <v>13557.16</v>
      </c>
      <c r="Q221">
        <v>2035.89</v>
      </c>
      <c r="R221">
        <v>3667.14</v>
      </c>
      <c r="S221">
        <v>1178.5899999999999</v>
      </c>
      <c r="T221">
        <v>5</v>
      </c>
      <c r="U221">
        <v>48</v>
      </c>
    </row>
    <row r="222" spans="1:21" x14ac:dyDescent="0.3">
      <c r="A222" t="s">
        <v>493</v>
      </c>
      <c r="B222">
        <v>39000</v>
      </c>
      <c r="C222" t="s">
        <v>8</v>
      </c>
      <c r="D222" t="s">
        <v>126</v>
      </c>
      <c r="E222" t="s">
        <v>41</v>
      </c>
      <c r="F222" t="s">
        <v>494</v>
      </c>
      <c r="G222">
        <v>45960</v>
      </c>
      <c r="I222">
        <v>45966</v>
      </c>
      <c r="J222" t="s">
        <v>1169</v>
      </c>
      <c r="K222" t="s">
        <v>13</v>
      </c>
      <c r="L222" t="s">
        <v>14</v>
      </c>
      <c r="M222" t="s">
        <v>1159</v>
      </c>
      <c r="N222" t="s">
        <v>24</v>
      </c>
      <c r="O222" t="s">
        <v>16</v>
      </c>
      <c r="P222">
        <v>15320.96</v>
      </c>
      <c r="Q222">
        <v>1228.79</v>
      </c>
      <c r="R222">
        <v>4330.74</v>
      </c>
      <c r="S222">
        <v>715.2</v>
      </c>
      <c r="T222">
        <v>7</v>
      </c>
      <c r="U222">
        <v>19</v>
      </c>
    </row>
    <row r="223" spans="1:21" x14ac:dyDescent="0.3">
      <c r="A223" t="s">
        <v>495</v>
      </c>
      <c r="B223">
        <v>34318</v>
      </c>
      <c r="C223" t="s">
        <v>47</v>
      </c>
      <c r="D223" t="s">
        <v>9</v>
      </c>
      <c r="E223" t="s">
        <v>41</v>
      </c>
      <c r="F223" t="s">
        <v>496</v>
      </c>
      <c r="G223">
        <v>45571</v>
      </c>
      <c r="I223">
        <v>45579</v>
      </c>
      <c r="J223" t="s">
        <v>29</v>
      </c>
      <c r="K223" t="s">
        <v>37</v>
      </c>
      <c r="L223" t="s">
        <v>14</v>
      </c>
      <c r="M223" t="s">
        <v>1152</v>
      </c>
      <c r="N223" t="s">
        <v>65</v>
      </c>
      <c r="O223" t="s">
        <v>25</v>
      </c>
      <c r="P223">
        <v>14948.06</v>
      </c>
      <c r="Q223">
        <v>206.4</v>
      </c>
      <c r="R223">
        <v>3813.22</v>
      </c>
      <c r="S223">
        <v>790.6</v>
      </c>
      <c r="T223">
        <v>0</v>
      </c>
      <c r="U223">
        <v>32</v>
      </c>
    </row>
    <row r="224" spans="1:21" x14ac:dyDescent="0.3">
      <c r="A224" t="s">
        <v>497</v>
      </c>
      <c r="B224">
        <v>25289</v>
      </c>
      <c r="C224" t="s">
        <v>18</v>
      </c>
      <c r="D224" t="s">
        <v>27</v>
      </c>
      <c r="E224" t="s">
        <v>54</v>
      </c>
      <c r="F224" t="s">
        <v>498</v>
      </c>
      <c r="G224">
        <v>46005</v>
      </c>
      <c r="I224">
        <v>46006</v>
      </c>
      <c r="J224" t="s">
        <v>100</v>
      </c>
      <c r="K224" t="s">
        <v>22</v>
      </c>
      <c r="L224" t="s">
        <v>73</v>
      </c>
      <c r="M224" t="s">
        <v>1158</v>
      </c>
      <c r="N224" t="s">
        <v>15</v>
      </c>
      <c r="O224" t="s">
        <v>16</v>
      </c>
      <c r="P224">
        <v>12741.97</v>
      </c>
      <c r="Q224">
        <v>110.15</v>
      </c>
      <c r="R224">
        <v>1812.71</v>
      </c>
      <c r="S224">
        <v>1732.92</v>
      </c>
      <c r="T224">
        <v>1</v>
      </c>
      <c r="U224">
        <v>57</v>
      </c>
    </row>
    <row r="225" spans="1:21" x14ac:dyDescent="0.3">
      <c r="A225" t="s">
        <v>499</v>
      </c>
      <c r="B225">
        <v>29845</v>
      </c>
      <c r="C225" t="s">
        <v>8</v>
      </c>
      <c r="D225" t="s">
        <v>40</v>
      </c>
      <c r="E225" t="s">
        <v>58</v>
      </c>
      <c r="F225" t="s">
        <v>500</v>
      </c>
      <c r="G225">
        <v>45466</v>
      </c>
      <c r="I225">
        <v>45484</v>
      </c>
      <c r="J225" t="s">
        <v>72</v>
      </c>
      <c r="K225" t="s">
        <v>13</v>
      </c>
      <c r="L225" t="s">
        <v>73</v>
      </c>
      <c r="M225" t="s">
        <v>1161</v>
      </c>
      <c r="N225" t="s">
        <v>65</v>
      </c>
      <c r="O225" t="s">
        <v>51</v>
      </c>
      <c r="P225">
        <v>15427.76</v>
      </c>
      <c r="Q225">
        <v>375.82</v>
      </c>
      <c r="R225">
        <v>3727.43</v>
      </c>
      <c r="S225">
        <v>866.7</v>
      </c>
      <c r="T225">
        <v>2</v>
      </c>
      <c r="U225">
        <v>44</v>
      </c>
    </row>
    <row r="226" spans="1:21" x14ac:dyDescent="0.3">
      <c r="A226" t="s">
        <v>501</v>
      </c>
      <c r="B226">
        <v>25106</v>
      </c>
      <c r="C226" t="s">
        <v>18</v>
      </c>
      <c r="D226" t="s">
        <v>48</v>
      </c>
      <c r="E226" t="s">
        <v>10</v>
      </c>
      <c r="F226" t="s">
        <v>502</v>
      </c>
      <c r="G226">
        <v>45336</v>
      </c>
      <c r="I226">
        <v>45344</v>
      </c>
      <c r="J226" t="s">
        <v>43</v>
      </c>
      <c r="K226" t="s">
        <v>22</v>
      </c>
      <c r="L226" t="s">
        <v>14</v>
      </c>
      <c r="M226" t="s">
        <v>1162</v>
      </c>
      <c r="N226" t="s">
        <v>65</v>
      </c>
      <c r="O226" t="s">
        <v>16</v>
      </c>
      <c r="P226">
        <v>8794.9500000000007</v>
      </c>
      <c r="Q226">
        <v>1345.52</v>
      </c>
      <c r="R226">
        <v>355.25</v>
      </c>
      <c r="S226">
        <v>1348.75</v>
      </c>
      <c r="T226">
        <v>4</v>
      </c>
      <c r="U226">
        <v>57</v>
      </c>
    </row>
    <row r="227" spans="1:21" x14ac:dyDescent="0.3">
      <c r="A227" t="s">
        <v>503</v>
      </c>
      <c r="B227">
        <v>18848</v>
      </c>
      <c r="C227" t="s">
        <v>47</v>
      </c>
      <c r="D227" t="s">
        <v>126</v>
      </c>
      <c r="E227" t="s">
        <v>10</v>
      </c>
      <c r="F227" t="s">
        <v>504</v>
      </c>
      <c r="G227">
        <v>45640</v>
      </c>
      <c r="I227">
        <v>45642</v>
      </c>
      <c r="J227" t="s">
        <v>29</v>
      </c>
      <c r="K227" t="s">
        <v>37</v>
      </c>
      <c r="L227" t="s">
        <v>38</v>
      </c>
      <c r="M227" t="s">
        <v>1157</v>
      </c>
      <c r="N227" t="s">
        <v>24</v>
      </c>
      <c r="O227" t="s">
        <v>31</v>
      </c>
      <c r="P227">
        <v>11132.19</v>
      </c>
      <c r="Q227">
        <v>2568.96</v>
      </c>
      <c r="R227">
        <v>648.17999999999995</v>
      </c>
      <c r="S227">
        <v>161.96</v>
      </c>
      <c r="T227">
        <v>2</v>
      </c>
      <c r="U227">
        <v>74</v>
      </c>
    </row>
    <row r="228" spans="1:21" x14ac:dyDescent="0.3">
      <c r="A228" t="s">
        <v>505</v>
      </c>
      <c r="B228">
        <v>25619</v>
      </c>
      <c r="C228" t="s">
        <v>47</v>
      </c>
      <c r="D228" t="s">
        <v>139</v>
      </c>
      <c r="E228" t="s">
        <v>35</v>
      </c>
      <c r="F228" t="s">
        <v>506</v>
      </c>
      <c r="G228">
        <v>45712</v>
      </c>
      <c r="I228">
        <v>45720</v>
      </c>
      <c r="J228" t="s">
        <v>21</v>
      </c>
      <c r="K228" t="s">
        <v>37</v>
      </c>
      <c r="L228" t="s">
        <v>14</v>
      </c>
      <c r="M228" t="s">
        <v>1147</v>
      </c>
      <c r="N228" t="s">
        <v>50</v>
      </c>
      <c r="O228" t="s">
        <v>16</v>
      </c>
      <c r="P228">
        <v>10016.98</v>
      </c>
      <c r="Q228">
        <v>1668.42</v>
      </c>
      <c r="R228">
        <v>4293.63</v>
      </c>
      <c r="S228">
        <v>906.07</v>
      </c>
      <c r="T228">
        <v>7</v>
      </c>
      <c r="U228">
        <v>56</v>
      </c>
    </row>
    <row r="229" spans="1:21" x14ac:dyDescent="0.3">
      <c r="A229" t="s">
        <v>507</v>
      </c>
      <c r="B229">
        <v>22001</v>
      </c>
      <c r="C229" t="s">
        <v>8</v>
      </c>
      <c r="D229" t="s">
        <v>67</v>
      </c>
      <c r="E229" t="s">
        <v>75</v>
      </c>
      <c r="F229" t="s">
        <v>508</v>
      </c>
      <c r="G229">
        <v>45337</v>
      </c>
      <c r="I229">
        <v>45339</v>
      </c>
      <c r="J229" t="s">
        <v>114</v>
      </c>
      <c r="K229" t="s">
        <v>37</v>
      </c>
      <c r="L229" t="s">
        <v>15</v>
      </c>
      <c r="M229" t="s">
        <v>1154</v>
      </c>
      <c r="N229" t="s">
        <v>50</v>
      </c>
      <c r="O229" t="s">
        <v>25</v>
      </c>
      <c r="P229">
        <v>4422.55</v>
      </c>
      <c r="Q229">
        <v>1382.37</v>
      </c>
      <c r="R229">
        <v>1826.53</v>
      </c>
      <c r="S229">
        <v>728.47</v>
      </c>
      <c r="T229">
        <v>9</v>
      </c>
      <c r="U229">
        <v>66</v>
      </c>
    </row>
    <row r="230" spans="1:21" x14ac:dyDescent="0.3">
      <c r="A230" t="s">
        <v>509</v>
      </c>
      <c r="B230">
        <v>30661</v>
      </c>
      <c r="C230" t="s">
        <v>18</v>
      </c>
      <c r="D230" t="s">
        <v>139</v>
      </c>
      <c r="E230" t="s">
        <v>54</v>
      </c>
      <c r="F230" t="s">
        <v>510</v>
      </c>
      <c r="G230">
        <v>45884</v>
      </c>
      <c r="I230">
        <v>45903</v>
      </c>
      <c r="J230" t="s">
        <v>29</v>
      </c>
      <c r="K230" t="s">
        <v>22</v>
      </c>
      <c r="L230" t="s">
        <v>15</v>
      </c>
      <c r="M230" t="s">
        <v>1150</v>
      </c>
      <c r="N230" t="s">
        <v>15</v>
      </c>
      <c r="O230" t="s">
        <v>51</v>
      </c>
      <c r="P230">
        <v>4344.08</v>
      </c>
      <c r="Q230">
        <v>524.42999999999995</v>
      </c>
      <c r="R230">
        <v>191.28</v>
      </c>
      <c r="S230">
        <v>188.89</v>
      </c>
      <c r="T230">
        <v>1</v>
      </c>
      <c r="U230">
        <v>42</v>
      </c>
    </row>
    <row r="231" spans="1:21" x14ac:dyDescent="0.3">
      <c r="A231" t="s">
        <v>511</v>
      </c>
      <c r="B231">
        <v>23230</v>
      </c>
      <c r="C231" t="s">
        <v>18</v>
      </c>
      <c r="D231" t="s">
        <v>78</v>
      </c>
      <c r="E231" t="s">
        <v>102</v>
      </c>
      <c r="F231" t="s">
        <v>512</v>
      </c>
      <c r="G231">
        <v>45938</v>
      </c>
      <c r="I231">
        <v>45957</v>
      </c>
      <c r="J231" t="s">
        <v>1172</v>
      </c>
      <c r="K231" t="s">
        <v>44</v>
      </c>
      <c r="L231" t="s">
        <v>15</v>
      </c>
      <c r="M231" t="s">
        <v>1162</v>
      </c>
      <c r="N231" t="s">
        <v>24</v>
      </c>
      <c r="O231" t="s">
        <v>31</v>
      </c>
      <c r="P231">
        <v>4249.07</v>
      </c>
      <c r="Q231">
        <v>884.78</v>
      </c>
      <c r="R231">
        <v>2103.96</v>
      </c>
      <c r="S231">
        <v>815.05</v>
      </c>
      <c r="T231">
        <v>3</v>
      </c>
      <c r="U231">
        <v>62</v>
      </c>
    </row>
    <row r="232" spans="1:21" x14ac:dyDescent="0.3">
      <c r="A232" t="s">
        <v>513</v>
      </c>
      <c r="B232">
        <v>19058</v>
      </c>
      <c r="C232" t="s">
        <v>8</v>
      </c>
      <c r="D232" t="s">
        <v>78</v>
      </c>
      <c r="E232" t="s">
        <v>75</v>
      </c>
      <c r="F232" t="s">
        <v>514</v>
      </c>
      <c r="G232">
        <v>45486</v>
      </c>
      <c r="I232">
        <v>45493</v>
      </c>
      <c r="J232" t="s">
        <v>104</v>
      </c>
      <c r="K232" t="s">
        <v>13</v>
      </c>
      <c r="L232" t="s">
        <v>45</v>
      </c>
      <c r="M232" t="s">
        <v>1162</v>
      </c>
      <c r="N232" t="s">
        <v>15</v>
      </c>
      <c r="O232" t="s">
        <v>16</v>
      </c>
      <c r="P232">
        <v>14122.5</v>
      </c>
      <c r="Q232">
        <v>2679.45</v>
      </c>
      <c r="R232">
        <v>647.74</v>
      </c>
      <c r="S232">
        <v>851.57</v>
      </c>
      <c r="T232">
        <v>1</v>
      </c>
      <c r="U232">
        <v>74</v>
      </c>
    </row>
    <row r="233" spans="1:21" x14ac:dyDescent="0.3">
      <c r="A233" t="s">
        <v>515</v>
      </c>
      <c r="B233">
        <v>28708</v>
      </c>
      <c r="C233" t="s">
        <v>18</v>
      </c>
      <c r="D233" t="s">
        <v>40</v>
      </c>
      <c r="E233" t="s">
        <v>102</v>
      </c>
      <c r="F233" t="s">
        <v>516</v>
      </c>
      <c r="G233">
        <v>45621</v>
      </c>
      <c r="I233">
        <v>45633</v>
      </c>
      <c r="J233" t="s">
        <v>104</v>
      </c>
      <c r="K233" t="s">
        <v>13</v>
      </c>
      <c r="L233" t="s">
        <v>15</v>
      </c>
      <c r="M233" t="s">
        <v>1147</v>
      </c>
      <c r="N233" t="s">
        <v>50</v>
      </c>
      <c r="O233" t="s">
        <v>16</v>
      </c>
      <c r="P233">
        <v>14676.11</v>
      </c>
      <c r="Q233">
        <v>2016.83</v>
      </c>
      <c r="R233">
        <v>4618.4799999999996</v>
      </c>
      <c r="S233">
        <v>1563.2</v>
      </c>
      <c r="T233">
        <v>7</v>
      </c>
      <c r="U233">
        <v>47</v>
      </c>
    </row>
    <row r="234" spans="1:21" x14ac:dyDescent="0.3">
      <c r="A234" t="s">
        <v>517</v>
      </c>
      <c r="B234">
        <v>21825</v>
      </c>
      <c r="C234" t="s">
        <v>18</v>
      </c>
      <c r="D234" t="s">
        <v>67</v>
      </c>
      <c r="E234" t="s">
        <v>19</v>
      </c>
      <c r="F234" t="s">
        <v>518</v>
      </c>
      <c r="G234">
        <v>45768</v>
      </c>
      <c r="I234">
        <v>45785</v>
      </c>
      <c r="J234" t="s">
        <v>21</v>
      </c>
      <c r="K234" t="s">
        <v>37</v>
      </c>
      <c r="L234" t="s">
        <v>30</v>
      </c>
      <c r="M234" t="s">
        <v>1150</v>
      </c>
      <c r="N234" t="s">
        <v>65</v>
      </c>
      <c r="O234" t="s">
        <v>16</v>
      </c>
      <c r="P234">
        <v>2513.35</v>
      </c>
      <c r="Q234">
        <v>1761.75</v>
      </c>
      <c r="R234">
        <v>467.6</v>
      </c>
      <c r="S234">
        <v>712.83</v>
      </c>
      <c r="T234">
        <v>8</v>
      </c>
      <c r="U234">
        <v>66</v>
      </c>
    </row>
    <row r="235" spans="1:21" x14ac:dyDescent="0.3">
      <c r="A235" t="s">
        <v>519</v>
      </c>
      <c r="B235">
        <v>23738</v>
      </c>
      <c r="C235" t="s">
        <v>33</v>
      </c>
      <c r="D235" t="s">
        <v>61</v>
      </c>
      <c r="E235" t="s">
        <v>58</v>
      </c>
      <c r="F235" t="s">
        <v>520</v>
      </c>
      <c r="G235">
        <v>45991</v>
      </c>
      <c r="I235">
        <v>46000</v>
      </c>
      <c r="J235" t="s">
        <v>72</v>
      </c>
      <c r="K235" t="s">
        <v>13</v>
      </c>
      <c r="L235" t="s">
        <v>45</v>
      </c>
      <c r="M235" t="s">
        <v>1150</v>
      </c>
      <c r="N235" t="s">
        <v>50</v>
      </c>
      <c r="O235" t="s">
        <v>25</v>
      </c>
      <c r="P235">
        <v>8506.7199999999993</v>
      </c>
      <c r="Q235">
        <v>161.01</v>
      </c>
      <c r="R235">
        <v>4986.6000000000004</v>
      </c>
      <c r="S235">
        <v>1594.44</v>
      </c>
      <c r="T235">
        <v>5</v>
      </c>
      <c r="U235">
        <v>61</v>
      </c>
    </row>
    <row r="236" spans="1:21" x14ac:dyDescent="0.3">
      <c r="A236" t="s">
        <v>521</v>
      </c>
      <c r="B236">
        <v>34741</v>
      </c>
      <c r="C236" t="s">
        <v>8</v>
      </c>
      <c r="D236" t="s">
        <v>34</v>
      </c>
      <c r="E236" t="s">
        <v>102</v>
      </c>
      <c r="F236" t="s">
        <v>522</v>
      </c>
      <c r="G236">
        <v>45484</v>
      </c>
      <c r="I236">
        <v>45498</v>
      </c>
      <c r="J236" t="s">
        <v>111</v>
      </c>
      <c r="K236" t="s">
        <v>22</v>
      </c>
      <c r="L236" t="s">
        <v>64</v>
      </c>
      <c r="M236" t="s">
        <v>1147</v>
      </c>
      <c r="N236" t="s">
        <v>65</v>
      </c>
      <c r="O236" t="s">
        <v>31</v>
      </c>
      <c r="P236">
        <v>10584.36</v>
      </c>
      <c r="Q236">
        <v>1597.9</v>
      </c>
      <c r="R236">
        <v>1254.3699999999999</v>
      </c>
      <c r="S236">
        <v>2020.71</v>
      </c>
      <c r="T236">
        <v>3</v>
      </c>
      <c r="U236">
        <v>31</v>
      </c>
    </row>
    <row r="237" spans="1:21" x14ac:dyDescent="0.3">
      <c r="A237" t="s">
        <v>523</v>
      </c>
      <c r="B237">
        <v>21369</v>
      </c>
      <c r="C237" t="s">
        <v>33</v>
      </c>
      <c r="D237" t="s">
        <v>126</v>
      </c>
      <c r="E237" t="s">
        <v>41</v>
      </c>
      <c r="F237" t="s">
        <v>524</v>
      </c>
      <c r="G237">
        <v>45839</v>
      </c>
      <c r="I237">
        <v>45852</v>
      </c>
      <c r="J237" t="s">
        <v>72</v>
      </c>
      <c r="K237" t="s">
        <v>44</v>
      </c>
      <c r="L237" t="s">
        <v>30</v>
      </c>
      <c r="M237" t="s">
        <v>1152</v>
      </c>
      <c r="N237" t="s">
        <v>65</v>
      </c>
      <c r="O237" t="s">
        <v>16</v>
      </c>
      <c r="P237">
        <v>8006.45</v>
      </c>
      <c r="Q237">
        <v>2756.47</v>
      </c>
      <c r="R237">
        <v>4348.1000000000004</v>
      </c>
      <c r="S237">
        <v>731.99</v>
      </c>
      <c r="T237">
        <v>2</v>
      </c>
      <c r="U237">
        <v>67</v>
      </c>
    </row>
    <row r="238" spans="1:21" x14ac:dyDescent="0.3">
      <c r="A238" t="s">
        <v>525</v>
      </c>
      <c r="B238">
        <v>20125</v>
      </c>
      <c r="C238" t="s">
        <v>8</v>
      </c>
      <c r="D238" t="s">
        <v>61</v>
      </c>
      <c r="E238" t="s">
        <v>102</v>
      </c>
      <c r="F238" t="s">
        <v>526</v>
      </c>
      <c r="G238">
        <v>45841</v>
      </c>
      <c r="I238">
        <v>45855</v>
      </c>
      <c r="J238" t="s">
        <v>1153</v>
      </c>
      <c r="K238" t="s">
        <v>37</v>
      </c>
      <c r="L238" t="s">
        <v>23</v>
      </c>
      <c r="M238" t="s">
        <v>1156</v>
      </c>
      <c r="N238" t="s">
        <v>65</v>
      </c>
      <c r="O238" t="s">
        <v>51</v>
      </c>
      <c r="P238">
        <v>14408.24</v>
      </c>
      <c r="Q238">
        <v>669.04</v>
      </c>
      <c r="R238">
        <v>2174.59</v>
      </c>
      <c r="S238">
        <v>1912.46</v>
      </c>
      <c r="T238">
        <v>5</v>
      </c>
      <c r="U238">
        <v>71</v>
      </c>
    </row>
    <row r="239" spans="1:21" x14ac:dyDescent="0.3">
      <c r="A239" t="s">
        <v>527</v>
      </c>
      <c r="B239">
        <v>27304</v>
      </c>
      <c r="C239" t="s">
        <v>33</v>
      </c>
      <c r="D239" t="s">
        <v>139</v>
      </c>
      <c r="E239" t="s">
        <v>10</v>
      </c>
      <c r="F239" t="s">
        <v>528</v>
      </c>
      <c r="G239">
        <v>45385</v>
      </c>
      <c r="I239">
        <v>45395</v>
      </c>
      <c r="J239" t="s">
        <v>1153</v>
      </c>
      <c r="K239" t="s">
        <v>37</v>
      </c>
      <c r="L239" t="s">
        <v>45</v>
      </c>
      <c r="M239" t="s">
        <v>1159</v>
      </c>
      <c r="N239" t="s">
        <v>24</v>
      </c>
      <c r="O239" t="s">
        <v>25</v>
      </c>
      <c r="P239">
        <v>15587.08</v>
      </c>
      <c r="Q239">
        <v>1712.3</v>
      </c>
      <c r="R239">
        <v>2557.67</v>
      </c>
      <c r="S239">
        <v>190.9</v>
      </c>
      <c r="T239">
        <v>3</v>
      </c>
      <c r="U239">
        <v>51</v>
      </c>
    </row>
    <row r="240" spans="1:21" x14ac:dyDescent="0.3">
      <c r="A240" t="s">
        <v>529</v>
      </c>
      <c r="B240">
        <v>26180</v>
      </c>
      <c r="C240" t="s">
        <v>33</v>
      </c>
      <c r="D240" t="s">
        <v>53</v>
      </c>
      <c r="E240" t="s">
        <v>75</v>
      </c>
      <c r="F240" t="s">
        <v>530</v>
      </c>
      <c r="G240">
        <v>45669</v>
      </c>
      <c r="I240">
        <v>45672</v>
      </c>
      <c r="J240" t="s">
        <v>100</v>
      </c>
      <c r="K240" t="s">
        <v>22</v>
      </c>
      <c r="L240" t="s">
        <v>14</v>
      </c>
      <c r="M240" t="s">
        <v>1159</v>
      </c>
      <c r="N240" t="s">
        <v>24</v>
      </c>
      <c r="O240" t="s">
        <v>16</v>
      </c>
      <c r="P240">
        <v>12230.68</v>
      </c>
      <c r="Q240">
        <v>1913.48</v>
      </c>
      <c r="R240">
        <v>4117.1400000000003</v>
      </c>
      <c r="S240">
        <v>216.42</v>
      </c>
      <c r="T240">
        <v>4</v>
      </c>
      <c r="U240">
        <v>54</v>
      </c>
    </row>
    <row r="241" spans="1:21" x14ac:dyDescent="0.3">
      <c r="A241" t="s">
        <v>531</v>
      </c>
      <c r="B241">
        <v>19598</v>
      </c>
      <c r="C241" t="s">
        <v>8</v>
      </c>
      <c r="D241" t="s">
        <v>78</v>
      </c>
      <c r="E241" t="s">
        <v>68</v>
      </c>
      <c r="F241" t="s">
        <v>532</v>
      </c>
      <c r="G241">
        <v>45577</v>
      </c>
      <c r="I241">
        <v>45583</v>
      </c>
      <c r="J241" t="s">
        <v>114</v>
      </c>
      <c r="K241" t="s">
        <v>37</v>
      </c>
      <c r="L241" t="s">
        <v>38</v>
      </c>
      <c r="M241" t="s">
        <v>1157</v>
      </c>
      <c r="N241" t="s">
        <v>65</v>
      </c>
      <c r="O241" t="s">
        <v>51</v>
      </c>
      <c r="R241">
        <v>3742.24</v>
      </c>
      <c r="S241">
        <v>31.43</v>
      </c>
      <c r="T241">
        <v>7</v>
      </c>
      <c r="U241">
        <v>72</v>
      </c>
    </row>
    <row r="242" spans="1:21" x14ac:dyDescent="0.3">
      <c r="A242" t="s">
        <v>533</v>
      </c>
      <c r="B242">
        <v>38089</v>
      </c>
      <c r="C242" t="s">
        <v>47</v>
      </c>
      <c r="D242" t="s">
        <v>9</v>
      </c>
      <c r="E242" t="s">
        <v>41</v>
      </c>
      <c r="F242" t="s">
        <v>534</v>
      </c>
      <c r="G242">
        <v>45536</v>
      </c>
      <c r="I242">
        <v>45543</v>
      </c>
      <c r="J242" t="s">
        <v>1173</v>
      </c>
      <c r="K242" t="s">
        <v>22</v>
      </c>
      <c r="L242" t="s">
        <v>64</v>
      </c>
      <c r="M242" t="s">
        <v>1152</v>
      </c>
      <c r="N242" t="s">
        <v>50</v>
      </c>
      <c r="O242" t="s">
        <v>31</v>
      </c>
      <c r="P242">
        <v>10941.12</v>
      </c>
      <c r="Q242">
        <v>142.71</v>
      </c>
      <c r="R242">
        <v>4576.51</v>
      </c>
      <c r="S242">
        <v>902.04</v>
      </c>
      <c r="T242">
        <v>4</v>
      </c>
      <c r="U242">
        <v>22</v>
      </c>
    </row>
    <row r="243" spans="1:21" x14ac:dyDescent="0.3">
      <c r="A243" t="s">
        <v>535</v>
      </c>
      <c r="B243">
        <v>24629</v>
      </c>
      <c r="C243" t="s">
        <v>18</v>
      </c>
      <c r="D243" t="s">
        <v>53</v>
      </c>
      <c r="E243" t="s">
        <v>62</v>
      </c>
      <c r="F243" t="s">
        <v>536</v>
      </c>
      <c r="G243">
        <v>45307</v>
      </c>
      <c r="I243">
        <v>45320</v>
      </c>
      <c r="J243" t="s">
        <v>1172</v>
      </c>
      <c r="K243" t="s">
        <v>44</v>
      </c>
      <c r="L243" t="s">
        <v>30</v>
      </c>
      <c r="M243" t="s">
        <v>1162</v>
      </c>
      <c r="N243" t="s">
        <v>24</v>
      </c>
      <c r="O243" t="s">
        <v>51</v>
      </c>
      <c r="P243">
        <v>11532.32</v>
      </c>
      <c r="Q243">
        <v>1951.01</v>
      </c>
      <c r="R243">
        <v>1221.2</v>
      </c>
      <c r="S243">
        <v>1359.09</v>
      </c>
      <c r="T243">
        <v>5</v>
      </c>
      <c r="U243">
        <v>59</v>
      </c>
    </row>
    <row r="244" spans="1:21" x14ac:dyDescent="0.3">
      <c r="A244" t="s">
        <v>537</v>
      </c>
      <c r="B244">
        <v>18050</v>
      </c>
      <c r="C244" t="s">
        <v>8</v>
      </c>
      <c r="D244" t="s">
        <v>40</v>
      </c>
      <c r="E244" t="s">
        <v>10</v>
      </c>
      <c r="F244" t="s">
        <v>538</v>
      </c>
      <c r="G244">
        <v>45915</v>
      </c>
      <c r="I244">
        <v>45934</v>
      </c>
      <c r="J244" t="s">
        <v>1153</v>
      </c>
      <c r="K244" t="s">
        <v>22</v>
      </c>
      <c r="L244" t="s">
        <v>38</v>
      </c>
      <c r="M244" t="s">
        <v>1158</v>
      </c>
      <c r="N244" t="s">
        <v>50</v>
      </c>
      <c r="O244" t="s">
        <v>51</v>
      </c>
      <c r="P244">
        <v>3359.75</v>
      </c>
      <c r="Q244">
        <v>2170.75</v>
      </c>
      <c r="R244">
        <v>433.81</v>
      </c>
      <c r="S244">
        <v>1534.9</v>
      </c>
      <c r="T244">
        <v>1</v>
      </c>
      <c r="U244">
        <v>77</v>
      </c>
    </row>
    <row r="245" spans="1:21" x14ac:dyDescent="0.3">
      <c r="A245" t="s">
        <v>539</v>
      </c>
      <c r="B245">
        <v>19490</v>
      </c>
      <c r="C245" t="s">
        <v>18</v>
      </c>
      <c r="D245" t="s">
        <v>9</v>
      </c>
      <c r="E245" t="s">
        <v>102</v>
      </c>
      <c r="F245" t="s">
        <v>540</v>
      </c>
      <c r="G245">
        <v>45951</v>
      </c>
      <c r="I245">
        <v>45953</v>
      </c>
      <c r="J245" t="s">
        <v>104</v>
      </c>
      <c r="K245" t="s">
        <v>13</v>
      </c>
      <c r="L245" t="s">
        <v>73</v>
      </c>
      <c r="M245" t="s">
        <v>1162</v>
      </c>
      <c r="N245" t="s">
        <v>15</v>
      </c>
      <c r="O245" t="s">
        <v>25</v>
      </c>
      <c r="P245">
        <v>2599.66</v>
      </c>
      <c r="Q245">
        <v>169.9</v>
      </c>
      <c r="R245">
        <v>589.44000000000005</v>
      </c>
      <c r="S245">
        <v>355.91</v>
      </c>
      <c r="T245">
        <v>6</v>
      </c>
      <c r="U245">
        <v>73</v>
      </c>
    </row>
    <row r="246" spans="1:21" x14ac:dyDescent="0.3">
      <c r="A246" t="s">
        <v>541</v>
      </c>
      <c r="B246">
        <v>20746</v>
      </c>
      <c r="C246" t="s">
        <v>8</v>
      </c>
      <c r="D246" t="s">
        <v>61</v>
      </c>
      <c r="E246" t="s">
        <v>68</v>
      </c>
      <c r="F246" t="s">
        <v>542</v>
      </c>
      <c r="G246">
        <v>45501</v>
      </c>
      <c r="I246">
        <v>45509</v>
      </c>
      <c r="J246" t="s">
        <v>1171</v>
      </c>
      <c r="K246" t="s">
        <v>13</v>
      </c>
      <c r="L246" t="s">
        <v>15</v>
      </c>
      <c r="M246" t="s">
        <v>1159</v>
      </c>
      <c r="N246" t="s">
        <v>15</v>
      </c>
      <c r="O246" t="s">
        <v>16</v>
      </c>
      <c r="P246">
        <v>8153.7</v>
      </c>
      <c r="Q246">
        <v>1341.42</v>
      </c>
      <c r="R246">
        <v>3726.03</v>
      </c>
      <c r="S246">
        <v>1745.69</v>
      </c>
      <c r="T246">
        <v>4</v>
      </c>
      <c r="U246">
        <v>69</v>
      </c>
    </row>
    <row r="247" spans="1:21" x14ac:dyDescent="0.3">
      <c r="A247" t="s">
        <v>543</v>
      </c>
      <c r="B247">
        <v>34164</v>
      </c>
      <c r="C247" t="s">
        <v>47</v>
      </c>
      <c r="D247" t="s">
        <v>34</v>
      </c>
      <c r="E247" t="s">
        <v>41</v>
      </c>
      <c r="F247" t="s">
        <v>544</v>
      </c>
      <c r="G247">
        <v>45377</v>
      </c>
      <c r="I247">
        <v>45387</v>
      </c>
      <c r="J247" t="s">
        <v>21</v>
      </c>
      <c r="K247" t="s">
        <v>37</v>
      </c>
      <c r="L247" t="s">
        <v>64</v>
      </c>
      <c r="M247" t="s">
        <v>1156</v>
      </c>
      <c r="N247" t="s">
        <v>15</v>
      </c>
      <c r="O247" t="s">
        <v>51</v>
      </c>
      <c r="P247">
        <v>8252.2800000000007</v>
      </c>
      <c r="Q247">
        <v>1141.05</v>
      </c>
      <c r="R247">
        <v>3194.4</v>
      </c>
      <c r="S247">
        <v>682.05</v>
      </c>
      <c r="T247">
        <v>5</v>
      </c>
      <c r="U247">
        <v>32</v>
      </c>
    </row>
    <row r="248" spans="1:21" x14ac:dyDescent="0.3">
      <c r="A248" t="s">
        <v>545</v>
      </c>
      <c r="B248">
        <v>36895</v>
      </c>
      <c r="C248" t="s">
        <v>33</v>
      </c>
      <c r="D248" t="s">
        <v>53</v>
      </c>
      <c r="E248" t="s">
        <v>102</v>
      </c>
      <c r="F248" t="s">
        <v>546</v>
      </c>
      <c r="G248">
        <v>45686</v>
      </c>
      <c r="I248">
        <v>45705</v>
      </c>
      <c r="J248" t="s">
        <v>114</v>
      </c>
      <c r="K248" t="s">
        <v>37</v>
      </c>
      <c r="L248" t="s">
        <v>23</v>
      </c>
      <c r="M248" t="s">
        <v>1158</v>
      </c>
      <c r="N248" t="s">
        <v>15</v>
      </c>
      <c r="O248" t="s">
        <v>25</v>
      </c>
      <c r="P248">
        <v>11805.37</v>
      </c>
      <c r="Q248">
        <v>1527.96</v>
      </c>
      <c r="R248">
        <v>2186.21</v>
      </c>
      <c r="S248">
        <v>2002.13</v>
      </c>
      <c r="T248">
        <v>8</v>
      </c>
      <c r="U248">
        <v>25</v>
      </c>
    </row>
    <row r="249" spans="1:21" x14ac:dyDescent="0.3">
      <c r="A249" t="s">
        <v>547</v>
      </c>
      <c r="B249">
        <v>19045</v>
      </c>
      <c r="C249" t="s">
        <v>33</v>
      </c>
      <c r="D249" t="s">
        <v>61</v>
      </c>
      <c r="E249" t="s">
        <v>62</v>
      </c>
      <c r="F249" t="s">
        <v>548</v>
      </c>
      <c r="G249">
        <v>46020</v>
      </c>
      <c r="I249">
        <v>46033</v>
      </c>
      <c r="J249" t="s">
        <v>111</v>
      </c>
      <c r="K249" t="s">
        <v>22</v>
      </c>
      <c r="L249" t="s">
        <v>23</v>
      </c>
      <c r="M249" t="s">
        <v>1158</v>
      </c>
      <c r="N249" t="s">
        <v>50</v>
      </c>
      <c r="O249" t="s">
        <v>31</v>
      </c>
      <c r="P249">
        <v>13156.97</v>
      </c>
      <c r="Q249">
        <v>2263.9899999999998</v>
      </c>
      <c r="R249">
        <v>2623.64</v>
      </c>
      <c r="S249">
        <v>404.82</v>
      </c>
      <c r="T249">
        <v>7</v>
      </c>
      <c r="U249">
        <v>74</v>
      </c>
    </row>
    <row r="250" spans="1:21" x14ac:dyDescent="0.3">
      <c r="A250" t="s">
        <v>549</v>
      </c>
      <c r="B250">
        <v>18246</v>
      </c>
      <c r="C250" t="s">
        <v>18</v>
      </c>
      <c r="D250" t="s">
        <v>78</v>
      </c>
      <c r="E250" t="s">
        <v>102</v>
      </c>
      <c r="F250" t="s">
        <v>550</v>
      </c>
      <c r="G250">
        <v>45829</v>
      </c>
      <c r="I250">
        <v>45843</v>
      </c>
      <c r="J250" t="s">
        <v>12</v>
      </c>
      <c r="K250" t="s">
        <v>44</v>
      </c>
      <c r="L250" t="s">
        <v>30</v>
      </c>
      <c r="M250" t="s">
        <v>1161</v>
      </c>
      <c r="N250" t="s">
        <v>15</v>
      </c>
      <c r="O250" t="s">
        <v>25</v>
      </c>
      <c r="P250">
        <v>11682.97</v>
      </c>
      <c r="Q250">
        <v>883.4</v>
      </c>
      <c r="R250">
        <v>1080.8399999999999</v>
      </c>
      <c r="S250">
        <v>363.99</v>
      </c>
      <c r="T250">
        <v>4</v>
      </c>
      <c r="U250">
        <v>76</v>
      </c>
    </row>
    <row r="251" spans="1:21" x14ac:dyDescent="0.3">
      <c r="A251" t="s">
        <v>551</v>
      </c>
      <c r="B251">
        <v>19117</v>
      </c>
      <c r="C251" t="s">
        <v>18</v>
      </c>
      <c r="D251" t="s">
        <v>57</v>
      </c>
      <c r="E251" t="s">
        <v>58</v>
      </c>
      <c r="F251" t="s">
        <v>552</v>
      </c>
      <c r="G251">
        <v>45642</v>
      </c>
      <c r="I251">
        <v>45643</v>
      </c>
      <c r="J251" t="s">
        <v>21</v>
      </c>
      <c r="K251" t="s">
        <v>13</v>
      </c>
      <c r="L251" t="s">
        <v>38</v>
      </c>
      <c r="M251" t="s">
        <v>1154</v>
      </c>
      <c r="N251" t="s">
        <v>15</v>
      </c>
      <c r="O251" t="s">
        <v>31</v>
      </c>
      <c r="P251">
        <v>6384.79</v>
      </c>
      <c r="Q251">
        <v>94.11</v>
      </c>
      <c r="R251">
        <v>3009.94</v>
      </c>
      <c r="S251">
        <v>1703.98</v>
      </c>
      <c r="T251">
        <v>1</v>
      </c>
      <c r="U251">
        <v>74</v>
      </c>
    </row>
    <row r="252" spans="1:21" x14ac:dyDescent="0.3">
      <c r="A252" t="s">
        <v>553</v>
      </c>
      <c r="B252">
        <v>25478</v>
      </c>
      <c r="C252" t="s">
        <v>18</v>
      </c>
      <c r="D252" t="s">
        <v>34</v>
      </c>
      <c r="E252" t="s">
        <v>68</v>
      </c>
      <c r="F252" t="s">
        <v>554</v>
      </c>
      <c r="G252">
        <v>45656</v>
      </c>
      <c r="I252">
        <v>45667</v>
      </c>
      <c r="J252" t="s">
        <v>1173</v>
      </c>
      <c r="K252" t="s">
        <v>44</v>
      </c>
      <c r="L252" t="s">
        <v>73</v>
      </c>
      <c r="M252" t="s">
        <v>1154</v>
      </c>
      <c r="N252" t="s">
        <v>65</v>
      </c>
      <c r="O252" t="s">
        <v>16</v>
      </c>
      <c r="P252">
        <v>11243.21</v>
      </c>
      <c r="Q252">
        <v>620.57000000000005</v>
      </c>
      <c r="R252">
        <v>570.96</v>
      </c>
      <c r="S252">
        <v>1542.28</v>
      </c>
      <c r="T252">
        <v>2</v>
      </c>
      <c r="U252">
        <v>56</v>
      </c>
    </row>
    <row r="253" spans="1:21" x14ac:dyDescent="0.3">
      <c r="A253" t="s">
        <v>555</v>
      </c>
      <c r="B253">
        <v>30541</v>
      </c>
      <c r="C253" t="s">
        <v>18</v>
      </c>
      <c r="D253" t="s">
        <v>57</v>
      </c>
      <c r="E253" t="s">
        <v>54</v>
      </c>
      <c r="F253" t="s">
        <v>556</v>
      </c>
      <c r="G253">
        <v>45919</v>
      </c>
      <c r="I253">
        <v>45922</v>
      </c>
      <c r="J253" t="s">
        <v>29</v>
      </c>
      <c r="K253" t="s">
        <v>37</v>
      </c>
      <c r="L253" t="s">
        <v>30</v>
      </c>
      <c r="M253" t="s">
        <v>1152</v>
      </c>
      <c r="N253" t="s">
        <v>15</v>
      </c>
      <c r="O253" t="s">
        <v>16</v>
      </c>
      <c r="P253">
        <v>4149.41</v>
      </c>
      <c r="Q253">
        <v>2831.71</v>
      </c>
      <c r="R253">
        <v>1095.22</v>
      </c>
      <c r="S253">
        <v>1139.05</v>
      </c>
      <c r="T253">
        <v>2</v>
      </c>
      <c r="U253">
        <v>42</v>
      </c>
    </row>
    <row r="254" spans="1:21" x14ac:dyDescent="0.3">
      <c r="A254" t="s">
        <v>557</v>
      </c>
      <c r="B254">
        <v>34296</v>
      </c>
      <c r="C254" t="s">
        <v>47</v>
      </c>
      <c r="D254" t="s">
        <v>9</v>
      </c>
      <c r="E254" t="s">
        <v>41</v>
      </c>
      <c r="F254" t="s">
        <v>558</v>
      </c>
      <c r="G254">
        <v>45383</v>
      </c>
      <c r="I254">
        <v>45387</v>
      </c>
      <c r="J254" t="s">
        <v>1149</v>
      </c>
      <c r="K254" t="s">
        <v>22</v>
      </c>
      <c r="L254" t="s">
        <v>45</v>
      </c>
      <c r="M254" t="s">
        <v>1147</v>
      </c>
      <c r="N254" t="s">
        <v>65</v>
      </c>
      <c r="O254" t="s">
        <v>25</v>
      </c>
      <c r="P254">
        <v>11394.23</v>
      </c>
      <c r="Q254">
        <v>1696.63</v>
      </c>
      <c r="R254">
        <v>3291.39</v>
      </c>
      <c r="S254">
        <v>1655.09</v>
      </c>
      <c r="T254">
        <v>4</v>
      </c>
      <c r="U254">
        <v>32</v>
      </c>
    </row>
    <row r="255" spans="1:21" x14ac:dyDescent="0.3">
      <c r="A255" t="s">
        <v>559</v>
      </c>
      <c r="B255">
        <v>21674</v>
      </c>
      <c r="C255" t="s">
        <v>47</v>
      </c>
      <c r="D255" t="s">
        <v>67</v>
      </c>
      <c r="E255" t="s">
        <v>58</v>
      </c>
      <c r="F255" t="s">
        <v>560</v>
      </c>
      <c r="G255">
        <v>45589</v>
      </c>
      <c r="I255">
        <v>45592</v>
      </c>
      <c r="J255" t="s">
        <v>1173</v>
      </c>
      <c r="K255" t="s">
        <v>22</v>
      </c>
      <c r="L255" t="s">
        <v>64</v>
      </c>
      <c r="M255" t="s">
        <v>1159</v>
      </c>
      <c r="N255" t="s">
        <v>50</v>
      </c>
      <c r="O255" t="s">
        <v>51</v>
      </c>
      <c r="P255">
        <v>2641.31</v>
      </c>
      <c r="Q255">
        <v>582.28</v>
      </c>
      <c r="R255">
        <v>4594.24</v>
      </c>
      <c r="S255">
        <v>674.24</v>
      </c>
      <c r="T255">
        <v>3</v>
      </c>
      <c r="U255">
        <v>67</v>
      </c>
    </row>
    <row r="256" spans="1:21" x14ac:dyDescent="0.3">
      <c r="A256" t="s">
        <v>561</v>
      </c>
      <c r="B256">
        <v>28079</v>
      </c>
      <c r="C256" t="s">
        <v>33</v>
      </c>
      <c r="D256" t="s">
        <v>9</v>
      </c>
      <c r="E256" t="s">
        <v>102</v>
      </c>
      <c r="F256" t="s">
        <v>562</v>
      </c>
      <c r="G256">
        <v>45442</v>
      </c>
      <c r="I256">
        <v>45462</v>
      </c>
      <c r="J256" t="s">
        <v>12</v>
      </c>
      <c r="K256" t="s">
        <v>22</v>
      </c>
      <c r="L256" t="s">
        <v>23</v>
      </c>
      <c r="M256" t="s">
        <v>1150</v>
      </c>
      <c r="N256" t="s">
        <v>50</v>
      </c>
      <c r="O256" t="s">
        <v>31</v>
      </c>
      <c r="P256">
        <v>12710.73</v>
      </c>
      <c r="Q256">
        <v>2535.0100000000002</v>
      </c>
      <c r="R256">
        <v>1651.68</v>
      </c>
      <c r="S256">
        <v>1528.59</v>
      </c>
      <c r="T256">
        <v>9</v>
      </c>
      <c r="U256">
        <v>49</v>
      </c>
    </row>
    <row r="257" spans="1:21" x14ac:dyDescent="0.3">
      <c r="A257" t="s">
        <v>563</v>
      </c>
      <c r="B257">
        <v>29413</v>
      </c>
      <c r="C257" t="s">
        <v>8</v>
      </c>
      <c r="D257" t="s">
        <v>61</v>
      </c>
      <c r="E257" t="s">
        <v>58</v>
      </c>
      <c r="F257" t="s">
        <v>564</v>
      </c>
      <c r="G257">
        <v>45724</v>
      </c>
      <c r="I257">
        <v>45740</v>
      </c>
      <c r="J257" t="s">
        <v>29</v>
      </c>
      <c r="K257" t="s">
        <v>13</v>
      </c>
      <c r="L257" t="s">
        <v>38</v>
      </c>
      <c r="M257" t="s">
        <v>1158</v>
      </c>
      <c r="N257" t="s">
        <v>50</v>
      </c>
      <c r="O257" t="s">
        <v>25</v>
      </c>
      <c r="P257">
        <v>4154.1400000000003</v>
      </c>
      <c r="Q257">
        <v>1275.6400000000001</v>
      </c>
      <c r="R257">
        <v>1775.53</v>
      </c>
      <c r="S257">
        <v>56.11</v>
      </c>
      <c r="T257">
        <v>4</v>
      </c>
      <c r="U257">
        <v>45</v>
      </c>
    </row>
    <row r="258" spans="1:21" x14ac:dyDescent="0.3">
      <c r="A258" t="s">
        <v>565</v>
      </c>
      <c r="B258">
        <v>25406</v>
      </c>
      <c r="C258" t="s">
        <v>33</v>
      </c>
      <c r="D258" t="s">
        <v>40</v>
      </c>
      <c r="E258" t="s">
        <v>58</v>
      </c>
      <c r="F258" t="s">
        <v>566</v>
      </c>
      <c r="G258">
        <v>45464</v>
      </c>
      <c r="I258">
        <v>45466</v>
      </c>
      <c r="J258" t="s">
        <v>100</v>
      </c>
      <c r="K258" t="s">
        <v>44</v>
      </c>
      <c r="L258" t="s">
        <v>15</v>
      </c>
      <c r="M258" t="s">
        <v>1162</v>
      </c>
      <c r="N258" t="s">
        <v>15</v>
      </c>
      <c r="O258" t="s">
        <v>31</v>
      </c>
      <c r="P258">
        <v>15488.2</v>
      </c>
      <c r="Q258">
        <v>628.03</v>
      </c>
      <c r="R258">
        <v>3257.52</v>
      </c>
      <c r="S258">
        <v>1379.26</v>
      </c>
      <c r="T258">
        <v>6</v>
      </c>
      <c r="U258">
        <v>56</v>
      </c>
    </row>
    <row r="259" spans="1:21" x14ac:dyDescent="0.3">
      <c r="A259" t="s">
        <v>567</v>
      </c>
      <c r="B259">
        <v>19028</v>
      </c>
      <c r="C259" t="s">
        <v>33</v>
      </c>
      <c r="D259" t="s">
        <v>67</v>
      </c>
      <c r="E259" t="s">
        <v>54</v>
      </c>
      <c r="F259" t="s">
        <v>568</v>
      </c>
      <c r="G259">
        <v>45792</v>
      </c>
      <c r="I259">
        <v>45809</v>
      </c>
      <c r="J259" t="s">
        <v>1165</v>
      </c>
      <c r="K259" t="s">
        <v>44</v>
      </c>
      <c r="L259" t="s">
        <v>15</v>
      </c>
      <c r="M259" t="s">
        <v>1157</v>
      </c>
      <c r="N259" t="s">
        <v>15</v>
      </c>
      <c r="O259" t="s">
        <v>16</v>
      </c>
      <c r="P259">
        <v>10427.459999999999</v>
      </c>
      <c r="Q259">
        <v>1240.3699999999999</v>
      </c>
      <c r="R259">
        <v>4490.8599999999997</v>
      </c>
      <c r="S259">
        <v>1123.8599999999999</v>
      </c>
      <c r="T259">
        <v>2</v>
      </c>
      <c r="U259">
        <v>74</v>
      </c>
    </row>
    <row r="260" spans="1:21" x14ac:dyDescent="0.3">
      <c r="A260" t="s">
        <v>569</v>
      </c>
      <c r="B260">
        <v>39025</v>
      </c>
      <c r="C260" t="s">
        <v>8</v>
      </c>
      <c r="D260" t="s">
        <v>126</v>
      </c>
      <c r="E260" t="s">
        <v>19</v>
      </c>
      <c r="F260" t="s">
        <v>570</v>
      </c>
      <c r="G260">
        <v>45477</v>
      </c>
      <c r="I260">
        <v>45497</v>
      </c>
      <c r="J260" t="s">
        <v>1151</v>
      </c>
      <c r="K260" t="s">
        <v>44</v>
      </c>
      <c r="L260" t="s">
        <v>15</v>
      </c>
      <c r="M260" t="s">
        <v>1157</v>
      </c>
      <c r="N260" t="s">
        <v>50</v>
      </c>
      <c r="O260" t="s">
        <v>16</v>
      </c>
      <c r="P260">
        <v>5471.17</v>
      </c>
      <c r="Q260">
        <v>1349.3</v>
      </c>
      <c r="R260">
        <v>4445.46</v>
      </c>
      <c r="S260">
        <v>652.96</v>
      </c>
      <c r="T260">
        <v>3</v>
      </c>
      <c r="U260">
        <v>19</v>
      </c>
    </row>
    <row r="261" spans="1:21" x14ac:dyDescent="0.3">
      <c r="A261" t="s">
        <v>571</v>
      </c>
      <c r="B261">
        <v>29821</v>
      </c>
      <c r="C261" t="s">
        <v>18</v>
      </c>
      <c r="D261" t="s">
        <v>78</v>
      </c>
      <c r="E261" t="s">
        <v>54</v>
      </c>
      <c r="F261" t="s">
        <v>572</v>
      </c>
      <c r="G261">
        <v>45612</v>
      </c>
      <c r="I261">
        <v>45629</v>
      </c>
      <c r="J261" t="s">
        <v>29</v>
      </c>
      <c r="K261" t="s">
        <v>13</v>
      </c>
      <c r="L261" t="s">
        <v>14</v>
      </c>
      <c r="M261" t="s">
        <v>1152</v>
      </c>
      <c r="N261" t="s">
        <v>24</v>
      </c>
      <c r="P261">
        <v>5151.78</v>
      </c>
      <c r="Q261">
        <v>2845.98</v>
      </c>
      <c r="R261">
        <v>1477.01</v>
      </c>
      <c r="S261">
        <v>237.24</v>
      </c>
      <c r="T261">
        <v>4</v>
      </c>
      <c r="U261">
        <v>44</v>
      </c>
    </row>
    <row r="262" spans="1:21" x14ac:dyDescent="0.3">
      <c r="A262" t="s">
        <v>573</v>
      </c>
      <c r="B262">
        <v>28948</v>
      </c>
      <c r="C262" t="s">
        <v>18</v>
      </c>
      <c r="D262" t="s">
        <v>27</v>
      </c>
      <c r="E262" t="s">
        <v>62</v>
      </c>
      <c r="F262" t="s">
        <v>574</v>
      </c>
      <c r="G262">
        <v>45936</v>
      </c>
      <c r="I262">
        <v>45945</v>
      </c>
      <c r="J262" t="s">
        <v>72</v>
      </c>
      <c r="K262" t="s">
        <v>37</v>
      </c>
      <c r="L262" t="s">
        <v>14</v>
      </c>
      <c r="M262" t="s">
        <v>1154</v>
      </c>
      <c r="N262" t="s">
        <v>65</v>
      </c>
      <c r="O262" t="s">
        <v>51</v>
      </c>
      <c r="R262">
        <v>2352.63</v>
      </c>
      <c r="S262">
        <v>1665.29</v>
      </c>
      <c r="T262">
        <v>6</v>
      </c>
      <c r="U262">
        <v>47</v>
      </c>
    </row>
    <row r="263" spans="1:21" x14ac:dyDescent="0.3">
      <c r="A263" t="s">
        <v>575</v>
      </c>
      <c r="B263">
        <v>25306</v>
      </c>
      <c r="C263" t="s">
        <v>47</v>
      </c>
      <c r="D263" t="s">
        <v>78</v>
      </c>
      <c r="E263" t="s">
        <v>75</v>
      </c>
      <c r="F263" t="s">
        <v>576</v>
      </c>
      <c r="G263">
        <v>45399</v>
      </c>
      <c r="I263">
        <v>45403</v>
      </c>
      <c r="J263" t="s">
        <v>114</v>
      </c>
      <c r="K263" t="s">
        <v>13</v>
      </c>
      <c r="L263" t="s">
        <v>38</v>
      </c>
      <c r="M263" t="s">
        <v>1147</v>
      </c>
      <c r="N263" t="s">
        <v>50</v>
      </c>
      <c r="O263" t="s">
        <v>16</v>
      </c>
      <c r="P263">
        <v>4753.5</v>
      </c>
      <c r="Q263">
        <v>493.9</v>
      </c>
      <c r="R263">
        <v>4378.32</v>
      </c>
      <c r="S263">
        <v>1372.32</v>
      </c>
      <c r="T263">
        <v>10</v>
      </c>
      <c r="U263">
        <v>57</v>
      </c>
    </row>
    <row r="264" spans="1:21" x14ac:dyDescent="0.3">
      <c r="A264" t="s">
        <v>577</v>
      </c>
      <c r="B264">
        <v>17888</v>
      </c>
      <c r="C264" t="s">
        <v>18</v>
      </c>
      <c r="D264" t="s">
        <v>67</v>
      </c>
      <c r="E264" t="s">
        <v>19</v>
      </c>
      <c r="F264" t="s">
        <v>578</v>
      </c>
      <c r="G264">
        <v>45671</v>
      </c>
      <c r="I264">
        <v>45679</v>
      </c>
      <c r="J264" t="s">
        <v>21</v>
      </c>
      <c r="K264" t="s">
        <v>37</v>
      </c>
      <c r="L264" t="s">
        <v>14</v>
      </c>
      <c r="M264" t="s">
        <v>1150</v>
      </c>
      <c r="N264" t="s">
        <v>65</v>
      </c>
      <c r="O264" t="s">
        <v>16</v>
      </c>
      <c r="P264">
        <v>3780.32</v>
      </c>
      <c r="Q264">
        <v>1578.85</v>
      </c>
      <c r="R264">
        <v>866.34</v>
      </c>
      <c r="S264">
        <v>1200.48</v>
      </c>
      <c r="T264">
        <v>9</v>
      </c>
      <c r="U264">
        <v>77</v>
      </c>
    </row>
    <row r="265" spans="1:21" x14ac:dyDescent="0.3">
      <c r="A265" t="s">
        <v>579</v>
      </c>
      <c r="B265">
        <v>32410</v>
      </c>
      <c r="C265" t="s">
        <v>8</v>
      </c>
      <c r="D265" t="s">
        <v>40</v>
      </c>
      <c r="E265" t="s">
        <v>35</v>
      </c>
      <c r="F265" t="s">
        <v>580</v>
      </c>
      <c r="G265">
        <v>45431</v>
      </c>
      <c r="I265">
        <v>45447</v>
      </c>
      <c r="J265" t="s">
        <v>1153</v>
      </c>
      <c r="K265" t="s">
        <v>44</v>
      </c>
      <c r="L265" t="s">
        <v>23</v>
      </c>
      <c r="M265" t="s">
        <v>1162</v>
      </c>
      <c r="N265" t="s">
        <v>24</v>
      </c>
      <c r="O265" t="s">
        <v>31</v>
      </c>
      <c r="P265">
        <v>14385.32</v>
      </c>
      <c r="Q265">
        <v>1711.39</v>
      </c>
      <c r="R265">
        <v>3089.25</v>
      </c>
      <c r="S265">
        <v>909.78</v>
      </c>
      <c r="T265">
        <v>4</v>
      </c>
      <c r="U265">
        <v>37</v>
      </c>
    </row>
    <row r="266" spans="1:21" x14ac:dyDescent="0.3">
      <c r="A266" t="s">
        <v>581</v>
      </c>
      <c r="B266">
        <v>19167</v>
      </c>
      <c r="C266" t="s">
        <v>47</v>
      </c>
      <c r="D266" t="s">
        <v>139</v>
      </c>
      <c r="E266" t="s">
        <v>54</v>
      </c>
      <c r="F266" t="s">
        <v>582</v>
      </c>
      <c r="G266">
        <v>45547</v>
      </c>
      <c r="I266">
        <v>45565</v>
      </c>
      <c r="J266" t="s">
        <v>100</v>
      </c>
      <c r="K266" t="s">
        <v>13</v>
      </c>
      <c r="L266" t="s">
        <v>64</v>
      </c>
      <c r="M266" t="s">
        <v>1158</v>
      </c>
      <c r="N266" t="s">
        <v>24</v>
      </c>
      <c r="O266" t="s">
        <v>25</v>
      </c>
      <c r="P266">
        <v>2260.15</v>
      </c>
      <c r="Q266">
        <v>922.22</v>
      </c>
      <c r="R266">
        <v>1665.21</v>
      </c>
      <c r="S266">
        <v>43.07</v>
      </c>
      <c r="T266">
        <v>10</v>
      </c>
      <c r="U266">
        <v>73</v>
      </c>
    </row>
    <row r="267" spans="1:21" x14ac:dyDescent="0.3">
      <c r="A267" t="s">
        <v>583</v>
      </c>
      <c r="B267">
        <v>18523</v>
      </c>
      <c r="C267" t="s">
        <v>8</v>
      </c>
      <c r="D267" t="s">
        <v>27</v>
      </c>
      <c r="E267" t="s">
        <v>68</v>
      </c>
      <c r="F267" t="s">
        <v>584</v>
      </c>
      <c r="G267">
        <v>45449</v>
      </c>
      <c r="I267">
        <v>45463</v>
      </c>
      <c r="J267" t="s">
        <v>1170</v>
      </c>
      <c r="K267" t="s">
        <v>13</v>
      </c>
      <c r="L267" t="s">
        <v>73</v>
      </c>
      <c r="M267" t="s">
        <v>1154</v>
      </c>
      <c r="N267" t="s">
        <v>50</v>
      </c>
      <c r="O267" t="s">
        <v>25</v>
      </c>
      <c r="P267">
        <v>2502.5700000000002</v>
      </c>
      <c r="Q267">
        <v>1023.07</v>
      </c>
      <c r="R267">
        <v>442.37</v>
      </c>
      <c r="S267">
        <v>919.2</v>
      </c>
      <c r="T267">
        <v>6</v>
      </c>
      <c r="U267">
        <v>75</v>
      </c>
    </row>
    <row r="268" spans="1:21" x14ac:dyDescent="0.3">
      <c r="A268" t="s">
        <v>585</v>
      </c>
      <c r="B268">
        <v>31883</v>
      </c>
      <c r="C268" t="s">
        <v>33</v>
      </c>
      <c r="D268" t="s">
        <v>78</v>
      </c>
      <c r="E268" t="s">
        <v>19</v>
      </c>
      <c r="F268" t="s">
        <v>586</v>
      </c>
      <c r="G268">
        <v>45973</v>
      </c>
      <c r="I268">
        <v>45982</v>
      </c>
      <c r="J268" t="s">
        <v>100</v>
      </c>
      <c r="K268" t="s">
        <v>37</v>
      </c>
      <c r="L268" t="s">
        <v>45</v>
      </c>
      <c r="M268" t="s">
        <v>1157</v>
      </c>
      <c r="N268" t="s">
        <v>24</v>
      </c>
      <c r="O268" t="s">
        <v>51</v>
      </c>
      <c r="P268">
        <v>8515.44</v>
      </c>
      <c r="Q268">
        <v>1455.11</v>
      </c>
      <c r="R268">
        <v>208.43</v>
      </c>
      <c r="S268">
        <v>626.11</v>
      </c>
      <c r="T268">
        <v>7</v>
      </c>
      <c r="U268">
        <v>39</v>
      </c>
    </row>
    <row r="269" spans="1:21" x14ac:dyDescent="0.3">
      <c r="A269" t="s">
        <v>587</v>
      </c>
      <c r="B269">
        <v>22194</v>
      </c>
      <c r="C269" t="s">
        <v>18</v>
      </c>
      <c r="D269" t="s">
        <v>40</v>
      </c>
      <c r="E269" t="s">
        <v>54</v>
      </c>
      <c r="F269" t="s">
        <v>588</v>
      </c>
      <c r="G269">
        <v>45815</v>
      </c>
      <c r="I269">
        <v>45821</v>
      </c>
      <c r="J269" t="s">
        <v>72</v>
      </c>
      <c r="K269" t="s">
        <v>37</v>
      </c>
      <c r="L269" t="s">
        <v>30</v>
      </c>
      <c r="M269" t="s">
        <v>1150</v>
      </c>
      <c r="N269" t="s">
        <v>50</v>
      </c>
      <c r="O269" t="s">
        <v>25</v>
      </c>
      <c r="P269">
        <v>7501.66</v>
      </c>
      <c r="Q269">
        <v>2945.74</v>
      </c>
      <c r="R269">
        <v>1744.09</v>
      </c>
      <c r="S269">
        <v>143.02000000000001</v>
      </c>
      <c r="T269">
        <v>7</v>
      </c>
      <c r="U269">
        <v>65</v>
      </c>
    </row>
    <row r="270" spans="1:21" x14ac:dyDescent="0.3">
      <c r="A270" t="s">
        <v>589</v>
      </c>
      <c r="B270">
        <v>21715</v>
      </c>
      <c r="C270" t="s">
        <v>18</v>
      </c>
      <c r="D270" t="s">
        <v>126</v>
      </c>
      <c r="E270" t="s">
        <v>58</v>
      </c>
      <c r="F270" t="s">
        <v>590</v>
      </c>
      <c r="G270">
        <v>45782</v>
      </c>
      <c r="I270">
        <v>45784</v>
      </c>
      <c r="J270" t="s">
        <v>104</v>
      </c>
      <c r="K270" t="s">
        <v>13</v>
      </c>
      <c r="L270" t="s">
        <v>30</v>
      </c>
      <c r="M270" t="s">
        <v>1147</v>
      </c>
      <c r="N270" t="s">
        <v>65</v>
      </c>
      <c r="O270" t="s">
        <v>31</v>
      </c>
      <c r="P270">
        <v>7743.84</v>
      </c>
      <c r="Q270">
        <v>1188.3599999999999</v>
      </c>
      <c r="R270">
        <v>4160.3599999999997</v>
      </c>
      <c r="S270">
        <v>648.58000000000004</v>
      </c>
      <c r="T270">
        <v>6</v>
      </c>
      <c r="U270">
        <v>66</v>
      </c>
    </row>
    <row r="271" spans="1:21" x14ac:dyDescent="0.3">
      <c r="A271" t="s">
        <v>591</v>
      </c>
      <c r="B271">
        <v>24282</v>
      </c>
      <c r="C271" t="s">
        <v>47</v>
      </c>
      <c r="D271" t="s">
        <v>126</v>
      </c>
      <c r="E271" t="s">
        <v>54</v>
      </c>
      <c r="F271" t="s">
        <v>592</v>
      </c>
      <c r="G271">
        <v>45662</v>
      </c>
      <c r="I271">
        <v>45681</v>
      </c>
      <c r="J271" t="s">
        <v>104</v>
      </c>
      <c r="K271" t="s">
        <v>22</v>
      </c>
      <c r="L271" t="s">
        <v>30</v>
      </c>
      <c r="M271" t="s">
        <v>1156</v>
      </c>
      <c r="N271" t="s">
        <v>50</v>
      </c>
      <c r="O271" t="s">
        <v>25</v>
      </c>
      <c r="P271">
        <v>9961.77</v>
      </c>
      <c r="Q271">
        <v>968.43</v>
      </c>
      <c r="R271">
        <v>470.78</v>
      </c>
      <c r="S271">
        <v>903.52</v>
      </c>
      <c r="T271">
        <v>2</v>
      </c>
      <c r="U271">
        <v>59</v>
      </c>
    </row>
    <row r="272" spans="1:21" x14ac:dyDescent="0.3">
      <c r="A272" t="s">
        <v>593</v>
      </c>
      <c r="B272">
        <v>37422</v>
      </c>
      <c r="C272" t="s">
        <v>18</v>
      </c>
      <c r="D272" t="s">
        <v>67</v>
      </c>
      <c r="E272" t="s">
        <v>58</v>
      </c>
      <c r="F272" t="s">
        <v>594</v>
      </c>
      <c r="G272">
        <v>45936</v>
      </c>
      <c r="I272">
        <v>45940</v>
      </c>
      <c r="J272" t="s">
        <v>1175</v>
      </c>
      <c r="K272" t="s">
        <v>13</v>
      </c>
      <c r="L272" t="s">
        <v>14</v>
      </c>
      <c r="M272" t="s">
        <v>1159</v>
      </c>
      <c r="N272" t="s">
        <v>15</v>
      </c>
      <c r="O272" t="s">
        <v>16</v>
      </c>
      <c r="P272">
        <v>13308.28</v>
      </c>
      <c r="Q272">
        <v>2288.13</v>
      </c>
      <c r="R272">
        <v>4784.9399999999996</v>
      </c>
      <c r="S272">
        <v>870.36</v>
      </c>
      <c r="T272">
        <v>9</v>
      </c>
      <c r="U272">
        <v>23</v>
      </c>
    </row>
    <row r="273" spans="1:21" x14ac:dyDescent="0.3">
      <c r="A273" t="s">
        <v>595</v>
      </c>
      <c r="B273">
        <v>16515</v>
      </c>
      <c r="C273" t="s">
        <v>8</v>
      </c>
      <c r="D273" t="s">
        <v>57</v>
      </c>
      <c r="E273" t="s">
        <v>19</v>
      </c>
      <c r="F273" t="s">
        <v>596</v>
      </c>
      <c r="G273">
        <v>45515</v>
      </c>
      <c r="I273">
        <v>45534</v>
      </c>
      <c r="J273" t="s">
        <v>43</v>
      </c>
      <c r="K273" t="s">
        <v>22</v>
      </c>
      <c r="L273" t="s">
        <v>73</v>
      </c>
      <c r="M273" t="s">
        <v>1159</v>
      </c>
      <c r="N273" t="s">
        <v>24</v>
      </c>
      <c r="O273" t="s">
        <v>16</v>
      </c>
      <c r="P273">
        <v>2948.43</v>
      </c>
      <c r="Q273">
        <v>2183.7800000000002</v>
      </c>
      <c r="R273">
        <v>586.24</v>
      </c>
      <c r="S273">
        <v>578.48</v>
      </c>
      <c r="T273">
        <v>9</v>
      </c>
      <c r="U273">
        <v>81</v>
      </c>
    </row>
    <row r="274" spans="1:21" x14ac:dyDescent="0.3">
      <c r="A274" t="s">
        <v>597</v>
      </c>
      <c r="B274">
        <v>16753</v>
      </c>
      <c r="C274" t="s">
        <v>47</v>
      </c>
      <c r="D274" t="s">
        <v>34</v>
      </c>
      <c r="E274" t="s">
        <v>102</v>
      </c>
      <c r="F274" t="s">
        <v>598</v>
      </c>
      <c r="G274">
        <v>45939</v>
      </c>
      <c r="I274">
        <v>45959</v>
      </c>
      <c r="J274" t="s">
        <v>29</v>
      </c>
      <c r="K274" t="s">
        <v>37</v>
      </c>
      <c r="L274" t="s">
        <v>15</v>
      </c>
      <c r="M274" t="s">
        <v>1158</v>
      </c>
      <c r="N274" t="s">
        <v>50</v>
      </c>
      <c r="O274" t="s">
        <v>25</v>
      </c>
      <c r="P274">
        <v>14325.18</v>
      </c>
      <c r="Q274">
        <v>637.83000000000004</v>
      </c>
      <c r="R274">
        <v>2782.88</v>
      </c>
      <c r="S274">
        <v>1242.49</v>
      </c>
      <c r="T274">
        <v>10</v>
      </c>
      <c r="U274">
        <v>80</v>
      </c>
    </row>
    <row r="275" spans="1:21" x14ac:dyDescent="0.3">
      <c r="A275" t="s">
        <v>599</v>
      </c>
      <c r="B275">
        <v>26778</v>
      </c>
      <c r="C275" t="s">
        <v>8</v>
      </c>
      <c r="D275" t="s">
        <v>126</v>
      </c>
      <c r="E275" t="s">
        <v>62</v>
      </c>
      <c r="F275" t="s">
        <v>600</v>
      </c>
      <c r="G275">
        <v>45736</v>
      </c>
      <c r="I275">
        <v>45748</v>
      </c>
      <c r="J275" t="s">
        <v>114</v>
      </c>
      <c r="K275" t="s">
        <v>44</v>
      </c>
      <c r="L275" t="s">
        <v>14</v>
      </c>
      <c r="M275" t="s">
        <v>1159</v>
      </c>
      <c r="N275" t="s">
        <v>65</v>
      </c>
      <c r="O275" t="s">
        <v>51</v>
      </c>
      <c r="P275">
        <v>7731.25</v>
      </c>
      <c r="Q275">
        <v>1949.5</v>
      </c>
      <c r="R275">
        <v>3407.02</v>
      </c>
      <c r="S275">
        <v>1104.8599999999999</v>
      </c>
      <c r="T275">
        <v>3</v>
      </c>
      <c r="U275">
        <v>53</v>
      </c>
    </row>
    <row r="276" spans="1:21" x14ac:dyDescent="0.3">
      <c r="A276" t="s">
        <v>601</v>
      </c>
      <c r="B276">
        <v>25385</v>
      </c>
      <c r="C276" t="s">
        <v>47</v>
      </c>
      <c r="D276" t="s">
        <v>57</v>
      </c>
      <c r="E276" t="s">
        <v>75</v>
      </c>
      <c r="F276" t="s">
        <v>602</v>
      </c>
      <c r="G276">
        <v>45404</v>
      </c>
      <c r="I276">
        <v>45405</v>
      </c>
      <c r="J276" t="s">
        <v>43</v>
      </c>
      <c r="K276" t="s">
        <v>13</v>
      </c>
      <c r="L276" t="s">
        <v>23</v>
      </c>
      <c r="M276" t="s">
        <v>1158</v>
      </c>
      <c r="N276" t="s">
        <v>24</v>
      </c>
      <c r="P276">
        <v>8500.51</v>
      </c>
      <c r="Q276">
        <v>727.86</v>
      </c>
      <c r="R276">
        <v>611.35</v>
      </c>
      <c r="S276">
        <v>598.37</v>
      </c>
      <c r="T276">
        <v>10</v>
      </c>
      <c r="U276">
        <v>56</v>
      </c>
    </row>
    <row r="277" spans="1:21" x14ac:dyDescent="0.3">
      <c r="A277" t="s">
        <v>603</v>
      </c>
      <c r="B277">
        <v>35434</v>
      </c>
      <c r="C277" t="s">
        <v>8</v>
      </c>
      <c r="D277" t="s">
        <v>40</v>
      </c>
      <c r="E277" t="s">
        <v>10</v>
      </c>
      <c r="F277" t="s">
        <v>604</v>
      </c>
      <c r="G277">
        <v>45849</v>
      </c>
      <c r="I277">
        <v>45859</v>
      </c>
      <c r="J277" t="s">
        <v>100</v>
      </c>
      <c r="K277" t="s">
        <v>37</v>
      </c>
      <c r="L277" t="s">
        <v>30</v>
      </c>
      <c r="M277" t="s">
        <v>1154</v>
      </c>
      <c r="N277" t="s">
        <v>65</v>
      </c>
      <c r="O277" t="s">
        <v>51</v>
      </c>
      <c r="P277">
        <v>10920.72</v>
      </c>
      <c r="Q277">
        <v>145.22</v>
      </c>
      <c r="R277">
        <v>3145.33</v>
      </c>
      <c r="S277">
        <v>1907.24</v>
      </c>
      <c r="T277">
        <v>1</v>
      </c>
      <c r="U277">
        <v>29</v>
      </c>
    </row>
    <row r="278" spans="1:21" x14ac:dyDescent="0.3">
      <c r="A278" t="s">
        <v>605</v>
      </c>
      <c r="B278">
        <v>20653</v>
      </c>
      <c r="C278" t="s">
        <v>8</v>
      </c>
      <c r="D278" t="s">
        <v>67</v>
      </c>
      <c r="E278" t="s">
        <v>19</v>
      </c>
      <c r="F278" t="s">
        <v>606</v>
      </c>
      <c r="G278">
        <v>45634</v>
      </c>
      <c r="I278">
        <v>45654</v>
      </c>
      <c r="J278" t="s">
        <v>114</v>
      </c>
      <c r="K278" t="s">
        <v>13</v>
      </c>
      <c r="L278" t="s">
        <v>38</v>
      </c>
      <c r="M278" t="s">
        <v>1156</v>
      </c>
      <c r="N278" t="s">
        <v>65</v>
      </c>
      <c r="O278" t="s">
        <v>25</v>
      </c>
      <c r="P278">
        <v>2931.84</v>
      </c>
      <c r="Q278">
        <v>2690.76</v>
      </c>
      <c r="R278">
        <v>2395.4699999999998</v>
      </c>
      <c r="S278">
        <v>730.74</v>
      </c>
      <c r="T278">
        <v>6</v>
      </c>
      <c r="U278">
        <v>69</v>
      </c>
    </row>
    <row r="279" spans="1:21" x14ac:dyDescent="0.3">
      <c r="A279" t="s">
        <v>607</v>
      </c>
      <c r="B279">
        <v>24639</v>
      </c>
      <c r="C279" t="s">
        <v>18</v>
      </c>
      <c r="D279" t="s">
        <v>53</v>
      </c>
      <c r="E279" t="s">
        <v>19</v>
      </c>
      <c r="F279" t="s">
        <v>608</v>
      </c>
      <c r="G279">
        <v>45726</v>
      </c>
      <c r="I279">
        <v>45742</v>
      </c>
      <c r="J279" t="s">
        <v>111</v>
      </c>
      <c r="K279" t="s">
        <v>44</v>
      </c>
      <c r="L279" t="s">
        <v>14</v>
      </c>
      <c r="M279" t="s">
        <v>1150</v>
      </c>
      <c r="N279" t="s">
        <v>24</v>
      </c>
      <c r="O279" t="s">
        <v>51</v>
      </c>
      <c r="P279">
        <v>749.28</v>
      </c>
      <c r="Q279">
        <v>2820.16</v>
      </c>
      <c r="R279">
        <v>276.24</v>
      </c>
      <c r="S279">
        <v>1037.8800000000001</v>
      </c>
      <c r="T279">
        <v>7</v>
      </c>
      <c r="U279">
        <v>58</v>
      </c>
    </row>
    <row r="280" spans="1:21" x14ac:dyDescent="0.3">
      <c r="A280" t="s">
        <v>609</v>
      </c>
      <c r="B280">
        <v>37784</v>
      </c>
      <c r="C280" t="s">
        <v>18</v>
      </c>
      <c r="D280" t="s">
        <v>53</v>
      </c>
      <c r="E280" t="s">
        <v>58</v>
      </c>
      <c r="F280" t="s">
        <v>610</v>
      </c>
      <c r="G280">
        <v>45434</v>
      </c>
      <c r="I280">
        <v>45444</v>
      </c>
      <c r="J280" t="s">
        <v>1153</v>
      </c>
      <c r="K280" t="s">
        <v>37</v>
      </c>
      <c r="L280" t="s">
        <v>38</v>
      </c>
      <c r="M280" t="s">
        <v>1147</v>
      </c>
      <c r="N280" t="s">
        <v>50</v>
      </c>
      <c r="P280">
        <v>1140.8900000000001</v>
      </c>
      <c r="Q280">
        <v>1064.07</v>
      </c>
      <c r="R280">
        <v>1264.9000000000001</v>
      </c>
      <c r="S280">
        <v>177.62</v>
      </c>
      <c r="T280">
        <v>4</v>
      </c>
      <c r="U280">
        <v>23</v>
      </c>
    </row>
    <row r="281" spans="1:21" x14ac:dyDescent="0.3">
      <c r="A281" t="s">
        <v>611</v>
      </c>
      <c r="B281">
        <v>34044</v>
      </c>
      <c r="C281" t="s">
        <v>18</v>
      </c>
      <c r="D281" t="s">
        <v>57</v>
      </c>
      <c r="E281" t="s">
        <v>41</v>
      </c>
      <c r="F281" t="s">
        <v>612</v>
      </c>
      <c r="G281">
        <v>45435</v>
      </c>
      <c r="I281">
        <v>45452</v>
      </c>
      <c r="J281" t="s">
        <v>12</v>
      </c>
      <c r="K281" t="s">
        <v>22</v>
      </c>
      <c r="L281" t="s">
        <v>30</v>
      </c>
      <c r="M281" t="s">
        <v>1150</v>
      </c>
      <c r="N281" t="s">
        <v>15</v>
      </c>
      <c r="O281" t="s">
        <v>16</v>
      </c>
      <c r="P281">
        <v>3340.83</v>
      </c>
      <c r="Q281">
        <v>2760.52</v>
      </c>
      <c r="R281">
        <v>905.15</v>
      </c>
      <c r="S281">
        <v>1973.26</v>
      </c>
      <c r="T281">
        <v>5</v>
      </c>
      <c r="U281">
        <v>33</v>
      </c>
    </row>
    <row r="282" spans="1:21" x14ac:dyDescent="0.3">
      <c r="A282" t="s">
        <v>613</v>
      </c>
      <c r="B282">
        <v>30689</v>
      </c>
      <c r="C282" t="s">
        <v>33</v>
      </c>
      <c r="D282" t="s">
        <v>40</v>
      </c>
      <c r="E282" t="s">
        <v>62</v>
      </c>
      <c r="F282" t="s">
        <v>614</v>
      </c>
      <c r="G282">
        <v>45693</v>
      </c>
      <c r="I282">
        <v>45699</v>
      </c>
      <c r="J282" t="s">
        <v>104</v>
      </c>
      <c r="K282" t="s">
        <v>22</v>
      </c>
      <c r="L282" t="s">
        <v>73</v>
      </c>
      <c r="M282" t="s">
        <v>1150</v>
      </c>
      <c r="N282" t="s">
        <v>24</v>
      </c>
      <c r="O282" t="s">
        <v>16</v>
      </c>
      <c r="P282">
        <v>3707.57</v>
      </c>
      <c r="Q282">
        <v>2036.32</v>
      </c>
      <c r="R282">
        <v>656.19</v>
      </c>
      <c r="S282">
        <v>79.83</v>
      </c>
      <c r="T282">
        <v>7</v>
      </c>
      <c r="U282">
        <v>42</v>
      </c>
    </row>
    <row r="283" spans="1:21" x14ac:dyDescent="0.3">
      <c r="A283" t="s">
        <v>615</v>
      </c>
      <c r="B283">
        <v>29332</v>
      </c>
      <c r="C283" t="s">
        <v>47</v>
      </c>
      <c r="D283" t="s">
        <v>34</v>
      </c>
      <c r="E283" t="s">
        <v>62</v>
      </c>
      <c r="F283" t="s">
        <v>616</v>
      </c>
      <c r="G283">
        <v>45325</v>
      </c>
      <c r="I283">
        <v>45333</v>
      </c>
      <c r="J283" t="s">
        <v>1141</v>
      </c>
      <c r="K283" t="s">
        <v>13</v>
      </c>
      <c r="L283" t="s">
        <v>64</v>
      </c>
      <c r="M283" t="s">
        <v>1159</v>
      </c>
      <c r="N283" t="s">
        <v>65</v>
      </c>
      <c r="P283">
        <v>6335.29</v>
      </c>
      <c r="Q283">
        <v>2457.65</v>
      </c>
      <c r="R283">
        <v>4235.1000000000004</v>
      </c>
      <c r="S283">
        <v>1711.75</v>
      </c>
      <c r="T283">
        <v>8</v>
      </c>
      <c r="U283">
        <v>46</v>
      </c>
    </row>
    <row r="284" spans="1:21" x14ac:dyDescent="0.3">
      <c r="A284" t="s">
        <v>617</v>
      </c>
      <c r="B284">
        <v>27695</v>
      </c>
      <c r="C284" t="s">
        <v>18</v>
      </c>
      <c r="D284" t="s">
        <v>57</v>
      </c>
      <c r="E284" t="s">
        <v>35</v>
      </c>
      <c r="F284" t="s">
        <v>618</v>
      </c>
      <c r="G284">
        <v>45330</v>
      </c>
      <c r="I284">
        <v>45340</v>
      </c>
      <c r="J284" t="s">
        <v>114</v>
      </c>
      <c r="K284" t="s">
        <v>13</v>
      </c>
      <c r="L284" t="s">
        <v>23</v>
      </c>
      <c r="M284" t="s">
        <v>1154</v>
      </c>
      <c r="N284" t="s">
        <v>24</v>
      </c>
      <c r="O284" t="s">
        <v>31</v>
      </c>
      <c r="P284">
        <v>7026.47</v>
      </c>
      <c r="Q284">
        <v>3015.16</v>
      </c>
      <c r="R284">
        <v>3633</v>
      </c>
      <c r="S284">
        <v>1517.71</v>
      </c>
      <c r="T284">
        <v>4</v>
      </c>
      <c r="U284">
        <v>50</v>
      </c>
    </row>
    <row r="285" spans="1:21" x14ac:dyDescent="0.3">
      <c r="A285" t="s">
        <v>619</v>
      </c>
      <c r="B285">
        <v>21478</v>
      </c>
      <c r="C285" t="s">
        <v>47</v>
      </c>
      <c r="D285" t="s">
        <v>139</v>
      </c>
      <c r="E285" t="s">
        <v>19</v>
      </c>
      <c r="F285" t="s">
        <v>620</v>
      </c>
      <c r="G285">
        <v>45368</v>
      </c>
      <c r="I285">
        <v>45373</v>
      </c>
      <c r="J285" t="s">
        <v>21</v>
      </c>
      <c r="K285" t="s">
        <v>37</v>
      </c>
      <c r="L285" t="s">
        <v>30</v>
      </c>
      <c r="M285" t="s">
        <v>1147</v>
      </c>
      <c r="N285" t="s">
        <v>24</v>
      </c>
      <c r="O285" t="s">
        <v>31</v>
      </c>
      <c r="P285">
        <v>6378.23</v>
      </c>
      <c r="Q285">
        <v>710.63</v>
      </c>
      <c r="R285">
        <v>1638.07</v>
      </c>
      <c r="S285">
        <v>975.9</v>
      </c>
      <c r="T285">
        <v>5</v>
      </c>
      <c r="U285">
        <v>67</v>
      </c>
    </row>
    <row r="286" spans="1:21" x14ac:dyDescent="0.3">
      <c r="A286" t="s">
        <v>621</v>
      </c>
      <c r="B286">
        <v>34202</v>
      </c>
      <c r="C286" t="s">
        <v>8</v>
      </c>
      <c r="D286" t="s">
        <v>34</v>
      </c>
      <c r="E286" t="s">
        <v>19</v>
      </c>
      <c r="F286" t="s">
        <v>622</v>
      </c>
      <c r="G286">
        <v>45435</v>
      </c>
      <c r="I286">
        <v>45439</v>
      </c>
      <c r="J286" t="s">
        <v>21</v>
      </c>
      <c r="K286" t="s">
        <v>37</v>
      </c>
      <c r="L286" t="s">
        <v>73</v>
      </c>
      <c r="M286" t="s">
        <v>1150</v>
      </c>
      <c r="N286" t="s">
        <v>65</v>
      </c>
      <c r="O286" t="s">
        <v>25</v>
      </c>
      <c r="P286">
        <v>3885.06</v>
      </c>
      <c r="Q286">
        <v>1732.9</v>
      </c>
      <c r="R286">
        <v>2518.58</v>
      </c>
      <c r="S286">
        <v>1206.96</v>
      </c>
      <c r="T286">
        <v>10</v>
      </c>
      <c r="U286">
        <v>32</v>
      </c>
    </row>
    <row r="287" spans="1:21" x14ac:dyDescent="0.3">
      <c r="A287" t="s">
        <v>623</v>
      </c>
      <c r="B287">
        <v>25437</v>
      </c>
      <c r="C287" t="s">
        <v>18</v>
      </c>
      <c r="D287" t="s">
        <v>53</v>
      </c>
      <c r="E287" t="s">
        <v>75</v>
      </c>
      <c r="F287" t="s">
        <v>624</v>
      </c>
      <c r="G287">
        <v>45387</v>
      </c>
      <c r="I287">
        <v>45399</v>
      </c>
      <c r="J287" t="s">
        <v>1153</v>
      </c>
      <c r="K287" t="s">
        <v>44</v>
      </c>
      <c r="L287" t="s">
        <v>38</v>
      </c>
      <c r="M287" t="s">
        <v>1162</v>
      </c>
      <c r="N287" t="s">
        <v>24</v>
      </c>
      <c r="O287" t="s">
        <v>16</v>
      </c>
      <c r="P287">
        <v>7985.28</v>
      </c>
      <c r="Q287">
        <v>504.58</v>
      </c>
      <c r="R287">
        <v>1469.85</v>
      </c>
      <c r="S287">
        <v>350.01</v>
      </c>
      <c r="T287">
        <v>2</v>
      </c>
      <c r="U287">
        <v>56</v>
      </c>
    </row>
    <row r="288" spans="1:21" x14ac:dyDescent="0.3">
      <c r="A288" t="s">
        <v>625</v>
      </c>
      <c r="B288">
        <v>30499</v>
      </c>
      <c r="C288" t="s">
        <v>33</v>
      </c>
      <c r="D288" t="s">
        <v>27</v>
      </c>
      <c r="E288" t="s">
        <v>62</v>
      </c>
      <c r="F288" t="s">
        <v>626</v>
      </c>
      <c r="G288">
        <v>45662</v>
      </c>
      <c r="I288">
        <v>45676</v>
      </c>
      <c r="J288" t="s">
        <v>1153</v>
      </c>
      <c r="K288" t="s">
        <v>22</v>
      </c>
      <c r="L288" t="s">
        <v>23</v>
      </c>
      <c r="M288" t="s">
        <v>1157</v>
      </c>
      <c r="N288" t="s">
        <v>65</v>
      </c>
      <c r="O288" t="s">
        <v>31</v>
      </c>
      <c r="P288">
        <v>7863.02</v>
      </c>
      <c r="Q288">
        <v>2892.29</v>
      </c>
      <c r="R288">
        <v>2548.4499999999998</v>
      </c>
      <c r="S288">
        <v>782.1</v>
      </c>
      <c r="T288">
        <v>5</v>
      </c>
      <c r="U288">
        <v>42</v>
      </c>
    </row>
    <row r="289" spans="1:21" x14ac:dyDescent="0.3">
      <c r="A289" t="s">
        <v>627</v>
      </c>
      <c r="B289">
        <v>29215</v>
      </c>
      <c r="C289" t="s">
        <v>18</v>
      </c>
      <c r="D289" t="s">
        <v>34</v>
      </c>
      <c r="E289" t="s">
        <v>75</v>
      </c>
      <c r="F289" t="s">
        <v>628</v>
      </c>
      <c r="G289">
        <v>45456</v>
      </c>
      <c r="I289">
        <v>45470</v>
      </c>
      <c r="J289" t="s">
        <v>29</v>
      </c>
      <c r="K289" t="s">
        <v>22</v>
      </c>
      <c r="L289" t="s">
        <v>14</v>
      </c>
      <c r="M289" t="s">
        <v>1161</v>
      </c>
      <c r="N289" t="s">
        <v>24</v>
      </c>
      <c r="O289" t="s">
        <v>31</v>
      </c>
      <c r="P289">
        <v>9753.2900000000009</v>
      </c>
      <c r="Q289">
        <v>2425.31</v>
      </c>
      <c r="R289">
        <v>3884.33</v>
      </c>
      <c r="S289">
        <v>1781.29</v>
      </c>
      <c r="T289">
        <v>10</v>
      </c>
      <c r="U289">
        <v>46</v>
      </c>
    </row>
    <row r="290" spans="1:21" x14ac:dyDescent="0.3">
      <c r="A290" t="s">
        <v>629</v>
      </c>
      <c r="B290">
        <v>17281</v>
      </c>
      <c r="C290" t="s">
        <v>8</v>
      </c>
      <c r="D290" t="s">
        <v>126</v>
      </c>
      <c r="E290" t="s">
        <v>62</v>
      </c>
      <c r="F290" t="s">
        <v>630</v>
      </c>
      <c r="G290">
        <v>45484</v>
      </c>
      <c r="I290">
        <v>45498</v>
      </c>
      <c r="J290" t="s">
        <v>104</v>
      </c>
      <c r="K290" t="s">
        <v>37</v>
      </c>
      <c r="L290" t="s">
        <v>15</v>
      </c>
      <c r="M290" t="s">
        <v>1161</v>
      </c>
      <c r="N290" t="s">
        <v>24</v>
      </c>
      <c r="O290" t="s">
        <v>51</v>
      </c>
      <c r="R290">
        <v>3640.32</v>
      </c>
      <c r="S290">
        <v>1602.79</v>
      </c>
      <c r="T290">
        <v>4</v>
      </c>
      <c r="U290">
        <v>79</v>
      </c>
    </row>
    <row r="291" spans="1:21" x14ac:dyDescent="0.3">
      <c r="A291" t="s">
        <v>631</v>
      </c>
      <c r="B291">
        <v>26456</v>
      </c>
      <c r="C291" t="s">
        <v>47</v>
      </c>
      <c r="D291" t="s">
        <v>27</v>
      </c>
      <c r="E291" t="s">
        <v>19</v>
      </c>
      <c r="F291" t="s">
        <v>632</v>
      </c>
      <c r="G291">
        <v>45858</v>
      </c>
      <c r="I291">
        <v>45878</v>
      </c>
      <c r="J291" t="s">
        <v>114</v>
      </c>
      <c r="K291" t="s">
        <v>37</v>
      </c>
      <c r="L291" t="s">
        <v>38</v>
      </c>
      <c r="M291" t="s">
        <v>1152</v>
      </c>
      <c r="N291" t="s">
        <v>65</v>
      </c>
      <c r="O291" t="s">
        <v>16</v>
      </c>
      <c r="P291">
        <v>11728.9</v>
      </c>
      <c r="Q291">
        <v>2675.32</v>
      </c>
      <c r="R291">
        <v>3566.19</v>
      </c>
      <c r="S291">
        <v>1633.73</v>
      </c>
      <c r="T291">
        <v>10</v>
      </c>
      <c r="U291">
        <v>54</v>
      </c>
    </row>
    <row r="292" spans="1:21" x14ac:dyDescent="0.3">
      <c r="A292" t="s">
        <v>633</v>
      </c>
      <c r="B292">
        <v>21036</v>
      </c>
      <c r="C292" t="s">
        <v>8</v>
      </c>
      <c r="D292" t="s">
        <v>53</v>
      </c>
      <c r="E292" t="s">
        <v>102</v>
      </c>
      <c r="F292" t="s">
        <v>634</v>
      </c>
      <c r="G292">
        <v>45651</v>
      </c>
      <c r="I292">
        <v>45666</v>
      </c>
      <c r="J292" t="s">
        <v>111</v>
      </c>
      <c r="K292" t="s">
        <v>44</v>
      </c>
      <c r="L292" t="s">
        <v>64</v>
      </c>
      <c r="M292" t="s">
        <v>1152</v>
      </c>
      <c r="N292" t="s">
        <v>24</v>
      </c>
      <c r="O292" t="s">
        <v>16</v>
      </c>
      <c r="P292">
        <v>6160.41</v>
      </c>
      <c r="Q292">
        <v>174.96</v>
      </c>
      <c r="R292">
        <v>4886.28</v>
      </c>
      <c r="S292">
        <v>542.79</v>
      </c>
      <c r="T292">
        <v>4</v>
      </c>
      <c r="U292">
        <v>68</v>
      </c>
    </row>
    <row r="293" spans="1:21" x14ac:dyDescent="0.3">
      <c r="A293" t="s">
        <v>635</v>
      </c>
      <c r="B293">
        <v>30999</v>
      </c>
      <c r="C293" t="s">
        <v>18</v>
      </c>
      <c r="D293" t="s">
        <v>57</v>
      </c>
      <c r="E293" t="s">
        <v>19</v>
      </c>
      <c r="F293" t="s">
        <v>636</v>
      </c>
      <c r="G293">
        <v>45344</v>
      </c>
      <c r="I293">
        <v>45363</v>
      </c>
      <c r="J293" t="s">
        <v>111</v>
      </c>
      <c r="K293" t="s">
        <v>22</v>
      </c>
      <c r="L293" t="s">
        <v>45</v>
      </c>
      <c r="M293" t="s">
        <v>1162</v>
      </c>
      <c r="N293" t="s">
        <v>65</v>
      </c>
      <c r="O293" t="s">
        <v>51</v>
      </c>
      <c r="P293">
        <v>1357.42</v>
      </c>
      <c r="Q293">
        <v>1791.42</v>
      </c>
      <c r="R293">
        <v>4975.3</v>
      </c>
      <c r="S293">
        <v>1320.38</v>
      </c>
      <c r="T293">
        <v>9</v>
      </c>
      <c r="U293">
        <v>41</v>
      </c>
    </row>
    <row r="294" spans="1:21" x14ac:dyDescent="0.3">
      <c r="A294" t="s">
        <v>637</v>
      </c>
      <c r="B294">
        <v>17160</v>
      </c>
      <c r="C294" t="s">
        <v>8</v>
      </c>
      <c r="D294" t="s">
        <v>9</v>
      </c>
      <c r="E294" t="s">
        <v>58</v>
      </c>
      <c r="F294" t="s">
        <v>638</v>
      </c>
      <c r="G294">
        <v>45425</v>
      </c>
      <c r="I294">
        <v>45440</v>
      </c>
      <c r="J294" t="s">
        <v>29</v>
      </c>
      <c r="K294" t="s">
        <v>37</v>
      </c>
      <c r="L294" t="s">
        <v>14</v>
      </c>
      <c r="M294" t="s">
        <v>1156</v>
      </c>
      <c r="N294" t="s">
        <v>65</v>
      </c>
      <c r="O294" t="s">
        <v>51</v>
      </c>
      <c r="P294">
        <v>2395.84</v>
      </c>
      <c r="Q294">
        <v>1285.3800000000001</v>
      </c>
      <c r="R294">
        <v>2335.46</v>
      </c>
      <c r="S294">
        <v>213.87</v>
      </c>
      <c r="T294">
        <v>4</v>
      </c>
      <c r="U294">
        <v>79</v>
      </c>
    </row>
    <row r="295" spans="1:21" x14ac:dyDescent="0.3">
      <c r="A295" t="s">
        <v>639</v>
      </c>
      <c r="B295">
        <v>25615</v>
      </c>
      <c r="C295" t="s">
        <v>8</v>
      </c>
      <c r="D295" t="s">
        <v>126</v>
      </c>
      <c r="E295" t="s">
        <v>41</v>
      </c>
      <c r="F295" t="s">
        <v>640</v>
      </c>
      <c r="G295">
        <v>45314</v>
      </c>
      <c r="I295">
        <v>45328</v>
      </c>
      <c r="J295" t="s">
        <v>100</v>
      </c>
      <c r="K295" t="s">
        <v>22</v>
      </c>
      <c r="L295" t="s">
        <v>38</v>
      </c>
      <c r="M295" t="s">
        <v>1147</v>
      </c>
      <c r="N295" t="s">
        <v>65</v>
      </c>
      <c r="O295" t="s">
        <v>51</v>
      </c>
      <c r="P295">
        <v>3616.75</v>
      </c>
      <c r="Q295">
        <v>2906.99</v>
      </c>
      <c r="R295">
        <v>2276.66</v>
      </c>
      <c r="S295">
        <v>444.31</v>
      </c>
      <c r="T295">
        <v>6</v>
      </c>
      <c r="U295">
        <v>56</v>
      </c>
    </row>
    <row r="296" spans="1:21" x14ac:dyDescent="0.3">
      <c r="A296" t="s">
        <v>641</v>
      </c>
      <c r="B296">
        <v>21340</v>
      </c>
      <c r="C296" t="s">
        <v>8</v>
      </c>
      <c r="D296" t="s">
        <v>139</v>
      </c>
      <c r="E296" t="s">
        <v>68</v>
      </c>
      <c r="F296" t="s">
        <v>642</v>
      </c>
      <c r="G296">
        <v>45514</v>
      </c>
      <c r="I296">
        <v>45515</v>
      </c>
      <c r="J296" t="s">
        <v>29</v>
      </c>
      <c r="K296" t="s">
        <v>44</v>
      </c>
      <c r="L296" t="s">
        <v>45</v>
      </c>
      <c r="M296" t="s">
        <v>1158</v>
      </c>
      <c r="N296" t="s">
        <v>15</v>
      </c>
      <c r="O296" t="s">
        <v>51</v>
      </c>
      <c r="P296">
        <v>2768.65</v>
      </c>
      <c r="Q296">
        <v>1173.3699999999999</v>
      </c>
      <c r="R296">
        <v>4944.16</v>
      </c>
      <c r="S296">
        <v>1656.29</v>
      </c>
      <c r="T296">
        <v>4</v>
      </c>
      <c r="U296">
        <v>68</v>
      </c>
    </row>
    <row r="297" spans="1:21" x14ac:dyDescent="0.3">
      <c r="A297" t="s">
        <v>643</v>
      </c>
      <c r="B297">
        <v>37117</v>
      </c>
      <c r="C297" t="s">
        <v>47</v>
      </c>
      <c r="D297" t="s">
        <v>57</v>
      </c>
      <c r="E297" t="s">
        <v>62</v>
      </c>
      <c r="F297" t="s">
        <v>644</v>
      </c>
      <c r="G297">
        <v>45902</v>
      </c>
      <c r="I297">
        <v>45911</v>
      </c>
      <c r="J297" t="s">
        <v>29</v>
      </c>
      <c r="K297" t="s">
        <v>22</v>
      </c>
      <c r="L297" t="s">
        <v>15</v>
      </c>
      <c r="M297" t="s">
        <v>1157</v>
      </c>
      <c r="N297" t="s">
        <v>65</v>
      </c>
      <c r="O297" t="s">
        <v>16</v>
      </c>
      <c r="P297">
        <v>4256.04</v>
      </c>
      <c r="Q297">
        <v>924.71</v>
      </c>
      <c r="R297">
        <v>3696.09</v>
      </c>
      <c r="S297">
        <v>764.27</v>
      </c>
      <c r="T297">
        <v>6</v>
      </c>
      <c r="U297">
        <v>24</v>
      </c>
    </row>
    <row r="298" spans="1:21" x14ac:dyDescent="0.3">
      <c r="A298" t="s">
        <v>645</v>
      </c>
      <c r="B298">
        <v>24922</v>
      </c>
      <c r="C298" t="s">
        <v>18</v>
      </c>
      <c r="D298" t="s">
        <v>57</v>
      </c>
      <c r="E298" t="s">
        <v>102</v>
      </c>
      <c r="F298" t="s">
        <v>646</v>
      </c>
      <c r="G298">
        <v>45613</v>
      </c>
      <c r="I298">
        <v>45617</v>
      </c>
      <c r="J298" t="s">
        <v>1166</v>
      </c>
      <c r="K298" t="s">
        <v>37</v>
      </c>
      <c r="L298" t="s">
        <v>15</v>
      </c>
      <c r="M298" t="s">
        <v>1161</v>
      </c>
      <c r="N298" t="s">
        <v>24</v>
      </c>
      <c r="O298" t="s">
        <v>25</v>
      </c>
      <c r="P298">
        <v>14146.12</v>
      </c>
      <c r="Q298">
        <v>971.54</v>
      </c>
      <c r="R298">
        <v>1718.97</v>
      </c>
      <c r="S298">
        <v>1055.93</v>
      </c>
      <c r="T298">
        <v>6</v>
      </c>
      <c r="U298">
        <v>58</v>
      </c>
    </row>
    <row r="299" spans="1:21" x14ac:dyDescent="0.3">
      <c r="A299" t="s">
        <v>647</v>
      </c>
      <c r="B299">
        <v>19039</v>
      </c>
      <c r="C299" t="s">
        <v>33</v>
      </c>
      <c r="D299" t="s">
        <v>126</v>
      </c>
      <c r="E299" t="s">
        <v>35</v>
      </c>
      <c r="F299" t="s">
        <v>648</v>
      </c>
      <c r="G299">
        <v>45467</v>
      </c>
      <c r="I299">
        <v>45487</v>
      </c>
      <c r="J299" t="s">
        <v>29</v>
      </c>
      <c r="K299" t="s">
        <v>37</v>
      </c>
      <c r="L299" t="s">
        <v>38</v>
      </c>
      <c r="M299" t="s">
        <v>1162</v>
      </c>
      <c r="N299" t="s">
        <v>15</v>
      </c>
      <c r="O299" t="s">
        <v>31</v>
      </c>
      <c r="P299">
        <v>12650</v>
      </c>
      <c r="Q299">
        <v>1218.78</v>
      </c>
      <c r="R299">
        <v>2773.37</v>
      </c>
      <c r="S299">
        <v>842.99</v>
      </c>
      <c r="T299">
        <v>10</v>
      </c>
      <c r="U299">
        <v>74</v>
      </c>
    </row>
    <row r="300" spans="1:21" x14ac:dyDescent="0.3">
      <c r="A300" t="s">
        <v>649</v>
      </c>
      <c r="B300">
        <v>30694</v>
      </c>
      <c r="C300" t="s">
        <v>47</v>
      </c>
      <c r="D300" t="s">
        <v>34</v>
      </c>
      <c r="E300" t="s">
        <v>10</v>
      </c>
      <c r="F300" t="s">
        <v>650</v>
      </c>
      <c r="G300">
        <v>45597</v>
      </c>
      <c r="I300">
        <v>45612</v>
      </c>
      <c r="J300" t="s">
        <v>1153</v>
      </c>
      <c r="K300" t="s">
        <v>37</v>
      </c>
      <c r="L300" t="s">
        <v>73</v>
      </c>
      <c r="M300" t="s">
        <v>1157</v>
      </c>
      <c r="N300" t="s">
        <v>24</v>
      </c>
      <c r="R300">
        <v>1011.8</v>
      </c>
      <c r="S300">
        <v>646.75</v>
      </c>
      <c r="T300">
        <v>8</v>
      </c>
      <c r="U300">
        <v>42</v>
      </c>
    </row>
    <row r="301" spans="1:21" x14ac:dyDescent="0.3">
      <c r="A301" t="s">
        <v>651</v>
      </c>
      <c r="B301">
        <v>22986</v>
      </c>
      <c r="C301" t="s">
        <v>18</v>
      </c>
      <c r="D301" t="s">
        <v>61</v>
      </c>
      <c r="E301" t="s">
        <v>68</v>
      </c>
      <c r="F301" t="s">
        <v>652</v>
      </c>
      <c r="G301">
        <v>45433</v>
      </c>
      <c r="I301">
        <v>45452</v>
      </c>
      <c r="J301" t="s">
        <v>1153</v>
      </c>
      <c r="K301" t="s">
        <v>13</v>
      </c>
      <c r="L301" t="s">
        <v>45</v>
      </c>
      <c r="M301" t="s">
        <v>1162</v>
      </c>
      <c r="N301" t="s">
        <v>24</v>
      </c>
      <c r="O301" t="s">
        <v>51</v>
      </c>
      <c r="P301">
        <v>13349.23</v>
      </c>
      <c r="Q301">
        <v>2530.7800000000002</v>
      </c>
      <c r="R301">
        <v>813.3</v>
      </c>
      <c r="S301">
        <v>1774.64</v>
      </c>
      <c r="T301">
        <v>7</v>
      </c>
      <c r="U301">
        <v>63</v>
      </c>
    </row>
    <row r="302" spans="1:21" x14ac:dyDescent="0.3">
      <c r="A302" t="s">
        <v>653</v>
      </c>
      <c r="B302">
        <v>18112</v>
      </c>
      <c r="C302" t="s">
        <v>8</v>
      </c>
      <c r="D302" t="s">
        <v>48</v>
      </c>
      <c r="E302" t="s">
        <v>68</v>
      </c>
      <c r="F302" t="s">
        <v>654</v>
      </c>
      <c r="G302">
        <v>45509</v>
      </c>
      <c r="I302">
        <v>45510</v>
      </c>
      <c r="J302" t="s">
        <v>72</v>
      </c>
      <c r="K302" t="s">
        <v>22</v>
      </c>
      <c r="L302" t="s">
        <v>15</v>
      </c>
      <c r="M302" t="s">
        <v>1156</v>
      </c>
      <c r="N302" t="s">
        <v>50</v>
      </c>
      <c r="O302" t="s">
        <v>16</v>
      </c>
      <c r="P302">
        <v>13679.2</v>
      </c>
      <c r="Q302">
        <v>512.04999999999995</v>
      </c>
      <c r="R302">
        <v>689.78</v>
      </c>
      <c r="S302">
        <v>390.31</v>
      </c>
      <c r="T302">
        <v>10</v>
      </c>
      <c r="U302">
        <v>76</v>
      </c>
    </row>
    <row r="303" spans="1:21" x14ac:dyDescent="0.3">
      <c r="A303" t="s">
        <v>655</v>
      </c>
      <c r="B303">
        <v>27084</v>
      </c>
      <c r="C303" t="s">
        <v>8</v>
      </c>
      <c r="D303" t="s">
        <v>53</v>
      </c>
      <c r="E303" t="s">
        <v>102</v>
      </c>
      <c r="F303" t="s">
        <v>656</v>
      </c>
      <c r="G303">
        <v>45404</v>
      </c>
      <c r="I303">
        <v>45412</v>
      </c>
      <c r="J303" t="s">
        <v>43</v>
      </c>
      <c r="K303" t="s">
        <v>22</v>
      </c>
      <c r="L303" t="s">
        <v>73</v>
      </c>
      <c r="M303" t="s">
        <v>1156</v>
      </c>
      <c r="N303" t="s">
        <v>24</v>
      </c>
      <c r="O303" t="s">
        <v>31</v>
      </c>
      <c r="P303">
        <v>6655.81</v>
      </c>
      <c r="Q303">
        <v>2066.19</v>
      </c>
      <c r="R303">
        <v>3306.2</v>
      </c>
      <c r="S303">
        <v>894.7</v>
      </c>
      <c r="T303">
        <v>8</v>
      </c>
      <c r="U303">
        <v>52</v>
      </c>
    </row>
    <row r="304" spans="1:21" x14ac:dyDescent="0.3">
      <c r="A304" t="s">
        <v>657</v>
      </c>
      <c r="B304">
        <v>20737</v>
      </c>
      <c r="C304" t="s">
        <v>8</v>
      </c>
      <c r="D304" t="s">
        <v>40</v>
      </c>
      <c r="E304" t="s">
        <v>19</v>
      </c>
      <c r="F304" t="s">
        <v>658</v>
      </c>
      <c r="G304">
        <v>45834</v>
      </c>
      <c r="I304">
        <v>45854</v>
      </c>
      <c r="J304" t="s">
        <v>1153</v>
      </c>
      <c r="K304" t="s">
        <v>37</v>
      </c>
      <c r="L304" t="s">
        <v>15</v>
      </c>
      <c r="M304" t="s">
        <v>1161</v>
      </c>
      <c r="N304" t="s">
        <v>65</v>
      </c>
      <c r="O304" t="s">
        <v>31</v>
      </c>
      <c r="R304">
        <v>2346.52</v>
      </c>
      <c r="S304">
        <v>409.29</v>
      </c>
      <c r="T304">
        <v>2</v>
      </c>
      <c r="U304">
        <v>69</v>
      </c>
    </row>
    <row r="305" spans="1:21" x14ac:dyDescent="0.3">
      <c r="A305" t="s">
        <v>659</v>
      </c>
      <c r="B305">
        <v>33156</v>
      </c>
      <c r="C305" t="s">
        <v>8</v>
      </c>
      <c r="D305" t="s">
        <v>139</v>
      </c>
      <c r="E305" t="s">
        <v>41</v>
      </c>
      <c r="F305" t="s">
        <v>660</v>
      </c>
      <c r="G305">
        <v>45295</v>
      </c>
      <c r="I305">
        <v>45299</v>
      </c>
      <c r="J305" t="s">
        <v>114</v>
      </c>
      <c r="K305" t="s">
        <v>37</v>
      </c>
      <c r="L305" t="s">
        <v>23</v>
      </c>
      <c r="M305" t="s">
        <v>1158</v>
      </c>
      <c r="N305" t="s">
        <v>65</v>
      </c>
      <c r="O305" t="s">
        <v>16</v>
      </c>
      <c r="P305">
        <v>3976.2</v>
      </c>
      <c r="Q305">
        <v>1385.26</v>
      </c>
      <c r="R305">
        <v>238.4</v>
      </c>
      <c r="S305">
        <v>1019.16</v>
      </c>
      <c r="T305">
        <v>4</v>
      </c>
      <c r="U305">
        <v>35</v>
      </c>
    </row>
    <row r="306" spans="1:21" x14ac:dyDescent="0.3">
      <c r="A306" t="s">
        <v>661</v>
      </c>
      <c r="B306">
        <v>27427</v>
      </c>
      <c r="C306" t="s">
        <v>8</v>
      </c>
      <c r="D306" t="s">
        <v>57</v>
      </c>
      <c r="E306" t="s">
        <v>62</v>
      </c>
      <c r="F306" t="s">
        <v>662</v>
      </c>
      <c r="G306">
        <v>45309</v>
      </c>
      <c r="I306">
        <v>45328</v>
      </c>
      <c r="J306" t="s">
        <v>12</v>
      </c>
      <c r="K306" t="s">
        <v>22</v>
      </c>
      <c r="L306" t="s">
        <v>30</v>
      </c>
      <c r="M306" t="s">
        <v>1154</v>
      </c>
      <c r="N306" t="s">
        <v>15</v>
      </c>
      <c r="O306" t="s">
        <v>51</v>
      </c>
      <c r="P306">
        <v>2616.94</v>
      </c>
      <c r="Q306">
        <v>727.53</v>
      </c>
      <c r="R306">
        <v>4426.82</v>
      </c>
      <c r="S306">
        <v>69.400000000000006</v>
      </c>
      <c r="T306">
        <v>2</v>
      </c>
      <c r="U306">
        <v>51</v>
      </c>
    </row>
    <row r="307" spans="1:21" x14ac:dyDescent="0.3">
      <c r="A307" t="s">
        <v>663</v>
      </c>
      <c r="B307">
        <v>31848</v>
      </c>
      <c r="C307" t="s">
        <v>8</v>
      </c>
      <c r="D307" t="s">
        <v>9</v>
      </c>
      <c r="E307" t="s">
        <v>35</v>
      </c>
      <c r="F307" t="s">
        <v>664</v>
      </c>
      <c r="G307">
        <v>45801</v>
      </c>
      <c r="I307">
        <v>45802</v>
      </c>
      <c r="J307" t="s">
        <v>72</v>
      </c>
      <c r="K307" t="s">
        <v>22</v>
      </c>
      <c r="L307" t="s">
        <v>64</v>
      </c>
      <c r="M307" t="s">
        <v>1161</v>
      </c>
      <c r="N307" t="s">
        <v>15</v>
      </c>
      <c r="O307" t="s">
        <v>16</v>
      </c>
      <c r="P307">
        <v>5335.32</v>
      </c>
      <c r="Q307">
        <v>1542.63</v>
      </c>
      <c r="R307">
        <v>493.95</v>
      </c>
      <c r="S307">
        <v>1474.16</v>
      </c>
      <c r="T307">
        <v>2</v>
      </c>
      <c r="U307">
        <v>39</v>
      </c>
    </row>
    <row r="308" spans="1:21" x14ac:dyDescent="0.3">
      <c r="A308" t="s">
        <v>665</v>
      </c>
      <c r="B308">
        <v>34930</v>
      </c>
      <c r="C308" t="s">
        <v>8</v>
      </c>
      <c r="D308" t="s">
        <v>139</v>
      </c>
      <c r="E308" t="s">
        <v>62</v>
      </c>
      <c r="F308" t="s">
        <v>666</v>
      </c>
      <c r="G308">
        <v>45647</v>
      </c>
      <c r="I308">
        <v>45657</v>
      </c>
      <c r="J308" t="s">
        <v>100</v>
      </c>
      <c r="K308" t="s">
        <v>44</v>
      </c>
      <c r="L308" t="s">
        <v>30</v>
      </c>
      <c r="M308" t="s">
        <v>1147</v>
      </c>
      <c r="N308" t="s">
        <v>65</v>
      </c>
      <c r="O308" t="s">
        <v>51</v>
      </c>
      <c r="P308">
        <v>1859.37</v>
      </c>
      <c r="Q308">
        <v>2028.09</v>
      </c>
      <c r="R308">
        <v>184.03</v>
      </c>
      <c r="S308">
        <v>1413.71</v>
      </c>
      <c r="T308">
        <v>9</v>
      </c>
      <c r="U308">
        <v>30</v>
      </c>
    </row>
    <row r="309" spans="1:21" x14ac:dyDescent="0.3">
      <c r="A309" t="s">
        <v>667</v>
      </c>
      <c r="B309">
        <v>19520</v>
      </c>
      <c r="C309" t="s">
        <v>18</v>
      </c>
      <c r="D309" t="s">
        <v>9</v>
      </c>
      <c r="E309" t="s">
        <v>10</v>
      </c>
      <c r="F309" t="s">
        <v>668</v>
      </c>
      <c r="G309">
        <v>45806</v>
      </c>
      <c r="I309">
        <v>45824</v>
      </c>
      <c r="J309" t="s">
        <v>114</v>
      </c>
      <c r="K309" t="s">
        <v>22</v>
      </c>
      <c r="L309" t="s">
        <v>23</v>
      </c>
      <c r="M309" t="s">
        <v>1147</v>
      </c>
      <c r="N309" t="s">
        <v>15</v>
      </c>
      <c r="O309" t="s">
        <v>51</v>
      </c>
      <c r="P309">
        <v>12498.93</v>
      </c>
      <c r="Q309">
        <v>898.21</v>
      </c>
      <c r="R309">
        <v>4849.92</v>
      </c>
      <c r="S309">
        <v>1601.98</v>
      </c>
      <c r="T309">
        <v>1</v>
      </c>
      <c r="U309">
        <v>73</v>
      </c>
    </row>
    <row r="310" spans="1:21" x14ac:dyDescent="0.3">
      <c r="A310" t="s">
        <v>669</v>
      </c>
      <c r="B310">
        <v>29321</v>
      </c>
      <c r="C310" t="s">
        <v>8</v>
      </c>
      <c r="D310" t="s">
        <v>139</v>
      </c>
      <c r="E310" t="s">
        <v>75</v>
      </c>
      <c r="F310" t="s">
        <v>670</v>
      </c>
      <c r="G310">
        <v>45604</v>
      </c>
      <c r="I310">
        <v>45607</v>
      </c>
      <c r="J310" t="s">
        <v>12</v>
      </c>
      <c r="K310" t="s">
        <v>37</v>
      </c>
      <c r="L310" t="s">
        <v>73</v>
      </c>
      <c r="M310" t="s">
        <v>1161</v>
      </c>
      <c r="N310" t="s">
        <v>65</v>
      </c>
      <c r="O310" t="s">
        <v>51</v>
      </c>
      <c r="P310">
        <v>13023.59</v>
      </c>
      <c r="Q310">
        <v>1667.24</v>
      </c>
      <c r="R310">
        <v>2655.66</v>
      </c>
      <c r="S310">
        <v>1233.6099999999999</v>
      </c>
      <c r="T310">
        <v>7</v>
      </c>
      <c r="U310">
        <v>46</v>
      </c>
    </row>
    <row r="311" spans="1:21" x14ac:dyDescent="0.3">
      <c r="A311" t="s">
        <v>671</v>
      </c>
      <c r="B311">
        <v>17719</v>
      </c>
      <c r="C311" t="s">
        <v>47</v>
      </c>
      <c r="D311" t="s">
        <v>67</v>
      </c>
      <c r="E311" t="s">
        <v>54</v>
      </c>
      <c r="F311" t="s">
        <v>672</v>
      </c>
      <c r="G311">
        <v>45704</v>
      </c>
      <c r="I311">
        <v>45705</v>
      </c>
      <c r="J311" t="s">
        <v>1153</v>
      </c>
      <c r="K311" t="s">
        <v>37</v>
      </c>
      <c r="L311" t="s">
        <v>45</v>
      </c>
      <c r="M311" t="s">
        <v>1152</v>
      </c>
      <c r="N311" t="s">
        <v>50</v>
      </c>
      <c r="O311" t="s">
        <v>16</v>
      </c>
      <c r="P311">
        <v>10448.42</v>
      </c>
      <c r="Q311">
        <v>280.47000000000003</v>
      </c>
      <c r="R311">
        <v>4170.6400000000003</v>
      </c>
      <c r="S311">
        <v>1886.78</v>
      </c>
      <c r="T311">
        <v>5</v>
      </c>
      <c r="U311">
        <v>77</v>
      </c>
    </row>
    <row r="312" spans="1:21" x14ac:dyDescent="0.3">
      <c r="A312" t="s">
        <v>673</v>
      </c>
      <c r="B312">
        <v>31191</v>
      </c>
      <c r="C312" t="s">
        <v>47</v>
      </c>
      <c r="D312" t="s">
        <v>57</v>
      </c>
      <c r="E312" t="s">
        <v>68</v>
      </c>
      <c r="F312" t="s">
        <v>674</v>
      </c>
      <c r="G312">
        <v>45298</v>
      </c>
      <c r="I312">
        <v>45314</v>
      </c>
      <c r="J312" t="s">
        <v>21</v>
      </c>
      <c r="K312" t="s">
        <v>13</v>
      </c>
      <c r="L312" t="s">
        <v>23</v>
      </c>
      <c r="M312" t="s">
        <v>1150</v>
      </c>
      <c r="N312" t="s">
        <v>24</v>
      </c>
      <c r="O312" t="s">
        <v>31</v>
      </c>
      <c r="P312">
        <v>14574.76</v>
      </c>
      <c r="Q312">
        <v>736.38</v>
      </c>
      <c r="R312">
        <v>3782.93</v>
      </c>
      <c r="S312">
        <v>1289.1600000000001</v>
      </c>
      <c r="T312">
        <v>2</v>
      </c>
      <c r="U312">
        <v>41</v>
      </c>
    </row>
    <row r="313" spans="1:21" x14ac:dyDescent="0.3">
      <c r="A313" t="s">
        <v>675</v>
      </c>
      <c r="B313">
        <v>20541</v>
      </c>
      <c r="C313" t="s">
        <v>8</v>
      </c>
      <c r="D313" t="s">
        <v>53</v>
      </c>
      <c r="E313" t="s">
        <v>10</v>
      </c>
      <c r="F313" t="s">
        <v>676</v>
      </c>
      <c r="G313">
        <v>45965</v>
      </c>
      <c r="I313">
        <v>45973</v>
      </c>
      <c r="J313" t="s">
        <v>114</v>
      </c>
      <c r="K313" t="s">
        <v>37</v>
      </c>
      <c r="L313" t="s">
        <v>30</v>
      </c>
      <c r="M313" t="s">
        <v>1156</v>
      </c>
      <c r="N313" t="s">
        <v>65</v>
      </c>
      <c r="O313" t="s">
        <v>51</v>
      </c>
      <c r="P313">
        <v>10133.43</v>
      </c>
      <c r="Q313">
        <v>2048.0500000000002</v>
      </c>
      <c r="R313">
        <v>4885.28</v>
      </c>
      <c r="S313">
        <v>1373.52</v>
      </c>
      <c r="T313">
        <v>5</v>
      </c>
      <c r="U313">
        <v>70</v>
      </c>
    </row>
    <row r="314" spans="1:21" x14ac:dyDescent="0.3">
      <c r="A314" t="s">
        <v>677</v>
      </c>
      <c r="B314">
        <v>37777</v>
      </c>
      <c r="C314" t="s">
        <v>47</v>
      </c>
      <c r="D314" t="s">
        <v>78</v>
      </c>
      <c r="E314" t="s">
        <v>41</v>
      </c>
      <c r="F314" t="s">
        <v>678</v>
      </c>
      <c r="G314">
        <v>45771</v>
      </c>
      <c r="I314">
        <v>45786</v>
      </c>
      <c r="J314" t="s">
        <v>1141</v>
      </c>
      <c r="K314" t="s">
        <v>44</v>
      </c>
      <c r="L314" t="s">
        <v>30</v>
      </c>
      <c r="M314" t="s">
        <v>1158</v>
      </c>
      <c r="N314" t="s">
        <v>15</v>
      </c>
      <c r="O314" t="s">
        <v>51</v>
      </c>
      <c r="P314">
        <v>2533.16</v>
      </c>
      <c r="Q314">
        <v>1565.06</v>
      </c>
      <c r="R314">
        <v>4099.6499999999996</v>
      </c>
      <c r="S314">
        <v>1016.29</v>
      </c>
      <c r="T314">
        <v>9</v>
      </c>
      <c r="U314">
        <v>23</v>
      </c>
    </row>
    <row r="315" spans="1:21" x14ac:dyDescent="0.3">
      <c r="A315" t="s">
        <v>679</v>
      </c>
      <c r="B315">
        <v>19704</v>
      </c>
      <c r="C315" t="s">
        <v>33</v>
      </c>
      <c r="D315" t="s">
        <v>34</v>
      </c>
      <c r="E315" t="s">
        <v>102</v>
      </c>
      <c r="F315" t="s">
        <v>680</v>
      </c>
      <c r="G315">
        <v>45894</v>
      </c>
      <c r="I315">
        <v>45913</v>
      </c>
      <c r="J315" t="s">
        <v>29</v>
      </c>
      <c r="K315" t="s">
        <v>13</v>
      </c>
      <c r="L315" t="s">
        <v>14</v>
      </c>
      <c r="M315" t="s">
        <v>1157</v>
      </c>
      <c r="N315" t="s">
        <v>24</v>
      </c>
      <c r="O315" t="s">
        <v>31</v>
      </c>
      <c r="P315">
        <v>2412.42</v>
      </c>
      <c r="Q315">
        <v>236.95</v>
      </c>
      <c r="R315">
        <v>741.15</v>
      </c>
      <c r="S315">
        <v>816.33</v>
      </c>
      <c r="T315">
        <v>3</v>
      </c>
      <c r="U315">
        <v>72</v>
      </c>
    </row>
    <row r="316" spans="1:21" x14ac:dyDescent="0.3">
      <c r="A316" t="s">
        <v>681</v>
      </c>
      <c r="B316">
        <v>23796</v>
      </c>
      <c r="C316" t="s">
        <v>33</v>
      </c>
      <c r="D316" t="s">
        <v>57</v>
      </c>
      <c r="E316" t="s">
        <v>102</v>
      </c>
      <c r="F316" t="s">
        <v>682</v>
      </c>
      <c r="G316">
        <v>45752</v>
      </c>
      <c r="I316">
        <v>45765</v>
      </c>
      <c r="J316" t="s">
        <v>114</v>
      </c>
      <c r="K316" t="s">
        <v>37</v>
      </c>
      <c r="L316" t="s">
        <v>45</v>
      </c>
      <c r="M316" t="s">
        <v>1157</v>
      </c>
      <c r="N316" t="s">
        <v>50</v>
      </c>
      <c r="O316" t="s">
        <v>51</v>
      </c>
      <c r="P316">
        <v>944.56</v>
      </c>
      <c r="Q316">
        <v>876.25</v>
      </c>
      <c r="R316">
        <v>3498.83</v>
      </c>
      <c r="S316">
        <v>1793.6</v>
      </c>
      <c r="T316">
        <v>8</v>
      </c>
      <c r="U316">
        <v>61</v>
      </c>
    </row>
    <row r="317" spans="1:21" x14ac:dyDescent="0.3">
      <c r="A317" t="s">
        <v>683</v>
      </c>
      <c r="B317">
        <v>20929</v>
      </c>
      <c r="C317" t="s">
        <v>8</v>
      </c>
      <c r="D317" t="s">
        <v>27</v>
      </c>
      <c r="E317" t="s">
        <v>19</v>
      </c>
      <c r="F317" t="s">
        <v>684</v>
      </c>
      <c r="G317">
        <v>45777</v>
      </c>
      <c r="I317">
        <v>45794</v>
      </c>
      <c r="J317" t="s">
        <v>29</v>
      </c>
      <c r="K317" t="s">
        <v>22</v>
      </c>
      <c r="L317" t="s">
        <v>73</v>
      </c>
      <c r="M317" t="s">
        <v>1150</v>
      </c>
      <c r="N317" t="s">
        <v>24</v>
      </c>
      <c r="O317" t="s">
        <v>51</v>
      </c>
      <c r="P317">
        <v>14319.38</v>
      </c>
      <c r="Q317">
        <v>368.89</v>
      </c>
      <c r="R317">
        <v>3037.8</v>
      </c>
      <c r="S317">
        <v>1811.89</v>
      </c>
      <c r="T317">
        <v>7</v>
      </c>
      <c r="U317">
        <v>69</v>
      </c>
    </row>
    <row r="318" spans="1:21" x14ac:dyDescent="0.3">
      <c r="A318" t="s">
        <v>685</v>
      </c>
      <c r="B318">
        <v>29136</v>
      </c>
      <c r="C318" t="s">
        <v>18</v>
      </c>
      <c r="D318" t="s">
        <v>34</v>
      </c>
      <c r="E318" t="s">
        <v>58</v>
      </c>
      <c r="F318" t="s">
        <v>686</v>
      </c>
      <c r="G318">
        <v>45822</v>
      </c>
      <c r="I318">
        <v>45842</v>
      </c>
      <c r="J318" t="s">
        <v>104</v>
      </c>
      <c r="K318" t="s">
        <v>37</v>
      </c>
      <c r="L318" t="s">
        <v>45</v>
      </c>
      <c r="M318" t="s">
        <v>1156</v>
      </c>
      <c r="N318" t="s">
        <v>65</v>
      </c>
      <c r="O318" t="s">
        <v>31</v>
      </c>
      <c r="P318">
        <v>14647</v>
      </c>
      <c r="Q318">
        <v>2484.1</v>
      </c>
      <c r="R318">
        <v>423.58</v>
      </c>
      <c r="S318">
        <v>211.5</v>
      </c>
      <c r="T318">
        <v>0</v>
      </c>
      <c r="U318">
        <v>46</v>
      </c>
    </row>
    <row r="319" spans="1:21" x14ac:dyDescent="0.3">
      <c r="A319" t="s">
        <v>687</v>
      </c>
      <c r="B319">
        <v>38420</v>
      </c>
      <c r="C319" t="s">
        <v>18</v>
      </c>
      <c r="D319" t="s">
        <v>57</v>
      </c>
      <c r="E319" t="s">
        <v>54</v>
      </c>
      <c r="F319" t="s">
        <v>688</v>
      </c>
      <c r="G319">
        <v>45334</v>
      </c>
      <c r="I319">
        <v>45338</v>
      </c>
      <c r="J319" t="s">
        <v>43</v>
      </c>
      <c r="K319" t="s">
        <v>37</v>
      </c>
      <c r="L319" t="s">
        <v>15</v>
      </c>
      <c r="M319" t="s">
        <v>1161</v>
      </c>
      <c r="N319" t="s">
        <v>50</v>
      </c>
      <c r="P319">
        <v>8241.34</v>
      </c>
      <c r="Q319">
        <v>1864.76</v>
      </c>
      <c r="R319">
        <v>4614.78</v>
      </c>
      <c r="S319">
        <v>921.9</v>
      </c>
      <c r="T319">
        <v>4</v>
      </c>
      <c r="U319">
        <v>21</v>
      </c>
    </row>
    <row r="320" spans="1:21" x14ac:dyDescent="0.3">
      <c r="A320" t="s">
        <v>689</v>
      </c>
      <c r="B320">
        <v>20985</v>
      </c>
      <c r="C320" t="s">
        <v>18</v>
      </c>
      <c r="D320" t="s">
        <v>126</v>
      </c>
      <c r="E320" t="s">
        <v>19</v>
      </c>
      <c r="F320" t="s">
        <v>690</v>
      </c>
      <c r="G320">
        <v>45351</v>
      </c>
      <c r="I320">
        <v>45359</v>
      </c>
      <c r="J320" t="s">
        <v>1165</v>
      </c>
      <c r="K320" t="s">
        <v>37</v>
      </c>
      <c r="L320" t="s">
        <v>64</v>
      </c>
      <c r="M320" t="s">
        <v>1154</v>
      </c>
      <c r="N320" t="s">
        <v>50</v>
      </c>
      <c r="O320" t="s">
        <v>31</v>
      </c>
      <c r="R320">
        <v>3405.87</v>
      </c>
      <c r="S320">
        <v>302.83</v>
      </c>
      <c r="T320">
        <v>9</v>
      </c>
      <c r="U320">
        <v>68</v>
      </c>
    </row>
    <row r="321" spans="1:21" x14ac:dyDescent="0.3">
      <c r="A321" t="s">
        <v>691</v>
      </c>
      <c r="B321">
        <v>38602</v>
      </c>
      <c r="C321" t="s">
        <v>47</v>
      </c>
      <c r="D321" t="s">
        <v>126</v>
      </c>
      <c r="E321" t="s">
        <v>75</v>
      </c>
      <c r="F321" t="s">
        <v>692</v>
      </c>
      <c r="G321">
        <v>45798</v>
      </c>
      <c r="I321">
        <v>45810</v>
      </c>
      <c r="J321" t="s">
        <v>72</v>
      </c>
      <c r="K321" t="s">
        <v>44</v>
      </c>
      <c r="L321" t="s">
        <v>23</v>
      </c>
      <c r="M321" t="s">
        <v>1152</v>
      </c>
      <c r="N321" t="s">
        <v>50</v>
      </c>
      <c r="O321" t="s">
        <v>25</v>
      </c>
      <c r="P321">
        <v>6237.91</v>
      </c>
      <c r="Q321">
        <v>2337.27</v>
      </c>
      <c r="R321">
        <v>1838.27</v>
      </c>
      <c r="S321">
        <v>1544.82</v>
      </c>
      <c r="T321">
        <v>4</v>
      </c>
      <c r="U321">
        <v>20</v>
      </c>
    </row>
    <row r="322" spans="1:21" x14ac:dyDescent="0.3">
      <c r="A322" t="s">
        <v>693</v>
      </c>
      <c r="B322">
        <v>22265</v>
      </c>
      <c r="C322" t="s">
        <v>33</v>
      </c>
      <c r="D322" t="s">
        <v>139</v>
      </c>
      <c r="E322" t="s">
        <v>58</v>
      </c>
      <c r="F322" t="s">
        <v>694</v>
      </c>
      <c r="G322">
        <v>45957</v>
      </c>
      <c r="I322">
        <v>45972</v>
      </c>
      <c r="J322" t="s">
        <v>1173</v>
      </c>
      <c r="K322" t="s">
        <v>44</v>
      </c>
      <c r="L322" t="s">
        <v>15</v>
      </c>
      <c r="M322" t="s">
        <v>1159</v>
      </c>
      <c r="N322" t="s">
        <v>15</v>
      </c>
      <c r="O322" t="s">
        <v>31</v>
      </c>
      <c r="P322">
        <v>9276.26</v>
      </c>
      <c r="Q322">
        <v>1184.8</v>
      </c>
      <c r="R322">
        <v>2602.13</v>
      </c>
      <c r="S322">
        <v>1599.39</v>
      </c>
      <c r="T322">
        <v>7</v>
      </c>
      <c r="U322">
        <v>65</v>
      </c>
    </row>
    <row r="323" spans="1:21" x14ac:dyDescent="0.3">
      <c r="A323" t="s">
        <v>695</v>
      </c>
      <c r="B323">
        <v>38133</v>
      </c>
      <c r="C323" t="s">
        <v>8</v>
      </c>
      <c r="D323" t="s">
        <v>57</v>
      </c>
      <c r="E323" t="s">
        <v>68</v>
      </c>
      <c r="F323" t="s">
        <v>696</v>
      </c>
      <c r="G323">
        <v>45897</v>
      </c>
      <c r="I323">
        <v>45904</v>
      </c>
      <c r="J323" t="s">
        <v>43</v>
      </c>
      <c r="K323" t="s">
        <v>13</v>
      </c>
      <c r="L323" t="s">
        <v>38</v>
      </c>
      <c r="M323" t="s">
        <v>1150</v>
      </c>
      <c r="N323" t="s">
        <v>50</v>
      </c>
      <c r="O323" t="s">
        <v>16</v>
      </c>
      <c r="P323">
        <v>1028.7</v>
      </c>
      <c r="Q323">
        <v>1879.26</v>
      </c>
      <c r="R323">
        <v>2355.5500000000002</v>
      </c>
      <c r="S323">
        <v>569.57000000000005</v>
      </c>
      <c r="T323">
        <v>1</v>
      </c>
      <c r="U323">
        <v>22</v>
      </c>
    </row>
    <row r="324" spans="1:21" x14ac:dyDescent="0.3">
      <c r="A324" t="s">
        <v>697</v>
      </c>
      <c r="B324">
        <v>29769</v>
      </c>
      <c r="C324" t="s">
        <v>47</v>
      </c>
      <c r="D324" t="s">
        <v>139</v>
      </c>
      <c r="E324" t="s">
        <v>58</v>
      </c>
      <c r="F324" t="s">
        <v>698</v>
      </c>
      <c r="G324">
        <v>45922</v>
      </c>
      <c r="I324">
        <v>45931</v>
      </c>
      <c r="J324" t="s">
        <v>29</v>
      </c>
      <c r="K324" t="s">
        <v>44</v>
      </c>
      <c r="L324" t="s">
        <v>15</v>
      </c>
      <c r="M324" t="s">
        <v>1157</v>
      </c>
      <c r="N324" t="s">
        <v>65</v>
      </c>
      <c r="O324" t="s">
        <v>31</v>
      </c>
      <c r="P324">
        <v>5926.04</v>
      </c>
      <c r="Q324">
        <v>589.69000000000005</v>
      </c>
      <c r="R324">
        <v>4648.3999999999996</v>
      </c>
      <c r="S324">
        <v>173.02</v>
      </c>
      <c r="T324">
        <v>6</v>
      </c>
      <c r="U324">
        <v>44</v>
      </c>
    </row>
    <row r="325" spans="1:21" x14ac:dyDescent="0.3">
      <c r="A325" t="s">
        <v>699</v>
      </c>
      <c r="B325">
        <v>22498</v>
      </c>
      <c r="C325" t="s">
        <v>47</v>
      </c>
      <c r="D325" t="s">
        <v>57</v>
      </c>
      <c r="E325" t="s">
        <v>102</v>
      </c>
      <c r="F325" t="s">
        <v>700</v>
      </c>
      <c r="G325">
        <v>45524</v>
      </c>
      <c r="I325">
        <v>45530</v>
      </c>
      <c r="J325" t="s">
        <v>114</v>
      </c>
      <c r="K325" t="s">
        <v>22</v>
      </c>
      <c r="L325" t="s">
        <v>73</v>
      </c>
      <c r="M325" t="s">
        <v>1147</v>
      </c>
      <c r="N325" t="s">
        <v>50</v>
      </c>
      <c r="O325" t="s">
        <v>51</v>
      </c>
      <c r="P325">
        <v>6338.16</v>
      </c>
      <c r="Q325">
        <v>583.46</v>
      </c>
      <c r="R325">
        <v>4296.38</v>
      </c>
      <c r="S325">
        <v>1069.8699999999999</v>
      </c>
      <c r="T325">
        <v>3</v>
      </c>
      <c r="U325">
        <v>64</v>
      </c>
    </row>
    <row r="326" spans="1:21" x14ac:dyDescent="0.3">
      <c r="A326" t="s">
        <v>701</v>
      </c>
      <c r="B326">
        <v>29764</v>
      </c>
      <c r="C326" t="s">
        <v>33</v>
      </c>
      <c r="D326" t="s">
        <v>67</v>
      </c>
      <c r="E326" t="s">
        <v>54</v>
      </c>
      <c r="F326" t="s">
        <v>702</v>
      </c>
      <c r="G326">
        <v>45989</v>
      </c>
      <c r="I326">
        <v>46003</v>
      </c>
      <c r="J326" t="s">
        <v>100</v>
      </c>
      <c r="K326" t="s">
        <v>44</v>
      </c>
      <c r="L326" t="s">
        <v>73</v>
      </c>
      <c r="M326" t="s">
        <v>1162</v>
      </c>
      <c r="N326" t="s">
        <v>50</v>
      </c>
      <c r="O326" t="s">
        <v>51</v>
      </c>
      <c r="P326">
        <v>14051.11</v>
      </c>
      <c r="Q326">
        <v>183.65</v>
      </c>
      <c r="R326">
        <v>4341.3500000000004</v>
      </c>
      <c r="S326">
        <v>1496.2</v>
      </c>
      <c r="T326">
        <v>6</v>
      </c>
      <c r="U326">
        <v>44</v>
      </c>
    </row>
    <row r="327" spans="1:21" x14ac:dyDescent="0.3">
      <c r="A327" t="s">
        <v>703</v>
      </c>
      <c r="B327">
        <v>36070</v>
      </c>
      <c r="C327" t="s">
        <v>47</v>
      </c>
      <c r="D327" t="s">
        <v>57</v>
      </c>
      <c r="E327" t="s">
        <v>58</v>
      </c>
      <c r="F327" t="s">
        <v>704</v>
      </c>
      <c r="G327">
        <v>45964</v>
      </c>
      <c r="I327">
        <v>45969</v>
      </c>
      <c r="J327" t="s">
        <v>111</v>
      </c>
      <c r="K327" t="s">
        <v>22</v>
      </c>
      <c r="L327" t="s">
        <v>30</v>
      </c>
      <c r="M327" t="s">
        <v>1150</v>
      </c>
      <c r="N327" t="s">
        <v>24</v>
      </c>
      <c r="O327" t="s">
        <v>31</v>
      </c>
      <c r="P327">
        <v>4826.68</v>
      </c>
      <c r="Q327">
        <v>1025.54</v>
      </c>
      <c r="R327">
        <v>3088.09</v>
      </c>
      <c r="S327">
        <v>701.41</v>
      </c>
      <c r="T327">
        <v>10</v>
      </c>
      <c r="U327">
        <v>27</v>
      </c>
    </row>
    <row r="328" spans="1:21" x14ac:dyDescent="0.3">
      <c r="A328" t="s">
        <v>705</v>
      </c>
      <c r="B328">
        <v>27012</v>
      </c>
      <c r="C328" t="s">
        <v>18</v>
      </c>
      <c r="D328" t="s">
        <v>57</v>
      </c>
      <c r="E328" t="s">
        <v>102</v>
      </c>
      <c r="F328" t="s">
        <v>706</v>
      </c>
      <c r="G328">
        <v>45662</v>
      </c>
      <c r="I328">
        <v>45665</v>
      </c>
      <c r="J328" t="s">
        <v>29</v>
      </c>
      <c r="K328" t="s">
        <v>22</v>
      </c>
      <c r="L328" t="s">
        <v>64</v>
      </c>
      <c r="M328" t="s">
        <v>1154</v>
      </c>
      <c r="N328" t="s">
        <v>65</v>
      </c>
      <c r="O328" t="s">
        <v>25</v>
      </c>
      <c r="P328">
        <v>2243.5</v>
      </c>
      <c r="Q328">
        <v>2774.42</v>
      </c>
      <c r="R328">
        <v>4335.32</v>
      </c>
      <c r="S328">
        <v>1223.71</v>
      </c>
      <c r="T328">
        <v>4</v>
      </c>
      <c r="U328">
        <v>52</v>
      </c>
    </row>
    <row r="329" spans="1:21" x14ac:dyDescent="0.3">
      <c r="A329" t="s">
        <v>707</v>
      </c>
      <c r="B329">
        <v>37104</v>
      </c>
      <c r="C329" t="s">
        <v>47</v>
      </c>
      <c r="D329" t="s">
        <v>78</v>
      </c>
      <c r="E329" t="s">
        <v>35</v>
      </c>
      <c r="F329" t="s">
        <v>708</v>
      </c>
      <c r="G329">
        <v>45462</v>
      </c>
      <c r="I329">
        <v>45466</v>
      </c>
      <c r="J329" t="s">
        <v>111</v>
      </c>
      <c r="K329" t="s">
        <v>13</v>
      </c>
      <c r="L329" t="s">
        <v>45</v>
      </c>
      <c r="M329" t="s">
        <v>1158</v>
      </c>
      <c r="N329" t="s">
        <v>65</v>
      </c>
      <c r="O329" t="s">
        <v>16</v>
      </c>
      <c r="P329">
        <v>6915.43</v>
      </c>
      <c r="Q329">
        <v>475.64</v>
      </c>
      <c r="R329">
        <v>2916.15</v>
      </c>
      <c r="S329">
        <v>1287.3900000000001</v>
      </c>
      <c r="T329">
        <v>0</v>
      </c>
      <c r="U329">
        <v>24</v>
      </c>
    </row>
    <row r="330" spans="1:21" x14ac:dyDescent="0.3">
      <c r="A330" t="s">
        <v>709</v>
      </c>
      <c r="B330">
        <v>33770</v>
      </c>
      <c r="C330" t="s">
        <v>47</v>
      </c>
      <c r="D330" t="s">
        <v>61</v>
      </c>
      <c r="E330" t="s">
        <v>54</v>
      </c>
      <c r="F330" t="s">
        <v>710</v>
      </c>
      <c r="G330">
        <v>45710</v>
      </c>
      <c r="I330">
        <v>45725</v>
      </c>
      <c r="J330" t="s">
        <v>111</v>
      </c>
      <c r="K330" t="s">
        <v>13</v>
      </c>
      <c r="L330" t="s">
        <v>23</v>
      </c>
      <c r="M330" t="s">
        <v>1152</v>
      </c>
      <c r="N330" t="s">
        <v>24</v>
      </c>
      <c r="O330" t="s">
        <v>51</v>
      </c>
      <c r="P330">
        <v>13260.9</v>
      </c>
      <c r="Q330">
        <v>873.37</v>
      </c>
      <c r="R330">
        <v>2584.33</v>
      </c>
      <c r="S330">
        <v>146.21</v>
      </c>
      <c r="T330">
        <v>10</v>
      </c>
      <c r="U330">
        <v>33</v>
      </c>
    </row>
    <row r="331" spans="1:21" x14ac:dyDescent="0.3">
      <c r="A331" t="s">
        <v>711</v>
      </c>
      <c r="B331">
        <v>23934</v>
      </c>
      <c r="C331" t="s">
        <v>18</v>
      </c>
      <c r="D331" t="s">
        <v>27</v>
      </c>
      <c r="E331" t="s">
        <v>62</v>
      </c>
      <c r="F331" t="s">
        <v>712</v>
      </c>
      <c r="G331">
        <v>45474</v>
      </c>
      <c r="I331">
        <v>45479</v>
      </c>
      <c r="J331" t="s">
        <v>43</v>
      </c>
      <c r="K331" t="s">
        <v>22</v>
      </c>
      <c r="L331" t="s">
        <v>30</v>
      </c>
      <c r="M331" t="s">
        <v>1147</v>
      </c>
      <c r="N331" t="s">
        <v>65</v>
      </c>
      <c r="O331" t="s">
        <v>51</v>
      </c>
      <c r="P331">
        <v>4961.43</v>
      </c>
      <c r="Q331">
        <v>1864.91</v>
      </c>
      <c r="R331">
        <v>1264.5999999999999</v>
      </c>
      <c r="S331">
        <v>1191.94</v>
      </c>
      <c r="T331">
        <v>10</v>
      </c>
      <c r="U331">
        <v>60</v>
      </c>
    </row>
    <row r="332" spans="1:21" x14ac:dyDescent="0.3">
      <c r="A332" t="s">
        <v>713</v>
      </c>
      <c r="B332">
        <v>30334</v>
      </c>
      <c r="C332" t="s">
        <v>33</v>
      </c>
      <c r="D332" t="s">
        <v>67</v>
      </c>
      <c r="E332" t="s">
        <v>19</v>
      </c>
      <c r="F332" t="s">
        <v>714</v>
      </c>
      <c r="G332">
        <v>45842</v>
      </c>
      <c r="I332">
        <v>45849</v>
      </c>
      <c r="J332" t="s">
        <v>43</v>
      </c>
      <c r="K332" t="s">
        <v>37</v>
      </c>
      <c r="L332" t="s">
        <v>23</v>
      </c>
      <c r="M332" t="s">
        <v>1158</v>
      </c>
      <c r="N332" t="s">
        <v>65</v>
      </c>
      <c r="O332" t="s">
        <v>25</v>
      </c>
      <c r="P332">
        <v>7098.64</v>
      </c>
      <c r="Q332">
        <v>910.18</v>
      </c>
      <c r="R332">
        <v>1994.74</v>
      </c>
      <c r="S332">
        <v>696.84</v>
      </c>
      <c r="T332">
        <v>10</v>
      </c>
      <c r="U332">
        <v>43</v>
      </c>
    </row>
    <row r="333" spans="1:21" x14ac:dyDescent="0.3">
      <c r="A333" t="s">
        <v>715</v>
      </c>
      <c r="B333">
        <v>27357</v>
      </c>
      <c r="C333" t="s">
        <v>47</v>
      </c>
      <c r="D333" t="s">
        <v>9</v>
      </c>
      <c r="E333" t="s">
        <v>58</v>
      </c>
      <c r="F333" t="s">
        <v>716</v>
      </c>
      <c r="G333">
        <v>45817</v>
      </c>
      <c r="I333">
        <v>45820</v>
      </c>
      <c r="J333" t="s">
        <v>1160</v>
      </c>
      <c r="K333" t="s">
        <v>44</v>
      </c>
      <c r="L333" t="s">
        <v>30</v>
      </c>
      <c r="M333" t="s">
        <v>1156</v>
      </c>
      <c r="N333" t="s">
        <v>50</v>
      </c>
      <c r="O333" t="s">
        <v>31</v>
      </c>
      <c r="P333">
        <v>9251.8700000000008</v>
      </c>
      <c r="Q333">
        <v>3017.42</v>
      </c>
      <c r="R333">
        <v>4197.26</v>
      </c>
      <c r="S333">
        <v>457.74</v>
      </c>
      <c r="T333">
        <v>6</v>
      </c>
      <c r="U333">
        <v>51</v>
      </c>
    </row>
    <row r="334" spans="1:21" x14ac:dyDescent="0.3">
      <c r="A334" t="s">
        <v>717</v>
      </c>
      <c r="B334">
        <v>16621</v>
      </c>
      <c r="C334" t="s">
        <v>18</v>
      </c>
      <c r="D334" t="s">
        <v>67</v>
      </c>
      <c r="E334" t="s">
        <v>102</v>
      </c>
      <c r="F334" t="s">
        <v>718</v>
      </c>
      <c r="G334">
        <v>45794</v>
      </c>
      <c r="I334">
        <v>45812</v>
      </c>
      <c r="J334" t="s">
        <v>21</v>
      </c>
      <c r="K334" t="s">
        <v>13</v>
      </c>
      <c r="L334" t="s">
        <v>64</v>
      </c>
      <c r="M334" t="s">
        <v>1152</v>
      </c>
      <c r="N334" t="s">
        <v>15</v>
      </c>
      <c r="O334" t="s">
        <v>16</v>
      </c>
      <c r="P334">
        <v>5436.53</v>
      </c>
      <c r="Q334">
        <v>2893.31</v>
      </c>
      <c r="R334">
        <v>1116.29</v>
      </c>
      <c r="S334">
        <v>1893.75</v>
      </c>
      <c r="T334">
        <v>7</v>
      </c>
      <c r="U334">
        <v>80</v>
      </c>
    </row>
    <row r="335" spans="1:21" x14ac:dyDescent="0.3">
      <c r="A335" t="s">
        <v>719</v>
      </c>
      <c r="B335">
        <v>26823</v>
      </c>
      <c r="C335" t="s">
        <v>33</v>
      </c>
      <c r="D335" t="s">
        <v>61</v>
      </c>
      <c r="E335" t="s">
        <v>10</v>
      </c>
      <c r="F335" t="s">
        <v>720</v>
      </c>
      <c r="G335">
        <v>45970</v>
      </c>
      <c r="I335">
        <v>45984</v>
      </c>
      <c r="J335" t="s">
        <v>100</v>
      </c>
      <c r="K335" t="s">
        <v>44</v>
      </c>
      <c r="L335" t="s">
        <v>15</v>
      </c>
      <c r="M335" t="s">
        <v>1157</v>
      </c>
      <c r="N335" t="s">
        <v>24</v>
      </c>
      <c r="O335" t="s">
        <v>31</v>
      </c>
      <c r="P335">
        <v>5460.99</v>
      </c>
      <c r="Q335">
        <v>1542.7</v>
      </c>
      <c r="R335">
        <v>3507.14</v>
      </c>
      <c r="S335">
        <v>946.26</v>
      </c>
      <c r="T335">
        <v>3</v>
      </c>
      <c r="U335">
        <v>53</v>
      </c>
    </row>
    <row r="336" spans="1:21" x14ac:dyDescent="0.3">
      <c r="A336" t="s">
        <v>721</v>
      </c>
      <c r="B336">
        <v>22882</v>
      </c>
      <c r="C336" t="s">
        <v>47</v>
      </c>
      <c r="D336" t="s">
        <v>48</v>
      </c>
      <c r="E336" t="s">
        <v>58</v>
      </c>
      <c r="F336" t="s">
        <v>722</v>
      </c>
      <c r="G336">
        <v>45516</v>
      </c>
      <c r="I336">
        <v>45527</v>
      </c>
      <c r="J336" t="s">
        <v>43</v>
      </c>
      <c r="K336" t="s">
        <v>37</v>
      </c>
      <c r="L336" t="s">
        <v>73</v>
      </c>
      <c r="M336" t="s">
        <v>1152</v>
      </c>
      <c r="N336" t="s">
        <v>50</v>
      </c>
      <c r="O336" t="s">
        <v>51</v>
      </c>
      <c r="P336">
        <v>6967.47</v>
      </c>
      <c r="Q336">
        <v>2265.62</v>
      </c>
      <c r="R336">
        <v>1469.81</v>
      </c>
      <c r="S336">
        <v>872.99</v>
      </c>
      <c r="T336">
        <v>2</v>
      </c>
      <c r="U336">
        <v>63</v>
      </c>
    </row>
    <row r="337" spans="1:21" x14ac:dyDescent="0.3">
      <c r="A337" t="s">
        <v>723</v>
      </c>
      <c r="B337">
        <v>35136</v>
      </c>
      <c r="C337" t="s">
        <v>18</v>
      </c>
      <c r="D337" t="s">
        <v>67</v>
      </c>
      <c r="E337" t="s">
        <v>62</v>
      </c>
      <c r="F337" t="s">
        <v>724</v>
      </c>
      <c r="G337">
        <v>45631</v>
      </c>
      <c r="I337">
        <v>45645</v>
      </c>
      <c r="J337" t="s">
        <v>72</v>
      </c>
      <c r="K337" t="s">
        <v>37</v>
      </c>
      <c r="L337" t="s">
        <v>15</v>
      </c>
      <c r="M337" t="s">
        <v>1161</v>
      </c>
      <c r="N337" t="s">
        <v>50</v>
      </c>
      <c r="O337" t="s">
        <v>31</v>
      </c>
      <c r="P337">
        <v>14646.53</v>
      </c>
      <c r="Q337">
        <v>281.55</v>
      </c>
      <c r="R337">
        <v>2397.1999999999998</v>
      </c>
      <c r="S337">
        <v>179.69</v>
      </c>
      <c r="T337">
        <v>9</v>
      </c>
      <c r="U337">
        <v>30</v>
      </c>
    </row>
    <row r="338" spans="1:21" x14ac:dyDescent="0.3">
      <c r="A338" t="s">
        <v>725</v>
      </c>
      <c r="B338">
        <v>16798</v>
      </c>
      <c r="C338" t="s">
        <v>8</v>
      </c>
      <c r="D338" t="s">
        <v>67</v>
      </c>
      <c r="E338" t="s">
        <v>68</v>
      </c>
      <c r="F338" t="s">
        <v>726</v>
      </c>
      <c r="G338">
        <v>45846</v>
      </c>
      <c r="I338">
        <v>45866</v>
      </c>
      <c r="J338" t="s">
        <v>1151</v>
      </c>
      <c r="K338" t="s">
        <v>13</v>
      </c>
      <c r="L338" t="s">
        <v>15</v>
      </c>
      <c r="M338" t="s">
        <v>1158</v>
      </c>
      <c r="N338" t="s">
        <v>15</v>
      </c>
      <c r="O338" t="s">
        <v>16</v>
      </c>
      <c r="P338">
        <v>2246.25</v>
      </c>
      <c r="Q338">
        <v>928.15</v>
      </c>
      <c r="R338">
        <v>3484.1</v>
      </c>
      <c r="S338">
        <v>1023.22</v>
      </c>
      <c r="T338">
        <v>5</v>
      </c>
      <c r="U338">
        <v>80</v>
      </c>
    </row>
    <row r="339" spans="1:21" x14ac:dyDescent="0.3">
      <c r="A339" t="s">
        <v>727</v>
      </c>
      <c r="B339">
        <v>17038</v>
      </c>
      <c r="C339" t="s">
        <v>8</v>
      </c>
      <c r="D339" t="s">
        <v>78</v>
      </c>
      <c r="E339" t="s">
        <v>19</v>
      </c>
      <c r="F339" t="s">
        <v>728</v>
      </c>
      <c r="G339">
        <v>45695</v>
      </c>
      <c r="I339">
        <v>45707</v>
      </c>
      <c r="J339" t="s">
        <v>104</v>
      </c>
      <c r="K339" t="s">
        <v>44</v>
      </c>
      <c r="L339" t="s">
        <v>14</v>
      </c>
      <c r="M339" t="s">
        <v>1159</v>
      </c>
      <c r="N339" t="s">
        <v>15</v>
      </c>
      <c r="O339" t="s">
        <v>31</v>
      </c>
      <c r="P339">
        <v>11438.07</v>
      </c>
      <c r="Q339">
        <v>1754.12</v>
      </c>
      <c r="R339">
        <v>4459.3</v>
      </c>
      <c r="S339">
        <v>1218.03</v>
      </c>
      <c r="T339">
        <v>8</v>
      </c>
      <c r="U339">
        <v>79</v>
      </c>
    </row>
    <row r="340" spans="1:21" x14ac:dyDescent="0.3">
      <c r="A340" t="s">
        <v>729</v>
      </c>
      <c r="B340">
        <v>22472</v>
      </c>
      <c r="C340" t="s">
        <v>8</v>
      </c>
      <c r="D340" t="s">
        <v>9</v>
      </c>
      <c r="E340" t="s">
        <v>102</v>
      </c>
      <c r="F340" t="s">
        <v>730</v>
      </c>
      <c r="G340">
        <v>45637</v>
      </c>
      <c r="I340">
        <v>45642</v>
      </c>
      <c r="J340" t="s">
        <v>43</v>
      </c>
      <c r="K340" t="s">
        <v>37</v>
      </c>
      <c r="L340" t="s">
        <v>14</v>
      </c>
      <c r="M340" t="s">
        <v>1161</v>
      </c>
      <c r="N340" t="s">
        <v>65</v>
      </c>
      <c r="O340" t="s">
        <v>16</v>
      </c>
      <c r="P340">
        <v>6782.28</v>
      </c>
      <c r="Q340">
        <v>98.81</v>
      </c>
      <c r="R340">
        <v>227.21</v>
      </c>
      <c r="S340">
        <v>1558.07</v>
      </c>
      <c r="T340">
        <v>4</v>
      </c>
      <c r="U340">
        <v>64</v>
      </c>
    </row>
    <row r="341" spans="1:21" x14ac:dyDescent="0.3">
      <c r="A341" t="s">
        <v>731</v>
      </c>
      <c r="B341">
        <v>36558</v>
      </c>
      <c r="C341" t="s">
        <v>8</v>
      </c>
      <c r="D341" t="s">
        <v>57</v>
      </c>
      <c r="E341" t="s">
        <v>75</v>
      </c>
      <c r="F341" t="s">
        <v>732</v>
      </c>
      <c r="G341">
        <v>45726</v>
      </c>
      <c r="I341">
        <v>45742</v>
      </c>
      <c r="J341" t="s">
        <v>114</v>
      </c>
      <c r="K341" t="s">
        <v>44</v>
      </c>
      <c r="L341" t="s">
        <v>64</v>
      </c>
      <c r="M341" t="s">
        <v>1152</v>
      </c>
      <c r="N341" t="s">
        <v>24</v>
      </c>
      <c r="O341" t="s">
        <v>51</v>
      </c>
      <c r="P341">
        <v>8697.8799999999992</v>
      </c>
      <c r="Q341">
        <v>2331.81</v>
      </c>
      <c r="R341">
        <v>2896.71</v>
      </c>
      <c r="S341">
        <v>1543.81</v>
      </c>
      <c r="T341">
        <v>1</v>
      </c>
      <c r="U341">
        <v>26</v>
      </c>
    </row>
    <row r="342" spans="1:21" x14ac:dyDescent="0.3">
      <c r="A342" t="s">
        <v>733</v>
      </c>
      <c r="B342">
        <v>28851</v>
      </c>
      <c r="C342" t="s">
        <v>47</v>
      </c>
      <c r="D342" t="s">
        <v>126</v>
      </c>
      <c r="E342" t="s">
        <v>54</v>
      </c>
      <c r="F342" t="s">
        <v>734</v>
      </c>
      <c r="G342">
        <v>45777</v>
      </c>
      <c r="I342">
        <v>45778</v>
      </c>
      <c r="J342" t="s">
        <v>29</v>
      </c>
      <c r="K342" t="s">
        <v>44</v>
      </c>
      <c r="L342" t="s">
        <v>64</v>
      </c>
      <c r="M342" t="s">
        <v>1157</v>
      </c>
      <c r="N342" t="s">
        <v>50</v>
      </c>
      <c r="O342" t="s">
        <v>31</v>
      </c>
      <c r="P342">
        <v>5282.19</v>
      </c>
      <c r="Q342">
        <v>103.18</v>
      </c>
      <c r="R342">
        <v>3649.45</v>
      </c>
      <c r="S342">
        <v>664.36</v>
      </c>
      <c r="T342">
        <v>4</v>
      </c>
      <c r="U342">
        <v>47</v>
      </c>
    </row>
    <row r="343" spans="1:21" x14ac:dyDescent="0.3">
      <c r="A343" t="s">
        <v>735</v>
      </c>
      <c r="B343">
        <v>29485</v>
      </c>
      <c r="C343" t="s">
        <v>33</v>
      </c>
      <c r="D343" t="s">
        <v>34</v>
      </c>
      <c r="E343" t="s">
        <v>54</v>
      </c>
      <c r="F343" t="s">
        <v>736</v>
      </c>
      <c r="G343">
        <v>45967</v>
      </c>
      <c r="I343">
        <v>45974</v>
      </c>
      <c r="J343" t="s">
        <v>100</v>
      </c>
      <c r="K343" t="s">
        <v>13</v>
      </c>
      <c r="L343" t="s">
        <v>45</v>
      </c>
      <c r="M343" t="s">
        <v>1159</v>
      </c>
      <c r="N343" t="s">
        <v>65</v>
      </c>
      <c r="O343" t="s">
        <v>51</v>
      </c>
      <c r="P343">
        <v>13565.83</v>
      </c>
      <c r="Q343">
        <v>1213.83</v>
      </c>
      <c r="R343">
        <v>1882.13</v>
      </c>
      <c r="S343">
        <v>1695.75</v>
      </c>
      <c r="T343">
        <v>10</v>
      </c>
      <c r="U343">
        <v>45</v>
      </c>
    </row>
    <row r="344" spans="1:21" x14ac:dyDescent="0.3">
      <c r="A344" t="s">
        <v>737</v>
      </c>
      <c r="B344">
        <v>27405</v>
      </c>
      <c r="C344" t="s">
        <v>33</v>
      </c>
      <c r="D344" t="s">
        <v>34</v>
      </c>
      <c r="E344" t="s">
        <v>62</v>
      </c>
      <c r="F344" t="s">
        <v>738</v>
      </c>
      <c r="G344">
        <v>45371</v>
      </c>
      <c r="I344">
        <v>45373</v>
      </c>
      <c r="J344" t="s">
        <v>114</v>
      </c>
      <c r="K344" t="s">
        <v>44</v>
      </c>
      <c r="L344" t="s">
        <v>23</v>
      </c>
      <c r="M344" t="s">
        <v>1158</v>
      </c>
      <c r="N344" t="s">
        <v>50</v>
      </c>
      <c r="O344" t="s">
        <v>16</v>
      </c>
      <c r="P344">
        <v>14697.24</v>
      </c>
      <c r="Q344">
        <v>1419.26</v>
      </c>
      <c r="R344">
        <v>3766.01</v>
      </c>
      <c r="S344">
        <v>1647.53</v>
      </c>
      <c r="T344">
        <v>2</v>
      </c>
      <c r="U344">
        <v>51</v>
      </c>
    </row>
    <row r="345" spans="1:21" x14ac:dyDescent="0.3">
      <c r="A345" t="s">
        <v>739</v>
      </c>
      <c r="B345">
        <v>31569</v>
      </c>
      <c r="C345" t="s">
        <v>47</v>
      </c>
      <c r="D345" t="s">
        <v>40</v>
      </c>
      <c r="E345" t="s">
        <v>68</v>
      </c>
      <c r="F345" t="s">
        <v>740</v>
      </c>
      <c r="G345">
        <v>45317</v>
      </c>
      <c r="I345">
        <v>45329</v>
      </c>
      <c r="J345" t="s">
        <v>1153</v>
      </c>
      <c r="K345" t="s">
        <v>22</v>
      </c>
      <c r="L345" t="s">
        <v>64</v>
      </c>
      <c r="M345" t="s">
        <v>1162</v>
      </c>
      <c r="N345" t="s">
        <v>24</v>
      </c>
      <c r="O345" t="s">
        <v>16</v>
      </c>
      <c r="P345">
        <v>5159.79</v>
      </c>
      <c r="Q345">
        <v>986.7</v>
      </c>
      <c r="R345">
        <v>266.68</v>
      </c>
      <c r="S345">
        <v>120.36</v>
      </c>
      <c r="T345">
        <v>4</v>
      </c>
      <c r="U345">
        <v>40</v>
      </c>
    </row>
    <row r="346" spans="1:21" x14ac:dyDescent="0.3">
      <c r="A346" t="s">
        <v>741</v>
      </c>
      <c r="B346">
        <v>17524</v>
      </c>
      <c r="C346" t="s">
        <v>47</v>
      </c>
      <c r="D346" t="s">
        <v>126</v>
      </c>
      <c r="E346" t="s">
        <v>75</v>
      </c>
      <c r="F346" t="s">
        <v>742</v>
      </c>
      <c r="G346">
        <v>45551</v>
      </c>
      <c r="I346">
        <v>45560</v>
      </c>
      <c r="J346" t="s">
        <v>43</v>
      </c>
      <c r="K346" t="s">
        <v>44</v>
      </c>
      <c r="L346" t="s">
        <v>23</v>
      </c>
      <c r="M346" t="s">
        <v>1162</v>
      </c>
      <c r="N346" t="s">
        <v>15</v>
      </c>
      <c r="O346" t="s">
        <v>16</v>
      </c>
      <c r="P346">
        <v>15010.8</v>
      </c>
      <c r="Q346">
        <v>2601.2199999999998</v>
      </c>
      <c r="R346">
        <v>603.34</v>
      </c>
      <c r="S346">
        <v>1478.12</v>
      </c>
      <c r="T346">
        <v>8</v>
      </c>
      <c r="U346">
        <v>78</v>
      </c>
    </row>
    <row r="347" spans="1:21" x14ac:dyDescent="0.3">
      <c r="A347" t="s">
        <v>743</v>
      </c>
      <c r="B347">
        <v>36271</v>
      </c>
      <c r="C347" t="s">
        <v>33</v>
      </c>
      <c r="D347" t="s">
        <v>53</v>
      </c>
      <c r="E347" t="s">
        <v>58</v>
      </c>
      <c r="F347" t="s">
        <v>744</v>
      </c>
      <c r="G347">
        <v>45920</v>
      </c>
      <c r="I347">
        <v>45921</v>
      </c>
      <c r="J347" t="s">
        <v>29</v>
      </c>
      <c r="K347" t="s">
        <v>37</v>
      </c>
      <c r="L347" t="s">
        <v>14</v>
      </c>
      <c r="M347" t="s">
        <v>1159</v>
      </c>
      <c r="N347" t="s">
        <v>15</v>
      </c>
      <c r="O347" t="s">
        <v>25</v>
      </c>
      <c r="R347">
        <v>1795.87</v>
      </c>
      <c r="S347">
        <v>866.65</v>
      </c>
      <c r="T347">
        <v>10</v>
      </c>
      <c r="U347">
        <v>27</v>
      </c>
    </row>
    <row r="348" spans="1:21" x14ac:dyDescent="0.3">
      <c r="A348" t="s">
        <v>745</v>
      </c>
      <c r="B348">
        <v>22901</v>
      </c>
      <c r="C348" t="s">
        <v>47</v>
      </c>
      <c r="D348" t="s">
        <v>78</v>
      </c>
      <c r="E348" t="s">
        <v>58</v>
      </c>
      <c r="F348" t="s">
        <v>746</v>
      </c>
      <c r="G348">
        <v>45412</v>
      </c>
      <c r="I348">
        <v>45423</v>
      </c>
      <c r="J348" t="s">
        <v>1153</v>
      </c>
      <c r="K348" t="s">
        <v>44</v>
      </c>
      <c r="L348" t="s">
        <v>30</v>
      </c>
      <c r="M348" t="s">
        <v>1150</v>
      </c>
      <c r="N348" t="s">
        <v>50</v>
      </c>
      <c r="O348" t="s">
        <v>16</v>
      </c>
      <c r="P348">
        <v>5640.34</v>
      </c>
      <c r="Q348">
        <v>422.63</v>
      </c>
      <c r="R348">
        <v>2468.8000000000002</v>
      </c>
      <c r="S348">
        <v>335.25</v>
      </c>
      <c r="T348">
        <v>2</v>
      </c>
      <c r="U348">
        <v>63</v>
      </c>
    </row>
    <row r="349" spans="1:21" x14ac:dyDescent="0.3">
      <c r="A349" t="s">
        <v>747</v>
      </c>
      <c r="B349">
        <v>35894</v>
      </c>
      <c r="C349" t="s">
        <v>18</v>
      </c>
      <c r="D349" t="s">
        <v>126</v>
      </c>
      <c r="E349" t="s">
        <v>54</v>
      </c>
      <c r="F349" t="s">
        <v>748</v>
      </c>
      <c r="G349">
        <v>45496</v>
      </c>
      <c r="I349">
        <v>45502</v>
      </c>
      <c r="J349" t="s">
        <v>12</v>
      </c>
      <c r="K349" t="s">
        <v>13</v>
      </c>
      <c r="L349" t="s">
        <v>64</v>
      </c>
      <c r="M349" t="s">
        <v>1158</v>
      </c>
      <c r="N349" t="s">
        <v>50</v>
      </c>
      <c r="O349" t="s">
        <v>31</v>
      </c>
      <c r="P349">
        <v>6805.65</v>
      </c>
      <c r="Q349">
        <v>2091.52</v>
      </c>
      <c r="R349">
        <v>4281.16</v>
      </c>
      <c r="S349">
        <v>1580.71</v>
      </c>
      <c r="T349">
        <v>6</v>
      </c>
      <c r="U349">
        <v>28</v>
      </c>
    </row>
    <row r="350" spans="1:21" x14ac:dyDescent="0.3">
      <c r="A350" t="s">
        <v>749</v>
      </c>
      <c r="B350">
        <v>22386</v>
      </c>
      <c r="C350" t="s">
        <v>47</v>
      </c>
      <c r="D350" t="s">
        <v>34</v>
      </c>
      <c r="E350" t="s">
        <v>19</v>
      </c>
      <c r="F350" t="s">
        <v>750</v>
      </c>
      <c r="G350">
        <v>45559</v>
      </c>
      <c r="I350">
        <v>45561</v>
      </c>
      <c r="J350" t="s">
        <v>100</v>
      </c>
      <c r="K350" t="s">
        <v>22</v>
      </c>
      <c r="L350" t="s">
        <v>64</v>
      </c>
      <c r="M350" t="s">
        <v>1162</v>
      </c>
      <c r="N350" t="s">
        <v>50</v>
      </c>
      <c r="O350" t="s">
        <v>16</v>
      </c>
      <c r="P350">
        <v>6671.28</v>
      </c>
      <c r="Q350">
        <v>668.72</v>
      </c>
      <c r="R350">
        <v>3978.68</v>
      </c>
      <c r="S350">
        <v>1561.09</v>
      </c>
      <c r="T350">
        <v>6</v>
      </c>
      <c r="U350">
        <v>65</v>
      </c>
    </row>
    <row r="351" spans="1:21" x14ac:dyDescent="0.3">
      <c r="A351" t="s">
        <v>751</v>
      </c>
      <c r="B351">
        <v>33435</v>
      </c>
      <c r="C351" t="s">
        <v>33</v>
      </c>
      <c r="D351" t="s">
        <v>53</v>
      </c>
      <c r="E351" t="s">
        <v>62</v>
      </c>
      <c r="F351" t="s">
        <v>752</v>
      </c>
      <c r="G351">
        <v>45541</v>
      </c>
      <c r="I351">
        <v>45550</v>
      </c>
      <c r="J351" t="s">
        <v>29</v>
      </c>
      <c r="K351" t="s">
        <v>44</v>
      </c>
      <c r="L351" t="s">
        <v>30</v>
      </c>
      <c r="M351" t="s">
        <v>1147</v>
      </c>
      <c r="N351" t="s">
        <v>50</v>
      </c>
      <c r="O351" t="s">
        <v>16</v>
      </c>
      <c r="P351">
        <v>10556.85</v>
      </c>
      <c r="Q351">
        <v>1283.01</v>
      </c>
      <c r="R351">
        <v>1230.3399999999999</v>
      </c>
      <c r="S351">
        <v>1682</v>
      </c>
      <c r="T351">
        <v>4</v>
      </c>
      <c r="U351">
        <v>34</v>
      </c>
    </row>
    <row r="352" spans="1:21" x14ac:dyDescent="0.3">
      <c r="A352" t="s">
        <v>753</v>
      </c>
      <c r="B352">
        <v>34784</v>
      </c>
      <c r="C352" t="s">
        <v>33</v>
      </c>
      <c r="D352" t="s">
        <v>27</v>
      </c>
      <c r="E352" t="s">
        <v>102</v>
      </c>
      <c r="F352" t="s">
        <v>754</v>
      </c>
      <c r="G352">
        <v>45646</v>
      </c>
      <c r="I352">
        <v>45661</v>
      </c>
      <c r="J352" t="s">
        <v>1149</v>
      </c>
      <c r="K352" t="s">
        <v>37</v>
      </c>
      <c r="L352" t="s">
        <v>38</v>
      </c>
      <c r="M352" t="s">
        <v>1159</v>
      </c>
      <c r="N352" t="s">
        <v>24</v>
      </c>
      <c r="O352" t="s">
        <v>51</v>
      </c>
      <c r="P352">
        <v>2606.8000000000002</v>
      </c>
      <c r="Q352">
        <v>958.3</v>
      </c>
      <c r="R352">
        <v>3397.88</v>
      </c>
      <c r="S352">
        <v>1912.62</v>
      </c>
      <c r="T352">
        <v>5</v>
      </c>
      <c r="U352">
        <v>31</v>
      </c>
    </row>
    <row r="353" spans="1:21" x14ac:dyDescent="0.3">
      <c r="A353" t="s">
        <v>755</v>
      </c>
      <c r="B353">
        <v>32988</v>
      </c>
      <c r="C353" t="s">
        <v>47</v>
      </c>
      <c r="D353" t="s">
        <v>40</v>
      </c>
      <c r="E353" t="s">
        <v>54</v>
      </c>
      <c r="F353" t="s">
        <v>756</v>
      </c>
      <c r="G353">
        <v>45390</v>
      </c>
      <c r="I353">
        <v>45403</v>
      </c>
      <c r="J353" t="s">
        <v>114</v>
      </c>
      <c r="K353" t="s">
        <v>22</v>
      </c>
      <c r="L353" t="s">
        <v>73</v>
      </c>
      <c r="M353" t="s">
        <v>1147</v>
      </c>
      <c r="N353" t="s">
        <v>15</v>
      </c>
      <c r="O353" t="s">
        <v>16</v>
      </c>
      <c r="P353">
        <v>2410.58</v>
      </c>
      <c r="Q353">
        <v>1478.8</v>
      </c>
      <c r="R353">
        <v>1280.99</v>
      </c>
      <c r="S353">
        <v>120.56</v>
      </c>
      <c r="T353">
        <v>7</v>
      </c>
      <c r="U353">
        <v>36</v>
      </c>
    </row>
    <row r="354" spans="1:21" x14ac:dyDescent="0.3">
      <c r="A354" t="s">
        <v>757</v>
      </c>
      <c r="B354">
        <v>24309</v>
      </c>
      <c r="C354" t="s">
        <v>47</v>
      </c>
      <c r="D354" t="s">
        <v>139</v>
      </c>
      <c r="E354" t="s">
        <v>19</v>
      </c>
      <c r="F354" t="s">
        <v>758</v>
      </c>
      <c r="G354">
        <v>45476</v>
      </c>
      <c r="I354">
        <v>45490</v>
      </c>
      <c r="J354" t="s">
        <v>114</v>
      </c>
      <c r="K354" t="s">
        <v>37</v>
      </c>
      <c r="L354" t="s">
        <v>23</v>
      </c>
      <c r="M354" t="s">
        <v>1154</v>
      </c>
      <c r="N354" t="s">
        <v>50</v>
      </c>
      <c r="O354" t="s">
        <v>16</v>
      </c>
      <c r="P354">
        <v>10421.969999999999</v>
      </c>
      <c r="Q354">
        <v>218.1</v>
      </c>
      <c r="R354">
        <v>3825.16</v>
      </c>
      <c r="S354">
        <v>1407</v>
      </c>
      <c r="T354">
        <v>7</v>
      </c>
      <c r="U354">
        <v>59</v>
      </c>
    </row>
    <row r="355" spans="1:21" x14ac:dyDescent="0.3">
      <c r="A355" t="s">
        <v>759</v>
      </c>
      <c r="B355">
        <v>34344</v>
      </c>
      <c r="C355" t="s">
        <v>47</v>
      </c>
      <c r="D355" t="s">
        <v>78</v>
      </c>
      <c r="E355" t="s">
        <v>10</v>
      </c>
      <c r="F355" t="s">
        <v>760</v>
      </c>
      <c r="G355">
        <v>45727</v>
      </c>
      <c r="I355">
        <v>45736</v>
      </c>
      <c r="J355" t="s">
        <v>100</v>
      </c>
      <c r="K355" t="s">
        <v>44</v>
      </c>
      <c r="L355" t="s">
        <v>73</v>
      </c>
      <c r="M355" t="s">
        <v>1154</v>
      </c>
      <c r="N355" t="s">
        <v>24</v>
      </c>
      <c r="O355" t="s">
        <v>16</v>
      </c>
      <c r="P355">
        <v>4251.8999999999996</v>
      </c>
      <c r="Q355">
        <v>2143.2800000000002</v>
      </c>
      <c r="R355">
        <v>3870.49</v>
      </c>
      <c r="S355">
        <v>985.09</v>
      </c>
      <c r="T355">
        <v>8</v>
      </c>
      <c r="U355">
        <v>32</v>
      </c>
    </row>
    <row r="356" spans="1:21" x14ac:dyDescent="0.3">
      <c r="A356" t="s">
        <v>761</v>
      </c>
      <c r="B356">
        <v>27182</v>
      </c>
      <c r="C356" t="s">
        <v>47</v>
      </c>
      <c r="D356" t="s">
        <v>61</v>
      </c>
      <c r="E356" t="s">
        <v>19</v>
      </c>
      <c r="F356" t="s">
        <v>762</v>
      </c>
      <c r="G356">
        <v>45905</v>
      </c>
      <c r="I356">
        <v>45917</v>
      </c>
      <c r="J356" t="s">
        <v>12</v>
      </c>
      <c r="K356" t="s">
        <v>13</v>
      </c>
      <c r="L356" t="s">
        <v>45</v>
      </c>
      <c r="M356" t="s">
        <v>1159</v>
      </c>
      <c r="N356" t="s">
        <v>65</v>
      </c>
      <c r="O356" t="s">
        <v>31</v>
      </c>
      <c r="P356">
        <v>9359.57</v>
      </c>
      <c r="Q356">
        <v>2299.7199999999998</v>
      </c>
      <c r="R356">
        <v>1347.29</v>
      </c>
      <c r="S356">
        <v>946.64</v>
      </c>
      <c r="T356">
        <v>0</v>
      </c>
      <c r="U356">
        <v>52</v>
      </c>
    </row>
    <row r="357" spans="1:21" x14ac:dyDescent="0.3">
      <c r="A357" t="s">
        <v>763</v>
      </c>
      <c r="B357">
        <v>32789</v>
      </c>
      <c r="C357" t="s">
        <v>33</v>
      </c>
      <c r="D357" t="s">
        <v>57</v>
      </c>
      <c r="E357" t="s">
        <v>19</v>
      </c>
      <c r="F357" t="s">
        <v>764</v>
      </c>
      <c r="G357">
        <v>45828</v>
      </c>
      <c r="I357">
        <v>45847</v>
      </c>
      <c r="J357" t="s">
        <v>1167</v>
      </c>
      <c r="K357" t="s">
        <v>37</v>
      </c>
      <c r="L357" t="s">
        <v>23</v>
      </c>
      <c r="M357" t="s">
        <v>1158</v>
      </c>
      <c r="N357" t="s">
        <v>65</v>
      </c>
      <c r="O357" t="s">
        <v>25</v>
      </c>
      <c r="P357">
        <v>15123.35</v>
      </c>
      <c r="Q357">
        <v>1579.83</v>
      </c>
      <c r="R357">
        <v>1132.3599999999999</v>
      </c>
      <c r="S357">
        <v>1202.05</v>
      </c>
      <c r="T357">
        <v>10</v>
      </c>
      <c r="U357">
        <v>36</v>
      </c>
    </row>
    <row r="358" spans="1:21" x14ac:dyDescent="0.3">
      <c r="A358" t="s">
        <v>765</v>
      </c>
      <c r="B358">
        <v>32520</v>
      </c>
      <c r="C358" t="s">
        <v>8</v>
      </c>
      <c r="D358" t="s">
        <v>126</v>
      </c>
      <c r="E358" t="s">
        <v>10</v>
      </c>
      <c r="F358" t="s">
        <v>766</v>
      </c>
      <c r="G358">
        <v>45879</v>
      </c>
      <c r="I358">
        <v>45895</v>
      </c>
      <c r="J358" t="s">
        <v>72</v>
      </c>
      <c r="K358" t="s">
        <v>22</v>
      </c>
      <c r="L358" t="s">
        <v>30</v>
      </c>
      <c r="M358" t="s">
        <v>1156</v>
      </c>
      <c r="N358" t="s">
        <v>24</v>
      </c>
      <c r="O358" t="s">
        <v>51</v>
      </c>
      <c r="P358">
        <v>2312.3200000000002</v>
      </c>
      <c r="Q358">
        <v>1233.1600000000001</v>
      </c>
      <c r="R358">
        <v>318.89999999999998</v>
      </c>
      <c r="S358">
        <v>475.19</v>
      </c>
      <c r="T358">
        <v>1</v>
      </c>
      <c r="U358">
        <v>37</v>
      </c>
    </row>
    <row r="359" spans="1:21" x14ac:dyDescent="0.3">
      <c r="A359" t="s">
        <v>767</v>
      </c>
      <c r="B359">
        <v>30153</v>
      </c>
      <c r="C359" t="s">
        <v>33</v>
      </c>
      <c r="D359" t="s">
        <v>40</v>
      </c>
      <c r="E359" t="s">
        <v>35</v>
      </c>
      <c r="F359" t="s">
        <v>768</v>
      </c>
      <c r="G359">
        <v>45901</v>
      </c>
      <c r="I359">
        <v>45912</v>
      </c>
      <c r="J359" t="s">
        <v>104</v>
      </c>
      <c r="K359" t="s">
        <v>37</v>
      </c>
      <c r="L359" t="s">
        <v>14</v>
      </c>
      <c r="M359" t="s">
        <v>1156</v>
      </c>
      <c r="N359" t="s">
        <v>24</v>
      </c>
      <c r="O359" t="s">
        <v>31</v>
      </c>
      <c r="P359">
        <v>2068.5500000000002</v>
      </c>
      <c r="Q359">
        <v>1488.06</v>
      </c>
      <c r="R359">
        <v>4474.92</v>
      </c>
      <c r="S359">
        <v>654.54</v>
      </c>
      <c r="T359">
        <v>6</v>
      </c>
      <c r="U359">
        <v>43</v>
      </c>
    </row>
    <row r="360" spans="1:21" x14ac:dyDescent="0.3">
      <c r="A360" t="s">
        <v>769</v>
      </c>
      <c r="B360">
        <v>16881</v>
      </c>
      <c r="C360" t="s">
        <v>33</v>
      </c>
      <c r="D360" t="s">
        <v>61</v>
      </c>
      <c r="E360" t="s">
        <v>19</v>
      </c>
      <c r="F360" t="s">
        <v>770</v>
      </c>
      <c r="G360">
        <v>45890</v>
      </c>
      <c r="I360">
        <v>45896</v>
      </c>
      <c r="J360" t="s">
        <v>21</v>
      </c>
      <c r="K360" t="s">
        <v>22</v>
      </c>
      <c r="L360" t="s">
        <v>23</v>
      </c>
      <c r="M360" t="s">
        <v>1159</v>
      </c>
      <c r="N360" t="s">
        <v>15</v>
      </c>
      <c r="O360" t="s">
        <v>31</v>
      </c>
      <c r="P360">
        <v>9920.52</v>
      </c>
      <c r="Q360">
        <v>1267.6400000000001</v>
      </c>
      <c r="R360">
        <v>1924.82</v>
      </c>
      <c r="S360">
        <v>1260.94</v>
      </c>
      <c r="T360">
        <v>8</v>
      </c>
      <c r="U360">
        <v>80</v>
      </c>
    </row>
    <row r="361" spans="1:21" x14ac:dyDescent="0.3">
      <c r="A361" t="s">
        <v>771</v>
      </c>
      <c r="B361">
        <v>32102</v>
      </c>
      <c r="C361" t="s">
        <v>18</v>
      </c>
      <c r="D361" t="s">
        <v>53</v>
      </c>
      <c r="E361" t="s">
        <v>62</v>
      </c>
      <c r="F361" t="s">
        <v>772</v>
      </c>
      <c r="G361">
        <v>45943</v>
      </c>
      <c r="I361">
        <v>45954</v>
      </c>
      <c r="J361" t="s">
        <v>104</v>
      </c>
      <c r="K361" t="s">
        <v>44</v>
      </c>
      <c r="L361" t="s">
        <v>14</v>
      </c>
      <c r="M361" t="s">
        <v>1161</v>
      </c>
      <c r="N361" t="s">
        <v>15</v>
      </c>
      <c r="O361" t="s">
        <v>16</v>
      </c>
      <c r="P361">
        <v>7762.29</v>
      </c>
      <c r="Q361">
        <v>2151.6799999999998</v>
      </c>
      <c r="R361">
        <v>398.89</v>
      </c>
      <c r="S361">
        <v>333.49</v>
      </c>
      <c r="T361">
        <v>5</v>
      </c>
      <c r="U361">
        <v>38</v>
      </c>
    </row>
    <row r="362" spans="1:21" x14ac:dyDescent="0.3">
      <c r="A362" t="s">
        <v>773</v>
      </c>
      <c r="B362">
        <v>38363</v>
      </c>
      <c r="C362" t="s">
        <v>18</v>
      </c>
      <c r="D362" t="s">
        <v>78</v>
      </c>
      <c r="E362" t="s">
        <v>68</v>
      </c>
      <c r="F362" t="s">
        <v>774</v>
      </c>
      <c r="G362">
        <v>45916</v>
      </c>
      <c r="I362">
        <v>45924</v>
      </c>
      <c r="J362" t="s">
        <v>114</v>
      </c>
      <c r="K362" t="s">
        <v>44</v>
      </c>
      <c r="L362" t="s">
        <v>64</v>
      </c>
      <c r="M362" t="s">
        <v>1159</v>
      </c>
      <c r="N362" t="s">
        <v>24</v>
      </c>
      <c r="O362" t="s">
        <v>31</v>
      </c>
      <c r="P362">
        <v>2455.4499999999998</v>
      </c>
      <c r="Q362">
        <v>1568.27</v>
      </c>
      <c r="R362">
        <v>1852.76</v>
      </c>
      <c r="S362">
        <v>972.25</v>
      </c>
      <c r="T362">
        <v>10</v>
      </c>
      <c r="U362">
        <v>21</v>
      </c>
    </row>
    <row r="363" spans="1:21" x14ac:dyDescent="0.3">
      <c r="A363" t="s">
        <v>775</v>
      </c>
      <c r="B363">
        <v>34773</v>
      </c>
      <c r="C363" t="s">
        <v>33</v>
      </c>
      <c r="D363" t="s">
        <v>53</v>
      </c>
      <c r="E363" t="s">
        <v>19</v>
      </c>
      <c r="F363" t="s">
        <v>776</v>
      </c>
      <c r="G363">
        <v>45804</v>
      </c>
      <c r="I363">
        <v>45808</v>
      </c>
      <c r="J363" t="s">
        <v>21</v>
      </c>
      <c r="K363" t="s">
        <v>37</v>
      </c>
      <c r="L363" t="s">
        <v>38</v>
      </c>
      <c r="M363" t="s">
        <v>1156</v>
      </c>
      <c r="N363" t="s">
        <v>65</v>
      </c>
      <c r="P363">
        <v>6110.66</v>
      </c>
      <c r="Q363">
        <v>1098.22</v>
      </c>
      <c r="R363">
        <v>462.34</v>
      </c>
      <c r="S363">
        <v>1533.37</v>
      </c>
      <c r="T363">
        <v>3</v>
      </c>
      <c r="U363">
        <v>31</v>
      </c>
    </row>
    <row r="364" spans="1:21" x14ac:dyDescent="0.3">
      <c r="A364" t="s">
        <v>777</v>
      </c>
      <c r="B364">
        <v>34734</v>
      </c>
      <c r="C364" t="s">
        <v>8</v>
      </c>
      <c r="D364" t="s">
        <v>27</v>
      </c>
      <c r="E364" t="s">
        <v>75</v>
      </c>
      <c r="F364" t="s">
        <v>778</v>
      </c>
      <c r="G364">
        <v>45441</v>
      </c>
      <c r="I364">
        <v>45450</v>
      </c>
      <c r="J364" t="s">
        <v>21</v>
      </c>
      <c r="K364" t="s">
        <v>22</v>
      </c>
      <c r="L364" t="s">
        <v>64</v>
      </c>
      <c r="M364" t="s">
        <v>1158</v>
      </c>
      <c r="N364" t="s">
        <v>15</v>
      </c>
      <c r="O364" t="s">
        <v>51</v>
      </c>
      <c r="P364">
        <v>6704.37</v>
      </c>
      <c r="Q364">
        <v>1592.29</v>
      </c>
      <c r="R364">
        <v>2268.8200000000002</v>
      </c>
      <c r="S364">
        <v>1238.79</v>
      </c>
      <c r="T364">
        <v>6</v>
      </c>
      <c r="U364">
        <v>31</v>
      </c>
    </row>
    <row r="365" spans="1:21" x14ac:dyDescent="0.3">
      <c r="A365" t="s">
        <v>779</v>
      </c>
      <c r="B365">
        <v>28611</v>
      </c>
      <c r="C365" t="s">
        <v>18</v>
      </c>
      <c r="D365" t="s">
        <v>78</v>
      </c>
      <c r="E365" t="s">
        <v>54</v>
      </c>
      <c r="F365" t="s">
        <v>780</v>
      </c>
      <c r="G365">
        <v>45518</v>
      </c>
      <c r="I365">
        <v>45530</v>
      </c>
      <c r="J365" t="s">
        <v>21</v>
      </c>
      <c r="K365" t="s">
        <v>37</v>
      </c>
      <c r="L365" t="s">
        <v>45</v>
      </c>
      <c r="M365" t="s">
        <v>1147</v>
      </c>
      <c r="N365" t="s">
        <v>24</v>
      </c>
      <c r="O365" t="s">
        <v>51</v>
      </c>
      <c r="P365">
        <v>3514.23</v>
      </c>
      <c r="Q365">
        <v>2438.39</v>
      </c>
      <c r="R365">
        <v>2261.42</v>
      </c>
      <c r="S365">
        <v>1098.27</v>
      </c>
      <c r="T365">
        <v>8</v>
      </c>
      <c r="U365">
        <v>48</v>
      </c>
    </row>
    <row r="366" spans="1:21" x14ac:dyDescent="0.3">
      <c r="A366" t="s">
        <v>781</v>
      </c>
      <c r="B366">
        <v>30753</v>
      </c>
      <c r="C366" t="s">
        <v>33</v>
      </c>
      <c r="D366" t="s">
        <v>53</v>
      </c>
      <c r="E366" t="s">
        <v>58</v>
      </c>
      <c r="F366" t="s">
        <v>782</v>
      </c>
      <c r="G366">
        <v>45951</v>
      </c>
      <c r="I366">
        <v>45956</v>
      </c>
      <c r="J366" t="s">
        <v>21</v>
      </c>
      <c r="K366" t="s">
        <v>44</v>
      </c>
      <c r="L366" t="s">
        <v>23</v>
      </c>
      <c r="M366" t="s">
        <v>1158</v>
      </c>
      <c r="N366" t="s">
        <v>65</v>
      </c>
      <c r="O366" t="s">
        <v>25</v>
      </c>
      <c r="P366">
        <v>11345.94</v>
      </c>
      <c r="Q366">
        <v>1684.54</v>
      </c>
      <c r="R366">
        <v>4231.93</v>
      </c>
      <c r="S366">
        <v>1920.93</v>
      </c>
      <c r="T366">
        <v>8</v>
      </c>
      <c r="U366">
        <v>42</v>
      </c>
    </row>
    <row r="367" spans="1:21" x14ac:dyDescent="0.3">
      <c r="A367" t="s">
        <v>783</v>
      </c>
      <c r="B367">
        <v>33706</v>
      </c>
      <c r="C367" t="s">
        <v>47</v>
      </c>
      <c r="D367" t="s">
        <v>139</v>
      </c>
      <c r="E367" t="s">
        <v>54</v>
      </c>
      <c r="F367" t="s">
        <v>784</v>
      </c>
      <c r="G367">
        <v>45972</v>
      </c>
      <c r="I367">
        <v>45974</v>
      </c>
      <c r="J367" t="s">
        <v>111</v>
      </c>
      <c r="K367" t="s">
        <v>44</v>
      </c>
      <c r="L367" t="s">
        <v>45</v>
      </c>
      <c r="M367" t="s">
        <v>1150</v>
      </c>
      <c r="N367" t="s">
        <v>15</v>
      </c>
      <c r="O367" t="s">
        <v>31</v>
      </c>
      <c r="P367">
        <v>3447.23</v>
      </c>
      <c r="Q367">
        <v>1216.33</v>
      </c>
      <c r="R367">
        <v>2332.1999999999998</v>
      </c>
      <c r="S367">
        <v>244.16</v>
      </c>
      <c r="T367">
        <v>9</v>
      </c>
      <c r="U367">
        <v>34</v>
      </c>
    </row>
    <row r="368" spans="1:21" x14ac:dyDescent="0.3">
      <c r="A368" t="s">
        <v>785</v>
      </c>
      <c r="B368">
        <v>28612</v>
      </c>
      <c r="C368" t="s">
        <v>47</v>
      </c>
      <c r="D368" t="s">
        <v>139</v>
      </c>
      <c r="E368" t="s">
        <v>19</v>
      </c>
      <c r="F368" t="s">
        <v>786</v>
      </c>
      <c r="G368">
        <v>45504</v>
      </c>
      <c r="I368">
        <v>45512</v>
      </c>
      <c r="J368" t="s">
        <v>72</v>
      </c>
      <c r="K368" t="s">
        <v>44</v>
      </c>
      <c r="L368" t="s">
        <v>38</v>
      </c>
      <c r="M368" t="s">
        <v>1158</v>
      </c>
      <c r="N368" t="s">
        <v>65</v>
      </c>
      <c r="O368" t="s">
        <v>16</v>
      </c>
      <c r="P368">
        <v>10459.76</v>
      </c>
      <c r="Q368">
        <v>505.69</v>
      </c>
      <c r="R368">
        <v>1085</v>
      </c>
      <c r="S368">
        <v>964.87</v>
      </c>
      <c r="T368">
        <v>1</v>
      </c>
      <c r="U368">
        <v>48</v>
      </c>
    </row>
    <row r="369" spans="1:21" x14ac:dyDescent="0.3">
      <c r="A369" t="s">
        <v>787</v>
      </c>
      <c r="B369">
        <v>16582</v>
      </c>
      <c r="C369" t="s">
        <v>8</v>
      </c>
      <c r="D369" t="s">
        <v>9</v>
      </c>
      <c r="E369" t="s">
        <v>68</v>
      </c>
      <c r="F369" t="s">
        <v>788</v>
      </c>
      <c r="G369">
        <v>45708</v>
      </c>
      <c r="I369">
        <v>45728</v>
      </c>
      <c r="J369" t="s">
        <v>12</v>
      </c>
      <c r="K369" t="s">
        <v>22</v>
      </c>
      <c r="L369" t="s">
        <v>38</v>
      </c>
      <c r="M369" t="s">
        <v>1156</v>
      </c>
      <c r="N369" t="s">
        <v>50</v>
      </c>
      <c r="O369" t="s">
        <v>16</v>
      </c>
      <c r="P369">
        <v>3494.56</v>
      </c>
      <c r="Q369">
        <v>2184.38</v>
      </c>
      <c r="R369">
        <v>3706.3</v>
      </c>
      <c r="S369">
        <v>259.26</v>
      </c>
      <c r="T369">
        <v>5</v>
      </c>
      <c r="U369">
        <v>81</v>
      </c>
    </row>
    <row r="370" spans="1:21" x14ac:dyDescent="0.3">
      <c r="A370" t="s">
        <v>789</v>
      </c>
      <c r="B370">
        <v>31369</v>
      </c>
      <c r="C370" t="s">
        <v>18</v>
      </c>
      <c r="D370" t="s">
        <v>34</v>
      </c>
      <c r="E370" t="s">
        <v>41</v>
      </c>
      <c r="F370" t="s">
        <v>790</v>
      </c>
      <c r="G370">
        <v>45479</v>
      </c>
      <c r="I370">
        <v>45486</v>
      </c>
      <c r="J370" t="s">
        <v>100</v>
      </c>
      <c r="K370" t="s">
        <v>44</v>
      </c>
      <c r="L370" t="s">
        <v>23</v>
      </c>
      <c r="M370" t="s">
        <v>1154</v>
      </c>
      <c r="N370" t="s">
        <v>15</v>
      </c>
      <c r="O370" t="s">
        <v>25</v>
      </c>
      <c r="P370">
        <v>11801.23</v>
      </c>
      <c r="Q370">
        <v>1436.64</v>
      </c>
      <c r="R370">
        <v>3592.98</v>
      </c>
      <c r="S370">
        <v>582.44000000000005</v>
      </c>
      <c r="T370">
        <v>8</v>
      </c>
      <c r="U370">
        <v>40</v>
      </c>
    </row>
    <row r="371" spans="1:21" x14ac:dyDescent="0.3">
      <c r="A371" t="s">
        <v>791</v>
      </c>
      <c r="B371">
        <v>38119</v>
      </c>
      <c r="C371" t="s">
        <v>33</v>
      </c>
      <c r="D371" t="s">
        <v>126</v>
      </c>
      <c r="E371" t="s">
        <v>10</v>
      </c>
      <c r="F371" t="s">
        <v>792</v>
      </c>
      <c r="G371">
        <v>45440</v>
      </c>
      <c r="I371">
        <v>45450</v>
      </c>
      <c r="J371" t="s">
        <v>29</v>
      </c>
      <c r="K371" t="s">
        <v>22</v>
      </c>
      <c r="L371" t="s">
        <v>73</v>
      </c>
      <c r="M371" t="s">
        <v>1150</v>
      </c>
      <c r="N371" t="s">
        <v>50</v>
      </c>
      <c r="O371" t="s">
        <v>25</v>
      </c>
      <c r="P371">
        <v>12063.67</v>
      </c>
      <c r="Q371">
        <v>1922.8</v>
      </c>
      <c r="R371">
        <v>2597.2600000000002</v>
      </c>
      <c r="S371">
        <v>84.09</v>
      </c>
      <c r="T371">
        <v>10</v>
      </c>
      <c r="U371">
        <v>22</v>
      </c>
    </row>
    <row r="372" spans="1:21" x14ac:dyDescent="0.3">
      <c r="A372" t="s">
        <v>793</v>
      </c>
      <c r="B372">
        <v>29488</v>
      </c>
      <c r="C372" t="s">
        <v>47</v>
      </c>
      <c r="D372" t="s">
        <v>9</v>
      </c>
      <c r="E372" t="s">
        <v>10</v>
      </c>
      <c r="F372" t="s">
        <v>794</v>
      </c>
      <c r="G372">
        <v>45496</v>
      </c>
      <c r="I372">
        <v>45503</v>
      </c>
      <c r="J372" t="s">
        <v>21</v>
      </c>
      <c r="K372" t="s">
        <v>13</v>
      </c>
      <c r="L372" t="s">
        <v>73</v>
      </c>
      <c r="M372" t="s">
        <v>1162</v>
      </c>
      <c r="N372" t="s">
        <v>65</v>
      </c>
      <c r="O372" t="s">
        <v>31</v>
      </c>
      <c r="P372">
        <v>11321.69</v>
      </c>
      <c r="Q372">
        <v>378.31</v>
      </c>
      <c r="R372">
        <v>4542.9399999999996</v>
      </c>
      <c r="S372">
        <v>1925.21</v>
      </c>
      <c r="T372">
        <v>6</v>
      </c>
      <c r="U372">
        <v>45</v>
      </c>
    </row>
    <row r="373" spans="1:21" x14ac:dyDescent="0.3">
      <c r="A373" t="s">
        <v>795</v>
      </c>
      <c r="B373">
        <v>37228</v>
      </c>
      <c r="C373" t="s">
        <v>8</v>
      </c>
      <c r="D373" t="s">
        <v>48</v>
      </c>
      <c r="E373" t="s">
        <v>58</v>
      </c>
      <c r="F373" t="s">
        <v>796</v>
      </c>
      <c r="G373">
        <v>45624</v>
      </c>
      <c r="I373">
        <v>45638</v>
      </c>
      <c r="J373" t="s">
        <v>114</v>
      </c>
      <c r="K373" t="s">
        <v>22</v>
      </c>
      <c r="L373" t="s">
        <v>64</v>
      </c>
      <c r="M373" t="s">
        <v>1156</v>
      </c>
      <c r="N373" t="s">
        <v>50</v>
      </c>
      <c r="O373" t="s">
        <v>51</v>
      </c>
      <c r="P373">
        <v>3837.27</v>
      </c>
      <c r="Q373">
        <v>2359.8000000000002</v>
      </c>
      <c r="R373">
        <v>2011.08</v>
      </c>
      <c r="S373">
        <v>711.95</v>
      </c>
      <c r="T373">
        <v>4</v>
      </c>
      <c r="U373">
        <v>24</v>
      </c>
    </row>
    <row r="374" spans="1:21" x14ac:dyDescent="0.3">
      <c r="A374" t="s">
        <v>797</v>
      </c>
      <c r="B374">
        <v>30651</v>
      </c>
      <c r="C374" t="s">
        <v>8</v>
      </c>
      <c r="D374" t="s">
        <v>57</v>
      </c>
      <c r="E374" t="s">
        <v>68</v>
      </c>
      <c r="F374" t="s">
        <v>798</v>
      </c>
      <c r="G374">
        <v>45435</v>
      </c>
      <c r="I374">
        <v>45439</v>
      </c>
      <c r="J374" t="s">
        <v>111</v>
      </c>
      <c r="K374" t="s">
        <v>37</v>
      </c>
      <c r="L374" t="s">
        <v>14</v>
      </c>
      <c r="M374" t="s">
        <v>1152</v>
      </c>
      <c r="N374" t="s">
        <v>65</v>
      </c>
      <c r="O374" t="s">
        <v>31</v>
      </c>
      <c r="P374">
        <v>9370.2199999999993</v>
      </c>
      <c r="Q374">
        <v>2220.0300000000002</v>
      </c>
      <c r="R374">
        <v>4390.63</v>
      </c>
      <c r="S374">
        <v>227.7</v>
      </c>
      <c r="T374">
        <v>9</v>
      </c>
      <c r="U374">
        <v>42</v>
      </c>
    </row>
    <row r="375" spans="1:21" x14ac:dyDescent="0.3">
      <c r="A375" t="s">
        <v>799</v>
      </c>
      <c r="B375">
        <v>34025</v>
      </c>
      <c r="C375" t="s">
        <v>33</v>
      </c>
      <c r="D375" t="s">
        <v>126</v>
      </c>
      <c r="E375" t="s">
        <v>10</v>
      </c>
      <c r="F375" t="s">
        <v>800</v>
      </c>
      <c r="G375">
        <v>45992</v>
      </c>
      <c r="I375">
        <v>46006</v>
      </c>
      <c r="J375" t="s">
        <v>12</v>
      </c>
      <c r="K375" t="s">
        <v>37</v>
      </c>
      <c r="L375" t="s">
        <v>73</v>
      </c>
      <c r="M375" t="s">
        <v>1150</v>
      </c>
      <c r="N375" t="s">
        <v>24</v>
      </c>
      <c r="O375" t="s">
        <v>51</v>
      </c>
      <c r="P375">
        <v>7648.49</v>
      </c>
      <c r="Q375">
        <v>2747.04</v>
      </c>
      <c r="R375">
        <v>1983.44</v>
      </c>
      <c r="S375">
        <v>1608.33</v>
      </c>
      <c r="T375">
        <v>3</v>
      </c>
      <c r="U375">
        <v>33</v>
      </c>
    </row>
    <row r="376" spans="1:21" x14ac:dyDescent="0.3">
      <c r="A376" t="s">
        <v>801</v>
      </c>
      <c r="B376">
        <v>34619</v>
      </c>
      <c r="C376" t="s">
        <v>8</v>
      </c>
      <c r="D376" t="s">
        <v>27</v>
      </c>
      <c r="E376" t="s">
        <v>75</v>
      </c>
      <c r="F376" t="s">
        <v>802</v>
      </c>
      <c r="G376">
        <v>45882</v>
      </c>
      <c r="I376">
        <v>45887</v>
      </c>
      <c r="J376" t="s">
        <v>72</v>
      </c>
      <c r="K376" t="s">
        <v>44</v>
      </c>
      <c r="L376" t="s">
        <v>15</v>
      </c>
      <c r="M376" t="s">
        <v>1158</v>
      </c>
      <c r="N376" t="s">
        <v>50</v>
      </c>
      <c r="O376" t="s">
        <v>51</v>
      </c>
      <c r="P376">
        <v>4831.3500000000004</v>
      </c>
      <c r="Q376">
        <v>465.62</v>
      </c>
      <c r="R376">
        <v>336.73</v>
      </c>
      <c r="S376">
        <v>1907.22</v>
      </c>
      <c r="T376">
        <v>2</v>
      </c>
      <c r="U376">
        <v>31</v>
      </c>
    </row>
    <row r="377" spans="1:21" x14ac:dyDescent="0.3">
      <c r="A377" t="s">
        <v>803</v>
      </c>
      <c r="B377">
        <v>17042</v>
      </c>
      <c r="C377" t="s">
        <v>47</v>
      </c>
      <c r="D377" t="s">
        <v>78</v>
      </c>
      <c r="E377" t="s">
        <v>102</v>
      </c>
      <c r="F377" t="s">
        <v>804</v>
      </c>
      <c r="G377">
        <v>45505</v>
      </c>
      <c r="I377">
        <v>45518</v>
      </c>
      <c r="J377" t="s">
        <v>43</v>
      </c>
      <c r="K377" t="s">
        <v>13</v>
      </c>
      <c r="L377" t="s">
        <v>45</v>
      </c>
      <c r="M377" t="s">
        <v>1150</v>
      </c>
      <c r="N377" t="s">
        <v>65</v>
      </c>
      <c r="O377" t="s">
        <v>51</v>
      </c>
      <c r="P377">
        <v>14109.91</v>
      </c>
      <c r="Q377">
        <v>1667.02</v>
      </c>
      <c r="R377">
        <v>4040.53</v>
      </c>
      <c r="S377">
        <v>296.24</v>
      </c>
      <c r="T377">
        <v>2</v>
      </c>
      <c r="U377">
        <v>79</v>
      </c>
    </row>
    <row r="378" spans="1:21" x14ac:dyDescent="0.3">
      <c r="A378" t="s">
        <v>805</v>
      </c>
      <c r="B378">
        <v>25397</v>
      </c>
      <c r="C378" t="s">
        <v>47</v>
      </c>
      <c r="D378" t="s">
        <v>67</v>
      </c>
      <c r="E378" t="s">
        <v>75</v>
      </c>
      <c r="F378" t="s">
        <v>806</v>
      </c>
      <c r="G378">
        <v>45394</v>
      </c>
      <c r="I378">
        <v>45406</v>
      </c>
      <c r="J378" t="s">
        <v>29</v>
      </c>
      <c r="K378" t="s">
        <v>37</v>
      </c>
      <c r="L378" t="s">
        <v>23</v>
      </c>
      <c r="M378" t="s">
        <v>1152</v>
      </c>
      <c r="N378" t="s">
        <v>50</v>
      </c>
      <c r="O378" t="s">
        <v>16</v>
      </c>
      <c r="P378">
        <v>3492.07</v>
      </c>
      <c r="Q378">
        <v>2750.07</v>
      </c>
      <c r="R378">
        <v>425.12</v>
      </c>
      <c r="S378">
        <v>1673.49</v>
      </c>
      <c r="T378">
        <v>2</v>
      </c>
      <c r="U378">
        <v>56</v>
      </c>
    </row>
    <row r="379" spans="1:21" x14ac:dyDescent="0.3">
      <c r="A379" t="s">
        <v>807</v>
      </c>
      <c r="B379">
        <v>30890</v>
      </c>
      <c r="C379" t="s">
        <v>33</v>
      </c>
      <c r="D379" t="s">
        <v>9</v>
      </c>
      <c r="E379" t="s">
        <v>75</v>
      </c>
      <c r="F379" t="s">
        <v>808</v>
      </c>
      <c r="G379">
        <v>45453</v>
      </c>
      <c r="I379">
        <v>45467</v>
      </c>
      <c r="J379" t="s">
        <v>114</v>
      </c>
      <c r="K379" t="s">
        <v>37</v>
      </c>
      <c r="L379" t="s">
        <v>64</v>
      </c>
      <c r="M379" t="s">
        <v>1157</v>
      </c>
      <c r="N379" t="s">
        <v>15</v>
      </c>
      <c r="O379" t="s">
        <v>51</v>
      </c>
      <c r="P379">
        <v>1794.95</v>
      </c>
      <c r="Q379">
        <v>2806.16</v>
      </c>
      <c r="R379">
        <v>1373.36</v>
      </c>
      <c r="S379">
        <v>141.97</v>
      </c>
      <c r="T379">
        <v>2</v>
      </c>
      <c r="U379">
        <v>41</v>
      </c>
    </row>
    <row r="380" spans="1:21" x14ac:dyDescent="0.3">
      <c r="A380" t="s">
        <v>809</v>
      </c>
      <c r="B380">
        <v>18640</v>
      </c>
      <c r="C380" t="s">
        <v>47</v>
      </c>
      <c r="D380" t="s">
        <v>67</v>
      </c>
      <c r="E380" t="s">
        <v>68</v>
      </c>
      <c r="F380" t="s">
        <v>810</v>
      </c>
      <c r="G380">
        <v>45520</v>
      </c>
      <c r="I380">
        <v>45523</v>
      </c>
      <c r="J380" t="s">
        <v>111</v>
      </c>
      <c r="K380" t="s">
        <v>22</v>
      </c>
      <c r="L380" t="s">
        <v>14</v>
      </c>
      <c r="M380" t="s">
        <v>1156</v>
      </c>
      <c r="N380" t="s">
        <v>15</v>
      </c>
      <c r="O380" t="s">
        <v>16</v>
      </c>
      <c r="P380">
        <v>13598.09</v>
      </c>
      <c r="Q380">
        <v>2050.34</v>
      </c>
      <c r="R380">
        <v>4798.63</v>
      </c>
      <c r="S380">
        <v>494.74</v>
      </c>
      <c r="T380">
        <v>9</v>
      </c>
      <c r="U380">
        <v>75</v>
      </c>
    </row>
    <row r="381" spans="1:21" x14ac:dyDescent="0.3">
      <c r="A381" t="s">
        <v>811</v>
      </c>
      <c r="B381">
        <v>31832</v>
      </c>
      <c r="C381" t="s">
        <v>8</v>
      </c>
      <c r="D381" t="s">
        <v>78</v>
      </c>
      <c r="E381" t="s">
        <v>75</v>
      </c>
      <c r="F381" t="s">
        <v>812</v>
      </c>
      <c r="G381">
        <v>45389</v>
      </c>
      <c r="I381">
        <v>45402</v>
      </c>
      <c r="J381" t="s">
        <v>12</v>
      </c>
      <c r="K381" t="s">
        <v>37</v>
      </c>
      <c r="L381" t="s">
        <v>15</v>
      </c>
      <c r="M381" t="s">
        <v>1157</v>
      </c>
      <c r="N381" t="s">
        <v>50</v>
      </c>
      <c r="O381" t="s">
        <v>51</v>
      </c>
      <c r="P381">
        <v>3498.32</v>
      </c>
      <c r="Q381">
        <v>1094.46</v>
      </c>
      <c r="R381">
        <v>462.54</v>
      </c>
      <c r="S381">
        <v>515.09</v>
      </c>
      <c r="T381">
        <v>5</v>
      </c>
      <c r="U381">
        <v>39</v>
      </c>
    </row>
    <row r="382" spans="1:21" x14ac:dyDescent="0.3">
      <c r="A382" t="s">
        <v>813</v>
      </c>
      <c r="B382">
        <v>29814</v>
      </c>
      <c r="C382" t="s">
        <v>8</v>
      </c>
      <c r="D382" t="s">
        <v>34</v>
      </c>
      <c r="E382" t="s">
        <v>41</v>
      </c>
      <c r="F382" t="s">
        <v>814</v>
      </c>
      <c r="G382">
        <v>45644</v>
      </c>
      <c r="I382">
        <v>45651</v>
      </c>
      <c r="J382" t="s">
        <v>21</v>
      </c>
      <c r="K382" t="s">
        <v>13</v>
      </c>
      <c r="L382" t="s">
        <v>14</v>
      </c>
      <c r="M382" t="s">
        <v>1154</v>
      </c>
      <c r="N382" t="s">
        <v>24</v>
      </c>
      <c r="O382" t="s">
        <v>16</v>
      </c>
      <c r="P382">
        <v>2315.9499999999998</v>
      </c>
      <c r="Q382">
        <v>2620.2800000000002</v>
      </c>
      <c r="R382">
        <v>3658.23</v>
      </c>
      <c r="S382">
        <v>2022.17</v>
      </c>
      <c r="T382">
        <v>8</v>
      </c>
      <c r="U382">
        <v>44</v>
      </c>
    </row>
    <row r="383" spans="1:21" x14ac:dyDescent="0.3">
      <c r="A383" t="s">
        <v>815</v>
      </c>
      <c r="B383">
        <v>27064</v>
      </c>
      <c r="C383" t="s">
        <v>18</v>
      </c>
      <c r="D383" t="s">
        <v>78</v>
      </c>
      <c r="E383" t="s">
        <v>102</v>
      </c>
      <c r="F383" t="s">
        <v>816</v>
      </c>
      <c r="G383">
        <v>45855</v>
      </c>
      <c r="I383">
        <v>45865</v>
      </c>
      <c r="J383" t="s">
        <v>114</v>
      </c>
      <c r="K383" t="s">
        <v>44</v>
      </c>
      <c r="L383" t="s">
        <v>73</v>
      </c>
      <c r="M383" t="s">
        <v>1152</v>
      </c>
      <c r="N383" t="s">
        <v>24</v>
      </c>
      <c r="O383" t="s">
        <v>16</v>
      </c>
      <c r="P383">
        <v>9568.42</v>
      </c>
      <c r="Q383">
        <v>2414.4299999999998</v>
      </c>
      <c r="R383">
        <v>4464.68</v>
      </c>
      <c r="S383">
        <v>350.01</v>
      </c>
      <c r="T383">
        <v>2</v>
      </c>
      <c r="U383">
        <v>52</v>
      </c>
    </row>
    <row r="384" spans="1:21" x14ac:dyDescent="0.3">
      <c r="A384" t="s">
        <v>817</v>
      </c>
      <c r="B384">
        <v>36134</v>
      </c>
      <c r="C384" t="s">
        <v>18</v>
      </c>
      <c r="D384" t="s">
        <v>48</v>
      </c>
      <c r="E384" t="s">
        <v>62</v>
      </c>
      <c r="F384" t="s">
        <v>818</v>
      </c>
      <c r="G384">
        <v>45845</v>
      </c>
      <c r="I384">
        <v>45865</v>
      </c>
      <c r="J384" t="s">
        <v>111</v>
      </c>
      <c r="K384" t="s">
        <v>22</v>
      </c>
      <c r="L384" t="s">
        <v>45</v>
      </c>
      <c r="M384" t="s">
        <v>1147</v>
      </c>
      <c r="N384" t="s">
        <v>65</v>
      </c>
      <c r="O384" t="s">
        <v>16</v>
      </c>
      <c r="P384">
        <v>2225.17</v>
      </c>
      <c r="Q384">
        <v>1302.98</v>
      </c>
      <c r="R384">
        <v>1263.3800000000001</v>
      </c>
      <c r="S384">
        <v>1712.01</v>
      </c>
      <c r="T384">
        <v>9</v>
      </c>
      <c r="U384">
        <v>27</v>
      </c>
    </row>
    <row r="385" spans="1:21" x14ac:dyDescent="0.3">
      <c r="A385" t="s">
        <v>819</v>
      </c>
      <c r="B385">
        <v>34779</v>
      </c>
      <c r="C385" t="s">
        <v>18</v>
      </c>
      <c r="D385" t="s">
        <v>40</v>
      </c>
      <c r="E385" t="s">
        <v>68</v>
      </c>
      <c r="F385" t="s">
        <v>820</v>
      </c>
      <c r="G385">
        <v>45721</v>
      </c>
      <c r="I385">
        <v>45734</v>
      </c>
      <c r="J385" t="s">
        <v>21</v>
      </c>
      <c r="K385" t="s">
        <v>37</v>
      </c>
      <c r="L385" t="s">
        <v>14</v>
      </c>
      <c r="M385" t="s">
        <v>1152</v>
      </c>
      <c r="N385" t="s">
        <v>24</v>
      </c>
      <c r="O385" t="s">
        <v>31</v>
      </c>
      <c r="P385">
        <v>9191.61</v>
      </c>
      <c r="Q385">
        <v>1072.3399999999999</v>
      </c>
      <c r="R385">
        <v>3982.22</v>
      </c>
      <c r="S385">
        <v>931.94</v>
      </c>
      <c r="T385">
        <v>5</v>
      </c>
      <c r="U385">
        <v>31</v>
      </c>
    </row>
    <row r="386" spans="1:21" x14ac:dyDescent="0.3">
      <c r="A386" t="s">
        <v>821</v>
      </c>
      <c r="B386">
        <v>19780</v>
      </c>
      <c r="C386" t="s">
        <v>33</v>
      </c>
      <c r="D386" t="s">
        <v>67</v>
      </c>
      <c r="E386" t="s">
        <v>102</v>
      </c>
      <c r="F386" t="s">
        <v>822</v>
      </c>
      <c r="G386">
        <v>45641</v>
      </c>
      <c r="I386">
        <v>45650</v>
      </c>
      <c r="J386" t="s">
        <v>43</v>
      </c>
      <c r="K386" t="s">
        <v>22</v>
      </c>
      <c r="L386" t="s">
        <v>45</v>
      </c>
      <c r="M386" t="s">
        <v>1156</v>
      </c>
      <c r="N386" t="s">
        <v>15</v>
      </c>
      <c r="O386" t="s">
        <v>31</v>
      </c>
      <c r="P386">
        <v>7464.65</v>
      </c>
      <c r="Q386">
        <v>2663.65</v>
      </c>
      <c r="R386">
        <v>1047.52</v>
      </c>
      <c r="S386">
        <v>635.12</v>
      </c>
      <c r="T386">
        <v>10</v>
      </c>
      <c r="U386">
        <v>72</v>
      </c>
    </row>
    <row r="387" spans="1:21" x14ac:dyDescent="0.3">
      <c r="A387" t="s">
        <v>823</v>
      </c>
      <c r="B387">
        <v>31301</v>
      </c>
      <c r="C387" t="s">
        <v>8</v>
      </c>
      <c r="D387" t="s">
        <v>27</v>
      </c>
      <c r="E387" t="s">
        <v>68</v>
      </c>
      <c r="F387" t="s">
        <v>824</v>
      </c>
      <c r="G387">
        <v>45721</v>
      </c>
      <c r="I387">
        <v>45730</v>
      </c>
      <c r="J387" t="s">
        <v>1172</v>
      </c>
      <c r="K387" t="s">
        <v>13</v>
      </c>
      <c r="L387" t="s">
        <v>73</v>
      </c>
      <c r="M387" t="s">
        <v>1147</v>
      </c>
      <c r="N387" t="s">
        <v>65</v>
      </c>
      <c r="O387" t="s">
        <v>31</v>
      </c>
      <c r="P387">
        <v>11010.21</v>
      </c>
      <c r="Q387">
        <v>3050.6</v>
      </c>
      <c r="R387">
        <v>964.56</v>
      </c>
      <c r="S387">
        <v>308.33999999999997</v>
      </c>
      <c r="T387">
        <v>4</v>
      </c>
      <c r="U387">
        <v>40</v>
      </c>
    </row>
    <row r="388" spans="1:21" x14ac:dyDescent="0.3">
      <c r="A388" t="s">
        <v>825</v>
      </c>
      <c r="B388">
        <v>30278</v>
      </c>
      <c r="C388" t="s">
        <v>33</v>
      </c>
      <c r="D388" t="s">
        <v>9</v>
      </c>
      <c r="E388" t="s">
        <v>58</v>
      </c>
      <c r="F388" t="s">
        <v>826</v>
      </c>
      <c r="G388">
        <v>45910</v>
      </c>
      <c r="I388">
        <v>45924</v>
      </c>
      <c r="J388" t="s">
        <v>1149</v>
      </c>
      <c r="K388" t="s">
        <v>22</v>
      </c>
      <c r="L388" t="s">
        <v>14</v>
      </c>
      <c r="M388" t="s">
        <v>1158</v>
      </c>
      <c r="N388" t="s">
        <v>15</v>
      </c>
      <c r="P388">
        <v>13666.37</v>
      </c>
      <c r="Q388">
        <v>1994.33</v>
      </c>
      <c r="R388">
        <v>3924.94</v>
      </c>
      <c r="S388">
        <v>556.92999999999995</v>
      </c>
      <c r="T388">
        <v>9</v>
      </c>
      <c r="U388">
        <v>43</v>
      </c>
    </row>
    <row r="389" spans="1:21" x14ac:dyDescent="0.3">
      <c r="A389" t="s">
        <v>827</v>
      </c>
      <c r="B389">
        <v>38816</v>
      </c>
      <c r="C389" t="s">
        <v>18</v>
      </c>
      <c r="D389" t="s">
        <v>139</v>
      </c>
      <c r="E389" t="s">
        <v>19</v>
      </c>
      <c r="F389" t="s">
        <v>828</v>
      </c>
      <c r="G389">
        <v>45748</v>
      </c>
      <c r="I389">
        <v>45750</v>
      </c>
      <c r="J389" t="s">
        <v>29</v>
      </c>
      <c r="K389" t="s">
        <v>44</v>
      </c>
      <c r="L389" t="s">
        <v>64</v>
      </c>
      <c r="M389" t="s">
        <v>1158</v>
      </c>
      <c r="N389" t="s">
        <v>65</v>
      </c>
      <c r="O389" t="s">
        <v>25</v>
      </c>
      <c r="P389">
        <v>12418.43</v>
      </c>
      <c r="Q389">
        <v>727.94</v>
      </c>
      <c r="R389">
        <v>3457.29</v>
      </c>
      <c r="S389">
        <v>1069.97</v>
      </c>
      <c r="T389">
        <v>9</v>
      </c>
      <c r="U389">
        <v>20</v>
      </c>
    </row>
    <row r="390" spans="1:21" x14ac:dyDescent="0.3">
      <c r="A390" t="s">
        <v>829</v>
      </c>
      <c r="B390">
        <v>22631</v>
      </c>
      <c r="C390" t="s">
        <v>8</v>
      </c>
      <c r="D390" t="s">
        <v>57</v>
      </c>
      <c r="E390" t="s">
        <v>35</v>
      </c>
      <c r="F390" t="s">
        <v>830</v>
      </c>
      <c r="G390">
        <v>45651</v>
      </c>
      <c r="I390">
        <v>45662</v>
      </c>
      <c r="J390" t="s">
        <v>1153</v>
      </c>
      <c r="K390" t="s">
        <v>37</v>
      </c>
      <c r="L390" t="s">
        <v>15</v>
      </c>
      <c r="M390" t="s">
        <v>1158</v>
      </c>
      <c r="N390" t="s">
        <v>50</v>
      </c>
      <c r="O390" t="s">
        <v>51</v>
      </c>
      <c r="P390">
        <v>12569.16</v>
      </c>
      <c r="Q390">
        <v>1373.59</v>
      </c>
      <c r="R390">
        <v>3037.68</v>
      </c>
      <c r="S390">
        <v>1925.26</v>
      </c>
      <c r="T390">
        <v>4</v>
      </c>
      <c r="U390">
        <v>64</v>
      </c>
    </row>
    <row r="391" spans="1:21" x14ac:dyDescent="0.3">
      <c r="A391" t="s">
        <v>831</v>
      </c>
      <c r="B391">
        <v>23847</v>
      </c>
      <c r="C391" t="s">
        <v>18</v>
      </c>
      <c r="D391" t="s">
        <v>78</v>
      </c>
      <c r="E391" t="s">
        <v>58</v>
      </c>
      <c r="F391" t="s">
        <v>832</v>
      </c>
      <c r="G391">
        <v>45333</v>
      </c>
      <c r="I391">
        <v>45341</v>
      </c>
      <c r="J391" t="s">
        <v>104</v>
      </c>
      <c r="K391" t="s">
        <v>13</v>
      </c>
      <c r="L391" t="s">
        <v>15</v>
      </c>
      <c r="M391" t="s">
        <v>1152</v>
      </c>
      <c r="N391" t="s">
        <v>50</v>
      </c>
      <c r="O391" t="s">
        <v>31</v>
      </c>
      <c r="P391">
        <v>7441.06</v>
      </c>
      <c r="Q391">
        <v>2097.4499999999998</v>
      </c>
      <c r="R391">
        <v>4406.09</v>
      </c>
      <c r="S391">
        <v>1332.77</v>
      </c>
      <c r="T391">
        <v>4</v>
      </c>
      <c r="U391">
        <v>61</v>
      </c>
    </row>
    <row r="392" spans="1:21" x14ac:dyDescent="0.3">
      <c r="A392" t="s">
        <v>833</v>
      </c>
      <c r="B392">
        <v>33050</v>
      </c>
      <c r="C392" t="s">
        <v>18</v>
      </c>
      <c r="D392" t="s">
        <v>57</v>
      </c>
      <c r="E392" t="s">
        <v>54</v>
      </c>
      <c r="F392" t="s">
        <v>834</v>
      </c>
      <c r="G392">
        <v>45561</v>
      </c>
      <c r="I392">
        <v>45575</v>
      </c>
      <c r="J392" t="s">
        <v>29</v>
      </c>
      <c r="K392" t="s">
        <v>22</v>
      </c>
      <c r="L392" t="s">
        <v>14</v>
      </c>
      <c r="M392" t="s">
        <v>1147</v>
      </c>
      <c r="N392" t="s">
        <v>50</v>
      </c>
      <c r="O392" t="s">
        <v>51</v>
      </c>
      <c r="P392">
        <v>12646.34</v>
      </c>
      <c r="Q392">
        <v>1415.04</v>
      </c>
      <c r="R392">
        <v>4720.1099999999997</v>
      </c>
      <c r="S392">
        <v>501.26</v>
      </c>
      <c r="T392">
        <v>2</v>
      </c>
      <c r="U392">
        <v>35</v>
      </c>
    </row>
    <row r="393" spans="1:21" x14ac:dyDescent="0.3">
      <c r="A393" t="s">
        <v>835</v>
      </c>
      <c r="B393">
        <v>30910</v>
      </c>
      <c r="C393" t="s">
        <v>8</v>
      </c>
      <c r="D393" t="s">
        <v>27</v>
      </c>
      <c r="E393" t="s">
        <v>62</v>
      </c>
      <c r="F393" t="s">
        <v>836</v>
      </c>
      <c r="G393">
        <v>45897</v>
      </c>
      <c r="I393">
        <v>45911</v>
      </c>
      <c r="J393" t="s">
        <v>100</v>
      </c>
      <c r="K393" t="s">
        <v>13</v>
      </c>
      <c r="L393" t="s">
        <v>15</v>
      </c>
      <c r="M393" t="s">
        <v>1159</v>
      </c>
      <c r="N393" t="s">
        <v>15</v>
      </c>
      <c r="O393" t="s">
        <v>16</v>
      </c>
      <c r="P393">
        <v>4686.8</v>
      </c>
      <c r="Q393">
        <v>2404.0300000000002</v>
      </c>
      <c r="R393">
        <v>2691.84</v>
      </c>
      <c r="S393">
        <v>1416.23</v>
      </c>
      <c r="T393">
        <v>6</v>
      </c>
      <c r="U393">
        <v>41</v>
      </c>
    </row>
    <row r="394" spans="1:21" x14ac:dyDescent="0.3">
      <c r="A394" t="s">
        <v>837</v>
      </c>
      <c r="B394">
        <v>19989</v>
      </c>
      <c r="C394" t="s">
        <v>18</v>
      </c>
      <c r="D394" t="s">
        <v>40</v>
      </c>
      <c r="E394" t="s">
        <v>54</v>
      </c>
      <c r="F394" t="s">
        <v>838</v>
      </c>
      <c r="G394">
        <v>45892</v>
      </c>
      <c r="I394">
        <v>45903</v>
      </c>
      <c r="J394" t="s">
        <v>43</v>
      </c>
      <c r="K394" t="s">
        <v>37</v>
      </c>
      <c r="L394" t="s">
        <v>64</v>
      </c>
      <c r="M394" t="s">
        <v>1162</v>
      </c>
      <c r="N394" t="s">
        <v>65</v>
      </c>
      <c r="O394" t="s">
        <v>25</v>
      </c>
      <c r="P394">
        <v>7685</v>
      </c>
      <c r="Q394">
        <v>2467.9699999999998</v>
      </c>
      <c r="R394">
        <v>3353.49</v>
      </c>
      <c r="S394">
        <v>834.82</v>
      </c>
      <c r="T394">
        <v>2</v>
      </c>
      <c r="U394">
        <v>71</v>
      </c>
    </row>
    <row r="395" spans="1:21" x14ac:dyDescent="0.3">
      <c r="A395" t="s">
        <v>839</v>
      </c>
      <c r="B395">
        <v>20495</v>
      </c>
      <c r="C395" t="s">
        <v>33</v>
      </c>
      <c r="D395" t="s">
        <v>27</v>
      </c>
      <c r="E395" t="s">
        <v>35</v>
      </c>
      <c r="F395" t="s">
        <v>840</v>
      </c>
      <c r="G395">
        <v>45655</v>
      </c>
      <c r="I395">
        <v>45661</v>
      </c>
      <c r="J395" t="s">
        <v>111</v>
      </c>
      <c r="K395" t="s">
        <v>22</v>
      </c>
      <c r="L395" t="s">
        <v>14</v>
      </c>
      <c r="M395" t="s">
        <v>1159</v>
      </c>
      <c r="N395" t="s">
        <v>65</v>
      </c>
      <c r="O395" t="s">
        <v>51</v>
      </c>
      <c r="P395">
        <v>9181.58</v>
      </c>
      <c r="Q395">
        <v>1157.1400000000001</v>
      </c>
      <c r="R395">
        <v>2815.48</v>
      </c>
      <c r="S395">
        <v>116</v>
      </c>
      <c r="T395">
        <v>4</v>
      </c>
      <c r="U395">
        <v>70</v>
      </c>
    </row>
    <row r="396" spans="1:21" x14ac:dyDescent="0.3">
      <c r="A396" t="s">
        <v>841</v>
      </c>
      <c r="B396">
        <v>38783</v>
      </c>
      <c r="C396" t="s">
        <v>18</v>
      </c>
      <c r="D396" t="s">
        <v>57</v>
      </c>
      <c r="E396" t="s">
        <v>41</v>
      </c>
      <c r="F396" t="s">
        <v>842</v>
      </c>
      <c r="G396">
        <v>45943</v>
      </c>
      <c r="I396">
        <v>45963</v>
      </c>
      <c r="J396" t="s">
        <v>1153</v>
      </c>
      <c r="K396" t="s">
        <v>37</v>
      </c>
      <c r="L396" t="s">
        <v>30</v>
      </c>
      <c r="M396" t="s">
        <v>1158</v>
      </c>
      <c r="N396" t="s">
        <v>65</v>
      </c>
      <c r="O396" t="s">
        <v>25</v>
      </c>
      <c r="P396">
        <v>6901.03</v>
      </c>
      <c r="Q396">
        <v>534.21</v>
      </c>
      <c r="R396">
        <v>4985.8500000000004</v>
      </c>
      <c r="S396">
        <v>1867.99</v>
      </c>
      <c r="T396">
        <v>3</v>
      </c>
      <c r="U396">
        <v>20</v>
      </c>
    </row>
    <row r="397" spans="1:21" x14ac:dyDescent="0.3">
      <c r="A397" t="s">
        <v>843</v>
      </c>
      <c r="B397">
        <v>30848</v>
      </c>
      <c r="C397" t="s">
        <v>33</v>
      </c>
      <c r="D397" t="s">
        <v>126</v>
      </c>
      <c r="E397" t="s">
        <v>75</v>
      </c>
      <c r="F397" t="s">
        <v>844</v>
      </c>
      <c r="G397">
        <v>45966</v>
      </c>
      <c r="I397">
        <v>45984</v>
      </c>
      <c r="J397" t="s">
        <v>111</v>
      </c>
      <c r="K397" t="s">
        <v>22</v>
      </c>
      <c r="L397" t="s">
        <v>15</v>
      </c>
      <c r="M397" t="s">
        <v>1152</v>
      </c>
      <c r="N397" t="s">
        <v>50</v>
      </c>
      <c r="O397" t="s">
        <v>31</v>
      </c>
      <c r="P397">
        <v>5449.32</v>
      </c>
      <c r="Q397">
        <v>1459.62</v>
      </c>
      <c r="R397">
        <v>3845.35</v>
      </c>
      <c r="S397">
        <v>666.21</v>
      </c>
      <c r="T397">
        <v>3</v>
      </c>
      <c r="U397">
        <v>41</v>
      </c>
    </row>
    <row r="398" spans="1:21" x14ac:dyDescent="0.3">
      <c r="A398" t="s">
        <v>845</v>
      </c>
      <c r="B398">
        <v>26483</v>
      </c>
      <c r="C398" t="s">
        <v>47</v>
      </c>
      <c r="D398" t="s">
        <v>40</v>
      </c>
      <c r="E398" t="s">
        <v>19</v>
      </c>
      <c r="F398" t="s">
        <v>846</v>
      </c>
      <c r="G398">
        <v>45794</v>
      </c>
      <c r="I398">
        <v>45795</v>
      </c>
      <c r="J398" t="s">
        <v>1153</v>
      </c>
      <c r="K398" t="s">
        <v>22</v>
      </c>
      <c r="L398" t="s">
        <v>73</v>
      </c>
      <c r="M398" t="s">
        <v>1152</v>
      </c>
      <c r="N398" t="s">
        <v>65</v>
      </c>
      <c r="O398" t="s">
        <v>16</v>
      </c>
      <c r="P398">
        <v>2239.77</v>
      </c>
      <c r="Q398">
        <v>1351.76</v>
      </c>
      <c r="R398">
        <v>3271.82</v>
      </c>
      <c r="S398">
        <v>2020.89</v>
      </c>
      <c r="T398">
        <v>5</v>
      </c>
      <c r="U398">
        <v>53</v>
      </c>
    </row>
    <row r="399" spans="1:21" x14ac:dyDescent="0.3">
      <c r="A399" t="s">
        <v>847</v>
      </c>
      <c r="B399">
        <v>28298</v>
      </c>
      <c r="C399" t="s">
        <v>47</v>
      </c>
      <c r="D399" t="s">
        <v>126</v>
      </c>
      <c r="E399" t="s">
        <v>10</v>
      </c>
      <c r="F399" t="s">
        <v>848</v>
      </c>
      <c r="G399">
        <v>46007</v>
      </c>
      <c r="I399">
        <v>46009</v>
      </c>
      <c r="J399" t="s">
        <v>1165</v>
      </c>
      <c r="K399" t="s">
        <v>44</v>
      </c>
      <c r="L399" t="s">
        <v>64</v>
      </c>
      <c r="M399" t="s">
        <v>1159</v>
      </c>
      <c r="N399" t="s">
        <v>15</v>
      </c>
      <c r="O399" t="s">
        <v>51</v>
      </c>
      <c r="P399">
        <v>14270.37</v>
      </c>
      <c r="Q399">
        <v>1028.24</v>
      </c>
      <c r="R399">
        <v>3396.48</v>
      </c>
      <c r="S399">
        <v>339.94</v>
      </c>
      <c r="T399">
        <v>2</v>
      </c>
      <c r="U399">
        <v>48</v>
      </c>
    </row>
    <row r="400" spans="1:21" x14ac:dyDescent="0.3">
      <c r="A400" t="s">
        <v>849</v>
      </c>
      <c r="B400">
        <v>32439</v>
      </c>
      <c r="C400" t="s">
        <v>18</v>
      </c>
      <c r="D400" t="s">
        <v>139</v>
      </c>
      <c r="E400" t="s">
        <v>62</v>
      </c>
      <c r="F400" t="s">
        <v>850</v>
      </c>
      <c r="G400">
        <v>45933</v>
      </c>
      <c r="I400">
        <v>45943</v>
      </c>
      <c r="J400" t="s">
        <v>72</v>
      </c>
      <c r="K400" t="s">
        <v>13</v>
      </c>
      <c r="L400" t="s">
        <v>23</v>
      </c>
      <c r="M400" t="s">
        <v>1150</v>
      </c>
      <c r="N400" t="s">
        <v>65</v>
      </c>
      <c r="O400" t="s">
        <v>25</v>
      </c>
      <c r="P400">
        <v>11060.38</v>
      </c>
      <c r="Q400">
        <v>1795.03</v>
      </c>
      <c r="R400">
        <v>1491.22</v>
      </c>
      <c r="S400">
        <v>1023.33</v>
      </c>
      <c r="T400">
        <v>7</v>
      </c>
      <c r="U400">
        <v>37</v>
      </c>
    </row>
    <row r="401" spans="1:21" x14ac:dyDescent="0.3">
      <c r="A401" t="s">
        <v>851</v>
      </c>
      <c r="B401">
        <v>38695</v>
      </c>
      <c r="C401" t="s">
        <v>33</v>
      </c>
      <c r="D401" t="s">
        <v>40</v>
      </c>
      <c r="E401" t="s">
        <v>41</v>
      </c>
      <c r="F401" t="s">
        <v>852</v>
      </c>
      <c r="G401">
        <v>45989</v>
      </c>
      <c r="I401">
        <v>46002</v>
      </c>
      <c r="J401" t="s">
        <v>12</v>
      </c>
      <c r="K401" t="s">
        <v>37</v>
      </c>
      <c r="L401" t="s">
        <v>45</v>
      </c>
      <c r="M401" t="s">
        <v>1157</v>
      </c>
      <c r="N401" t="s">
        <v>15</v>
      </c>
      <c r="O401" t="s">
        <v>25</v>
      </c>
      <c r="P401">
        <v>3605.61</v>
      </c>
      <c r="Q401">
        <v>570.1</v>
      </c>
      <c r="R401">
        <v>676.18</v>
      </c>
      <c r="S401">
        <v>1298.55</v>
      </c>
      <c r="T401">
        <v>7</v>
      </c>
      <c r="U401">
        <v>20</v>
      </c>
    </row>
    <row r="402" spans="1:21" x14ac:dyDescent="0.3">
      <c r="A402" t="s">
        <v>853</v>
      </c>
      <c r="B402">
        <v>30338</v>
      </c>
      <c r="C402" t="s">
        <v>47</v>
      </c>
      <c r="D402" t="s">
        <v>53</v>
      </c>
      <c r="E402" t="s">
        <v>10</v>
      </c>
      <c r="F402" t="s">
        <v>854</v>
      </c>
      <c r="G402">
        <v>45807</v>
      </c>
      <c r="I402">
        <v>45814</v>
      </c>
      <c r="J402" t="s">
        <v>1176</v>
      </c>
      <c r="K402" t="s">
        <v>44</v>
      </c>
      <c r="L402" t="s">
        <v>45</v>
      </c>
      <c r="M402" t="s">
        <v>1154</v>
      </c>
      <c r="N402" t="s">
        <v>15</v>
      </c>
      <c r="O402" t="s">
        <v>31</v>
      </c>
      <c r="P402">
        <v>1785.34</v>
      </c>
      <c r="Q402">
        <v>709.13</v>
      </c>
      <c r="R402">
        <v>752.34</v>
      </c>
      <c r="S402">
        <v>1278.43</v>
      </c>
      <c r="T402">
        <v>5</v>
      </c>
      <c r="U402">
        <v>43</v>
      </c>
    </row>
    <row r="403" spans="1:21" x14ac:dyDescent="0.3">
      <c r="A403" t="s">
        <v>855</v>
      </c>
      <c r="B403">
        <v>29374</v>
      </c>
      <c r="C403" t="s">
        <v>47</v>
      </c>
      <c r="D403" t="s">
        <v>61</v>
      </c>
      <c r="E403" t="s">
        <v>58</v>
      </c>
      <c r="F403" t="s">
        <v>856</v>
      </c>
      <c r="G403">
        <v>45406</v>
      </c>
      <c r="I403">
        <v>45409</v>
      </c>
      <c r="J403" t="s">
        <v>1149</v>
      </c>
      <c r="K403" t="s">
        <v>37</v>
      </c>
      <c r="L403" t="s">
        <v>14</v>
      </c>
      <c r="M403" t="s">
        <v>1157</v>
      </c>
      <c r="N403" t="s">
        <v>15</v>
      </c>
      <c r="O403" t="s">
        <v>51</v>
      </c>
      <c r="R403">
        <v>2481.56</v>
      </c>
      <c r="S403">
        <v>834.48</v>
      </c>
      <c r="T403">
        <v>3</v>
      </c>
      <c r="U403">
        <v>46</v>
      </c>
    </row>
    <row r="404" spans="1:21" x14ac:dyDescent="0.3">
      <c r="A404" t="s">
        <v>857</v>
      </c>
      <c r="B404">
        <v>30814</v>
      </c>
      <c r="C404" t="s">
        <v>18</v>
      </c>
      <c r="D404" t="s">
        <v>34</v>
      </c>
      <c r="E404" t="s">
        <v>58</v>
      </c>
      <c r="F404" t="s">
        <v>858</v>
      </c>
      <c r="G404">
        <v>45943</v>
      </c>
      <c r="I404">
        <v>45958</v>
      </c>
      <c r="J404" t="s">
        <v>1153</v>
      </c>
      <c r="K404" t="s">
        <v>13</v>
      </c>
      <c r="L404" t="s">
        <v>45</v>
      </c>
      <c r="M404" t="s">
        <v>1161</v>
      </c>
      <c r="N404" t="s">
        <v>50</v>
      </c>
      <c r="O404" t="s">
        <v>25</v>
      </c>
      <c r="P404">
        <v>14890.5</v>
      </c>
      <c r="Q404">
        <v>980.44</v>
      </c>
      <c r="R404">
        <v>1898.19</v>
      </c>
      <c r="S404">
        <v>926.18</v>
      </c>
      <c r="T404">
        <v>3</v>
      </c>
      <c r="U404">
        <v>42</v>
      </c>
    </row>
    <row r="405" spans="1:21" x14ac:dyDescent="0.3">
      <c r="A405" t="s">
        <v>859</v>
      </c>
      <c r="B405">
        <v>26860</v>
      </c>
      <c r="C405" t="s">
        <v>8</v>
      </c>
      <c r="D405" t="s">
        <v>139</v>
      </c>
      <c r="E405" t="s">
        <v>35</v>
      </c>
      <c r="F405" t="s">
        <v>860</v>
      </c>
      <c r="G405">
        <v>45664</v>
      </c>
      <c r="I405">
        <v>45675</v>
      </c>
      <c r="J405" t="s">
        <v>29</v>
      </c>
      <c r="K405" t="s">
        <v>44</v>
      </c>
      <c r="L405" t="s">
        <v>38</v>
      </c>
      <c r="M405" t="s">
        <v>1162</v>
      </c>
      <c r="N405" t="s">
        <v>15</v>
      </c>
      <c r="O405" t="s">
        <v>51</v>
      </c>
      <c r="P405">
        <v>6324.68</v>
      </c>
      <c r="Q405">
        <v>1078.7</v>
      </c>
      <c r="R405">
        <v>3481.09</v>
      </c>
      <c r="S405">
        <v>480.88</v>
      </c>
      <c r="T405">
        <v>4</v>
      </c>
      <c r="U405">
        <v>52</v>
      </c>
    </row>
    <row r="406" spans="1:21" x14ac:dyDescent="0.3">
      <c r="A406" t="s">
        <v>861</v>
      </c>
      <c r="B406">
        <v>38244</v>
      </c>
      <c r="C406" t="s">
        <v>18</v>
      </c>
      <c r="D406" t="s">
        <v>78</v>
      </c>
      <c r="E406" t="s">
        <v>10</v>
      </c>
      <c r="F406" t="s">
        <v>862</v>
      </c>
      <c r="G406">
        <v>45476</v>
      </c>
      <c r="I406">
        <v>45491</v>
      </c>
      <c r="J406" t="s">
        <v>43</v>
      </c>
      <c r="K406" t="s">
        <v>13</v>
      </c>
      <c r="L406" t="s">
        <v>64</v>
      </c>
      <c r="M406" t="s">
        <v>1147</v>
      </c>
      <c r="N406" t="s">
        <v>65</v>
      </c>
      <c r="O406" t="s">
        <v>51</v>
      </c>
      <c r="P406">
        <v>11675.06</v>
      </c>
      <c r="Q406">
        <v>1267.3599999999999</v>
      </c>
      <c r="R406">
        <v>643.58000000000004</v>
      </c>
      <c r="S406">
        <v>83.01</v>
      </c>
      <c r="T406">
        <v>10</v>
      </c>
      <c r="U406">
        <v>21</v>
      </c>
    </row>
    <row r="407" spans="1:21" x14ac:dyDescent="0.3">
      <c r="A407" t="s">
        <v>863</v>
      </c>
      <c r="B407">
        <v>36202</v>
      </c>
      <c r="C407" t="s">
        <v>18</v>
      </c>
      <c r="D407" t="s">
        <v>67</v>
      </c>
      <c r="E407" t="s">
        <v>62</v>
      </c>
      <c r="F407" t="s">
        <v>864</v>
      </c>
      <c r="G407">
        <v>45657</v>
      </c>
      <c r="I407">
        <v>45664</v>
      </c>
      <c r="J407" t="s">
        <v>114</v>
      </c>
      <c r="K407" t="s">
        <v>13</v>
      </c>
      <c r="L407" t="s">
        <v>14</v>
      </c>
      <c r="M407" t="s">
        <v>1152</v>
      </c>
      <c r="N407" t="s">
        <v>15</v>
      </c>
      <c r="O407" t="s">
        <v>31</v>
      </c>
      <c r="P407">
        <v>3654.66</v>
      </c>
      <c r="Q407">
        <v>1598.32</v>
      </c>
      <c r="R407">
        <v>4015.99</v>
      </c>
      <c r="S407">
        <v>629.5</v>
      </c>
      <c r="T407">
        <v>6</v>
      </c>
      <c r="U407">
        <v>27</v>
      </c>
    </row>
    <row r="408" spans="1:21" x14ac:dyDescent="0.3">
      <c r="A408" t="s">
        <v>865</v>
      </c>
      <c r="B408">
        <v>31851</v>
      </c>
      <c r="C408" t="s">
        <v>18</v>
      </c>
      <c r="D408" t="s">
        <v>139</v>
      </c>
      <c r="E408" t="s">
        <v>58</v>
      </c>
      <c r="F408" t="s">
        <v>866</v>
      </c>
      <c r="G408">
        <v>45391</v>
      </c>
      <c r="I408">
        <v>45393</v>
      </c>
      <c r="J408" t="s">
        <v>114</v>
      </c>
      <c r="K408" t="s">
        <v>22</v>
      </c>
      <c r="L408" t="s">
        <v>14</v>
      </c>
      <c r="M408" t="s">
        <v>1159</v>
      </c>
      <c r="N408" t="s">
        <v>50</v>
      </c>
      <c r="O408" t="s">
        <v>16</v>
      </c>
      <c r="P408">
        <v>11024.1</v>
      </c>
      <c r="Q408">
        <v>824.71</v>
      </c>
      <c r="R408">
        <v>3415.68</v>
      </c>
      <c r="S408">
        <v>296.64</v>
      </c>
      <c r="T408">
        <v>10</v>
      </c>
      <c r="U408">
        <v>39</v>
      </c>
    </row>
    <row r="409" spans="1:21" x14ac:dyDescent="0.3">
      <c r="A409" t="s">
        <v>867</v>
      </c>
      <c r="B409">
        <v>23371</v>
      </c>
      <c r="C409" t="s">
        <v>47</v>
      </c>
      <c r="D409" t="s">
        <v>139</v>
      </c>
      <c r="E409" t="s">
        <v>75</v>
      </c>
      <c r="F409" t="s">
        <v>868</v>
      </c>
      <c r="G409">
        <v>45377</v>
      </c>
      <c r="I409">
        <v>45389</v>
      </c>
      <c r="J409" t="s">
        <v>21</v>
      </c>
      <c r="K409" t="s">
        <v>22</v>
      </c>
      <c r="L409" t="s">
        <v>38</v>
      </c>
      <c r="M409" t="s">
        <v>1161</v>
      </c>
      <c r="N409" t="s">
        <v>24</v>
      </c>
      <c r="O409" t="s">
        <v>16</v>
      </c>
      <c r="P409">
        <v>1434.84</v>
      </c>
      <c r="Q409">
        <v>778.52</v>
      </c>
      <c r="R409">
        <v>3917.94</v>
      </c>
      <c r="S409">
        <v>728.56</v>
      </c>
      <c r="T409">
        <v>5</v>
      </c>
      <c r="U409">
        <v>62</v>
      </c>
    </row>
    <row r="410" spans="1:21" x14ac:dyDescent="0.3">
      <c r="A410" t="s">
        <v>869</v>
      </c>
      <c r="B410">
        <v>33878</v>
      </c>
      <c r="C410" t="s">
        <v>33</v>
      </c>
      <c r="D410" t="s">
        <v>53</v>
      </c>
      <c r="E410" t="s">
        <v>75</v>
      </c>
      <c r="F410" t="s">
        <v>870</v>
      </c>
      <c r="G410">
        <v>45601</v>
      </c>
      <c r="I410">
        <v>45614</v>
      </c>
      <c r="J410" t="s">
        <v>72</v>
      </c>
      <c r="K410" t="s">
        <v>13</v>
      </c>
      <c r="L410" t="s">
        <v>30</v>
      </c>
      <c r="M410" t="s">
        <v>1158</v>
      </c>
      <c r="N410" t="s">
        <v>65</v>
      </c>
      <c r="O410" t="s">
        <v>31</v>
      </c>
      <c r="P410">
        <v>8788.7800000000007</v>
      </c>
      <c r="Q410">
        <v>2964.19</v>
      </c>
      <c r="R410">
        <v>874.55</v>
      </c>
      <c r="S410">
        <v>1905.93</v>
      </c>
      <c r="T410">
        <v>7</v>
      </c>
      <c r="U410">
        <v>33</v>
      </c>
    </row>
    <row r="411" spans="1:21" x14ac:dyDescent="0.3">
      <c r="A411" t="s">
        <v>871</v>
      </c>
      <c r="B411">
        <v>35150</v>
      </c>
      <c r="C411" t="s">
        <v>47</v>
      </c>
      <c r="D411" t="s">
        <v>78</v>
      </c>
      <c r="E411" t="s">
        <v>54</v>
      </c>
      <c r="F411" t="s">
        <v>872</v>
      </c>
      <c r="G411">
        <v>45401</v>
      </c>
      <c r="I411">
        <v>45409</v>
      </c>
      <c r="J411" t="s">
        <v>100</v>
      </c>
      <c r="K411" t="s">
        <v>37</v>
      </c>
      <c r="L411" t="s">
        <v>14</v>
      </c>
      <c r="M411" t="s">
        <v>1157</v>
      </c>
      <c r="N411" t="s">
        <v>50</v>
      </c>
      <c r="O411" t="s">
        <v>51</v>
      </c>
      <c r="P411">
        <v>4686</v>
      </c>
      <c r="Q411">
        <v>493.37</v>
      </c>
      <c r="R411">
        <v>782.56</v>
      </c>
      <c r="S411">
        <v>1537.57</v>
      </c>
      <c r="T411">
        <v>1</v>
      </c>
      <c r="U411">
        <v>30</v>
      </c>
    </row>
    <row r="412" spans="1:21" x14ac:dyDescent="0.3">
      <c r="A412" t="s">
        <v>873</v>
      </c>
      <c r="B412">
        <v>35011</v>
      </c>
      <c r="C412" t="s">
        <v>47</v>
      </c>
      <c r="D412" t="s">
        <v>139</v>
      </c>
      <c r="E412" t="s">
        <v>41</v>
      </c>
      <c r="F412" t="s">
        <v>874</v>
      </c>
      <c r="G412">
        <v>45507</v>
      </c>
      <c r="I412">
        <v>45509</v>
      </c>
      <c r="J412" t="s">
        <v>100</v>
      </c>
      <c r="K412" t="s">
        <v>22</v>
      </c>
      <c r="L412" t="s">
        <v>23</v>
      </c>
      <c r="M412" t="s">
        <v>1152</v>
      </c>
      <c r="N412" t="s">
        <v>50</v>
      </c>
      <c r="O412" t="s">
        <v>51</v>
      </c>
      <c r="P412">
        <v>12092.01</v>
      </c>
      <c r="Q412">
        <v>2080.7600000000002</v>
      </c>
      <c r="R412">
        <v>738.82</v>
      </c>
      <c r="S412">
        <v>1773.07</v>
      </c>
      <c r="T412">
        <v>8</v>
      </c>
      <c r="U412">
        <v>30</v>
      </c>
    </row>
    <row r="413" spans="1:21" x14ac:dyDescent="0.3">
      <c r="A413" t="s">
        <v>875</v>
      </c>
      <c r="B413">
        <v>25899</v>
      </c>
      <c r="C413" t="s">
        <v>8</v>
      </c>
      <c r="D413" t="s">
        <v>67</v>
      </c>
      <c r="E413" t="s">
        <v>41</v>
      </c>
      <c r="F413" t="s">
        <v>876</v>
      </c>
      <c r="G413">
        <v>45898</v>
      </c>
      <c r="I413">
        <v>45908</v>
      </c>
      <c r="J413" t="s">
        <v>21</v>
      </c>
      <c r="K413" t="s">
        <v>37</v>
      </c>
      <c r="L413" t="s">
        <v>15</v>
      </c>
      <c r="M413" t="s">
        <v>1162</v>
      </c>
      <c r="N413" t="s">
        <v>15</v>
      </c>
      <c r="O413" t="s">
        <v>51</v>
      </c>
      <c r="P413">
        <v>1673.17</v>
      </c>
      <c r="Q413">
        <v>1822.09</v>
      </c>
      <c r="R413">
        <v>853.84</v>
      </c>
      <c r="S413">
        <v>1644.82</v>
      </c>
      <c r="T413">
        <v>6</v>
      </c>
      <c r="U413">
        <v>55</v>
      </c>
    </row>
    <row r="414" spans="1:21" x14ac:dyDescent="0.3">
      <c r="A414" t="s">
        <v>877</v>
      </c>
      <c r="B414">
        <v>29730</v>
      </c>
      <c r="C414" t="s">
        <v>18</v>
      </c>
      <c r="D414" t="s">
        <v>126</v>
      </c>
      <c r="E414" t="s">
        <v>75</v>
      </c>
      <c r="F414" t="s">
        <v>878</v>
      </c>
      <c r="G414">
        <v>45618</v>
      </c>
      <c r="I414">
        <v>45633</v>
      </c>
      <c r="J414" t="s">
        <v>29</v>
      </c>
      <c r="K414" t="s">
        <v>13</v>
      </c>
      <c r="L414" t="s">
        <v>38</v>
      </c>
      <c r="M414" t="s">
        <v>1156</v>
      </c>
      <c r="N414" t="s">
        <v>15</v>
      </c>
      <c r="O414" t="s">
        <v>16</v>
      </c>
      <c r="P414">
        <v>3143.08</v>
      </c>
      <c r="Q414">
        <v>1355.34</v>
      </c>
      <c r="R414">
        <v>3299.96</v>
      </c>
      <c r="S414">
        <v>113.67</v>
      </c>
      <c r="T414">
        <v>6</v>
      </c>
      <c r="U414">
        <v>45</v>
      </c>
    </row>
    <row r="415" spans="1:21" x14ac:dyDescent="0.3">
      <c r="A415" t="s">
        <v>879</v>
      </c>
      <c r="B415">
        <v>36835</v>
      </c>
      <c r="C415" t="s">
        <v>8</v>
      </c>
      <c r="D415" t="s">
        <v>34</v>
      </c>
      <c r="E415" t="s">
        <v>102</v>
      </c>
      <c r="F415" t="s">
        <v>880</v>
      </c>
      <c r="G415">
        <v>45701</v>
      </c>
      <c r="I415">
        <v>45713</v>
      </c>
      <c r="J415" t="s">
        <v>43</v>
      </c>
      <c r="K415" t="s">
        <v>22</v>
      </c>
      <c r="L415" t="s">
        <v>45</v>
      </c>
      <c r="M415" t="s">
        <v>1150</v>
      </c>
      <c r="N415" t="s">
        <v>15</v>
      </c>
      <c r="O415" t="s">
        <v>51</v>
      </c>
      <c r="P415">
        <v>11165.73</v>
      </c>
      <c r="Q415">
        <v>727.29</v>
      </c>
      <c r="R415">
        <v>3688.51</v>
      </c>
      <c r="S415">
        <v>1771.99</v>
      </c>
      <c r="T415">
        <v>6</v>
      </c>
      <c r="U415">
        <v>25</v>
      </c>
    </row>
    <row r="416" spans="1:21" x14ac:dyDescent="0.3">
      <c r="A416" t="s">
        <v>881</v>
      </c>
      <c r="B416">
        <v>38751</v>
      </c>
      <c r="C416" t="s">
        <v>8</v>
      </c>
      <c r="D416" t="s">
        <v>9</v>
      </c>
      <c r="E416" t="s">
        <v>54</v>
      </c>
      <c r="F416" t="s">
        <v>882</v>
      </c>
      <c r="G416">
        <v>45623</v>
      </c>
      <c r="I416">
        <v>45639</v>
      </c>
      <c r="J416" t="s">
        <v>21</v>
      </c>
      <c r="K416" t="s">
        <v>22</v>
      </c>
      <c r="L416" t="s">
        <v>64</v>
      </c>
      <c r="M416" t="s">
        <v>1154</v>
      </c>
      <c r="N416" t="s">
        <v>50</v>
      </c>
      <c r="O416" t="s">
        <v>16</v>
      </c>
      <c r="P416">
        <v>7119.33</v>
      </c>
      <c r="Q416">
        <v>977.63</v>
      </c>
      <c r="R416">
        <v>3985.31</v>
      </c>
      <c r="S416">
        <v>953.5</v>
      </c>
      <c r="T416">
        <v>1</v>
      </c>
      <c r="U416">
        <v>20</v>
      </c>
    </row>
    <row r="417" spans="1:21" x14ac:dyDescent="0.3">
      <c r="A417" t="s">
        <v>883</v>
      </c>
      <c r="B417">
        <v>38526</v>
      </c>
      <c r="C417" t="s">
        <v>18</v>
      </c>
      <c r="D417" t="s">
        <v>48</v>
      </c>
      <c r="E417" t="s">
        <v>54</v>
      </c>
      <c r="F417" t="s">
        <v>884</v>
      </c>
      <c r="G417">
        <v>45531</v>
      </c>
      <c r="I417">
        <v>45542</v>
      </c>
      <c r="J417" t="s">
        <v>1153</v>
      </c>
      <c r="K417" t="s">
        <v>13</v>
      </c>
      <c r="L417" t="s">
        <v>73</v>
      </c>
      <c r="M417" t="s">
        <v>1154</v>
      </c>
      <c r="N417" t="s">
        <v>65</v>
      </c>
      <c r="O417" t="s">
        <v>25</v>
      </c>
      <c r="P417">
        <v>7543.19</v>
      </c>
      <c r="Q417">
        <v>2929.44</v>
      </c>
      <c r="R417">
        <v>2742.13</v>
      </c>
      <c r="S417">
        <v>1048.1300000000001</v>
      </c>
      <c r="T417">
        <v>3</v>
      </c>
      <c r="U417">
        <v>20</v>
      </c>
    </row>
    <row r="418" spans="1:21" x14ac:dyDescent="0.3">
      <c r="A418" t="s">
        <v>885</v>
      </c>
      <c r="B418">
        <v>26870</v>
      </c>
      <c r="C418" t="s">
        <v>18</v>
      </c>
      <c r="D418" t="s">
        <v>67</v>
      </c>
      <c r="E418" t="s">
        <v>75</v>
      </c>
      <c r="F418" t="s">
        <v>886</v>
      </c>
      <c r="G418">
        <v>45489</v>
      </c>
      <c r="I418">
        <v>45498</v>
      </c>
      <c r="J418" t="s">
        <v>114</v>
      </c>
      <c r="K418" t="s">
        <v>44</v>
      </c>
      <c r="L418" t="s">
        <v>14</v>
      </c>
      <c r="M418" t="s">
        <v>1158</v>
      </c>
      <c r="N418" t="s">
        <v>65</v>
      </c>
      <c r="O418" t="s">
        <v>16</v>
      </c>
      <c r="P418">
        <v>13434.77</v>
      </c>
      <c r="Q418">
        <v>1082.33</v>
      </c>
      <c r="R418">
        <v>4467.88</v>
      </c>
      <c r="S418">
        <v>610.41</v>
      </c>
      <c r="T418">
        <v>1</v>
      </c>
      <c r="U418">
        <v>52</v>
      </c>
    </row>
    <row r="419" spans="1:21" x14ac:dyDescent="0.3">
      <c r="A419" t="s">
        <v>887</v>
      </c>
      <c r="B419">
        <v>32518</v>
      </c>
      <c r="C419" t="s">
        <v>33</v>
      </c>
      <c r="D419" t="s">
        <v>34</v>
      </c>
      <c r="E419" t="s">
        <v>19</v>
      </c>
      <c r="F419" t="s">
        <v>888</v>
      </c>
      <c r="G419">
        <v>45559</v>
      </c>
      <c r="I419">
        <v>45566</v>
      </c>
      <c r="J419" t="s">
        <v>1168</v>
      </c>
      <c r="K419" t="s">
        <v>13</v>
      </c>
      <c r="L419" t="s">
        <v>30</v>
      </c>
      <c r="M419" t="s">
        <v>1159</v>
      </c>
      <c r="N419" t="s">
        <v>50</v>
      </c>
      <c r="O419" t="s">
        <v>16</v>
      </c>
      <c r="P419">
        <v>6744.11</v>
      </c>
      <c r="Q419">
        <v>408.86</v>
      </c>
      <c r="R419">
        <v>1120.24</v>
      </c>
      <c r="S419">
        <v>715.63</v>
      </c>
      <c r="T419">
        <v>3</v>
      </c>
      <c r="U419">
        <v>37</v>
      </c>
    </row>
    <row r="420" spans="1:21" x14ac:dyDescent="0.3">
      <c r="A420" t="s">
        <v>889</v>
      </c>
      <c r="B420">
        <v>24089</v>
      </c>
      <c r="C420" t="s">
        <v>47</v>
      </c>
      <c r="D420" t="s">
        <v>57</v>
      </c>
      <c r="E420" t="s">
        <v>58</v>
      </c>
      <c r="F420" t="s">
        <v>890</v>
      </c>
      <c r="G420">
        <v>45855</v>
      </c>
      <c r="I420">
        <v>45856</v>
      </c>
      <c r="J420" t="s">
        <v>111</v>
      </c>
      <c r="K420" t="s">
        <v>44</v>
      </c>
      <c r="L420" t="s">
        <v>14</v>
      </c>
      <c r="M420" t="s">
        <v>1152</v>
      </c>
      <c r="N420" t="s">
        <v>50</v>
      </c>
      <c r="O420" t="s">
        <v>25</v>
      </c>
      <c r="P420">
        <v>12430.01</v>
      </c>
      <c r="Q420">
        <v>2644.61</v>
      </c>
      <c r="R420">
        <v>3148.23</v>
      </c>
      <c r="S420">
        <v>716.06</v>
      </c>
      <c r="T420">
        <v>1</v>
      </c>
      <c r="U420">
        <v>60</v>
      </c>
    </row>
    <row r="421" spans="1:21" x14ac:dyDescent="0.3">
      <c r="A421" t="s">
        <v>891</v>
      </c>
      <c r="B421">
        <v>27959</v>
      </c>
      <c r="C421" t="s">
        <v>8</v>
      </c>
      <c r="D421" t="s">
        <v>40</v>
      </c>
      <c r="E421" t="s">
        <v>102</v>
      </c>
      <c r="F421" t="s">
        <v>892</v>
      </c>
      <c r="G421">
        <v>45355</v>
      </c>
      <c r="I421">
        <v>45372</v>
      </c>
      <c r="J421" t="s">
        <v>111</v>
      </c>
      <c r="K421" t="s">
        <v>44</v>
      </c>
      <c r="L421" t="s">
        <v>38</v>
      </c>
      <c r="M421" t="s">
        <v>1157</v>
      </c>
      <c r="N421" t="s">
        <v>65</v>
      </c>
      <c r="O421" t="s">
        <v>51</v>
      </c>
      <c r="P421">
        <v>4846.53</v>
      </c>
      <c r="Q421">
        <v>2377.2800000000002</v>
      </c>
      <c r="R421">
        <v>1445.44</v>
      </c>
      <c r="S421">
        <v>326.02999999999997</v>
      </c>
      <c r="T421">
        <v>4</v>
      </c>
      <c r="U421">
        <v>49</v>
      </c>
    </row>
    <row r="422" spans="1:21" x14ac:dyDescent="0.3">
      <c r="A422" t="s">
        <v>893</v>
      </c>
      <c r="B422">
        <v>34295</v>
      </c>
      <c r="C422" t="s">
        <v>47</v>
      </c>
      <c r="D422" t="s">
        <v>34</v>
      </c>
      <c r="E422" t="s">
        <v>19</v>
      </c>
      <c r="F422" t="s">
        <v>894</v>
      </c>
      <c r="G422">
        <v>45697</v>
      </c>
      <c r="I422">
        <v>45698</v>
      </c>
      <c r="J422" t="s">
        <v>104</v>
      </c>
      <c r="K422" t="s">
        <v>44</v>
      </c>
      <c r="L422" t="s">
        <v>23</v>
      </c>
      <c r="M422" t="s">
        <v>1152</v>
      </c>
      <c r="N422" t="s">
        <v>65</v>
      </c>
      <c r="O422" t="s">
        <v>16</v>
      </c>
      <c r="P422">
        <v>11527.25</v>
      </c>
      <c r="Q422">
        <v>2308.8000000000002</v>
      </c>
      <c r="R422">
        <v>2431.56</v>
      </c>
      <c r="S422">
        <v>811.54</v>
      </c>
      <c r="T422">
        <v>4</v>
      </c>
      <c r="U422">
        <v>32</v>
      </c>
    </row>
    <row r="423" spans="1:21" x14ac:dyDescent="0.3">
      <c r="A423" t="s">
        <v>895</v>
      </c>
      <c r="B423">
        <v>34251</v>
      </c>
      <c r="C423" t="s">
        <v>18</v>
      </c>
      <c r="D423" t="s">
        <v>78</v>
      </c>
      <c r="E423" t="s">
        <v>19</v>
      </c>
      <c r="F423" t="s">
        <v>896</v>
      </c>
      <c r="G423">
        <v>45634</v>
      </c>
      <c r="I423">
        <v>45641</v>
      </c>
      <c r="J423" t="s">
        <v>29</v>
      </c>
      <c r="K423" t="s">
        <v>44</v>
      </c>
      <c r="L423" t="s">
        <v>30</v>
      </c>
      <c r="M423" t="s">
        <v>1150</v>
      </c>
      <c r="N423" t="s">
        <v>24</v>
      </c>
      <c r="O423" t="s">
        <v>25</v>
      </c>
      <c r="P423">
        <v>6876.78</v>
      </c>
      <c r="Q423">
        <v>1901.88</v>
      </c>
      <c r="R423">
        <v>2038.68</v>
      </c>
      <c r="S423">
        <v>1873.18</v>
      </c>
      <c r="T423">
        <v>10</v>
      </c>
      <c r="U423">
        <v>32</v>
      </c>
    </row>
    <row r="424" spans="1:21" x14ac:dyDescent="0.3">
      <c r="A424" t="s">
        <v>897</v>
      </c>
      <c r="B424">
        <v>23383</v>
      </c>
      <c r="C424" t="s">
        <v>8</v>
      </c>
      <c r="D424" t="s">
        <v>9</v>
      </c>
      <c r="E424" t="s">
        <v>102</v>
      </c>
      <c r="F424" t="s">
        <v>898</v>
      </c>
      <c r="G424">
        <v>45477</v>
      </c>
      <c r="I424">
        <v>45488</v>
      </c>
      <c r="J424" t="s">
        <v>72</v>
      </c>
      <c r="K424" t="s">
        <v>37</v>
      </c>
      <c r="L424" t="s">
        <v>73</v>
      </c>
      <c r="M424" t="s">
        <v>1158</v>
      </c>
      <c r="N424" t="s">
        <v>65</v>
      </c>
      <c r="O424" t="s">
        <v>25</v>
      </c>
      <c r="P424">
        <v>5916.06</v>
      </c>
      <c r="Q424">
        <v>2023.42</v>
      </c>
      <c r="R424">
        <v>4849.12</v>
      </c>
      <c r="S424">
        <v>221.68</v>
      </c>
      <c r="T424">
        <v>10</v>
      </c>
      <c r="U424">
        <v>62</v>
      </c>
    </row>
    <row r="425" spans="1:21" x14ac:dyDescent="0.3">
      <c r="A425" t="s">
        <v>899</v>
      </c>
      <c r="B425">
        <v>26645</v>
      </c>
      <c r="C425" t="s">
        <v>18</v>
      </c>
      <c r="D425" t="s">
        <v>27</v>
      </c>
      <c r="E425" t="s">
        <v>58</v>
      </c>
      <c r="F425" t="s">
        <v>900</v>
      </c>
      <c r="G425">
        <v>45369</v>
      </c>
      <c r="I425">
        <v>45378</v>
      </c>
      <c r="J425" t="s">
        <v>111</v>
      </c>
      <c r="K425" t="s">
        <v>44</v>
      </c>
      <c r="L425" t="s">
        <v>38</v>
      </c>
      <c r="M425" t="s">
        <v>1147</v>
      </c>
      <c r="N425" t="s">
        <v>24</v>
      </c>
      <c r="O425" t="s">
        <v>31</v>
      </c>
      <c r="P425">
        <v>4946.5600000000004</v>
      </c>
      <c r="Q425">
        <v>571.21</v>
      </c>
      <c r="R425">
        <v>4760.97</v>
      </c>
      <c r="S425">
        <v>1551.59</v>
      </c>
      <c r="T425">
        <v>5</v>
      </c>
      <c r="U425">
        <v>53</v>
      </c>
    </row>
    <row r="426" spans="1:21" x14ac:dyDescent="0.3">
      <c r="A426" t="s">
        <v>901</v>
      </c>
      <c r="B426">
        <v>25885</v>
      </c>
      <c r="C426" t="s">
        <v>8</v>
      </c>
      <c r="D426" t="s">
        <v>48</v>
      </c>
      <c r="E426" t="s">
        <v>68</v>
      </c>
      <c r="F426" t="s">
        <v>902</v>
      </c>
      <c r="G426">
        <v>45322</v>
      </c>
      <c r="I426">
        <v>45324</v>
      </c>
      <c r="J426" t="s">
        <v>1153</v>
      </c>
      <c r="K426" t="s">
        <v>44</v>
      </c>
      <c r="L426" t="s">
        <v>45</v>
      </c>
      <c r="M426" t="s">
        <v>1156</v>
      </c>
      <c r="N426" t="s">
        <v>65</v>
      </c>
      <c r="O426" t="s">
        <v>51</v>
      </c>
      <c r="P426">
        <v>11196.12</v>
      </c>
      <c r="Q426">
        <v>161.68</v>
      </c>
      <c r="R426">
        <v>4796.54</v>
      </c>
      <c r="S426">
        <v>938.95</v>
      </c>
      <c r="T426">
        <v>1</v>
      </c>
      <c r="U426">
        <v>55</v>
      </c>
    </row>
    <row r="427" spans="1:21" x14ac:dyDescent="0.3">
      <c r="A427" t="s">
        <v>903</v>
      </c>
      <c r="B427">
        <v>33209</v>
      </c>
      <c r="C427" t="s">
        <v>8</v>
      </c>
      <c r="D427" t="s">
        <v>53</v>
      </c>
      <c r="E427" t="s">
        <v>41</v>
      </c>
      <c r="F427" t="s">
        <v>904</v>
      </c>
      <c r="G427">
        <v>45585</v>
      </c>
      <c r="I427">
        <v>45597</v>
      </c>
      <c r="J427" t="s">
        <v>100</v>
      </c>
      <c r="K427" t="s">
        <v>22</v>
      </c>
      <c r="L427" t="s">
        <v>23</v>
      </c>
      <c r="M427" t="s">
        <v>1156</v>
      </c>
      <c r="N427" t="s">
        <v>15</v>
      </c>
      <c r="O427" t="s">
        <v>16</v>
      </c>
      <c r="P427">
        <v>7364.39</v>
      </c>
      <c r="Q427">
        <v>2296.39</v>
      </c>
      <c r="R427">
        <v>868.22</v>
      </c>
      <c r="S427">
        <v>1838.88</v>
      </c>
      <c r="T427">
        <v>6</v>
      </c>
      <c r="U427">
        <v>35</v>
      </c>
    </row>
    <row r="428" spans="1:21" x14ac:dyDescent="0.3">
      <c r="A428" t="s">
        <v>905</v>
      </c>
      <c r="B428">
        <v>26935</v>
      </c>
      <c r="C428" t="s">
        <v>18</v>
      </c>
      <c r="D428" t="s">
        <v>48</v>
      </c>
      <c r="E428" t="s">
        <v>10</v>
      </c>
      <c r="F428" t="s">
        <v>906</v>
      </c>
      <c r="G428">
        <v>45988</v>
      </c>
      <c r="I428">
        <v>45994</v>
      </c>
      <c r="J428" t="s">
        <v>43</v>
      </c>
      <c r="K428" t="s">
        <v>37</v>
      </c>
      <c r="L428" t="s">
        <v>14</v>
      </c>
      <c r="M428" t="s">
        <v>1147</v>
      </c>
      <c r="N428" t="s">
        <v>65</v>
      </c>
      <c r="O428" t="s">
        <v>51</v>
      </c>
      <c r="P428">
        <v>5607.51</v>
      </c>
      <c r="Q428">
        <v>2536.16</v>
      </c>
      <c r="R428">
        <v>1522.97</v>
      </c>
      <c r="S428">
        <v>1455.49</v>
      </c>
      <c r="T428">
        <v>3</v>
      </c>
      <c r="U428">
        <v>52</v>
      </c>
    </row>
    <row r="429" spans="1:21" x14ac:dyDescent="0.3">
      <c r="A429" t="s">
        <v>907</v>
      </c>
      <c r="B429">
        <v>19169</v>
      </c>
      <c r="C429" t="s">
        <v>33</v>
      </c>
      <c r="D429" t="s">
        <v>78</v>
      </c>
      <c r="E429" t="s">
        <v>102</v>
      </c>
      <c r="F429" t="s">
        <v>908</v>
      </c>
      <c r="G429">
        <v>45674</v>
      </c>
      <c r="I429">
        <v>45692</v>
      </c>
      <c r="J429" t="s">
        <v>111</v>
      </c>
      <c r="K429" t="s">
        <v>37</v>
      </c>
      <c r="L429" t="s">
        <v>30</v>
      </c>
      <c r="M429" t="s">
        <v>1150</v>
      </c>
      <c r="N429" t="s">
        <v>15</v>
      </c>
      <c r="O429" t="s">
        <v>51</v>
      </c>
      <c r="P429">
        <v>6287.23</v>
      </c>
      <c r="Q429">
        <v>2448.11</v>
      </c>
      <c r="R429">
        <v>4602.82</v>
      </c>
      <c r="S429">
        <v>2008.72</v>
      </c>
      <c r="T429">
        <v>7</v>
      </c>
      <c r="U429">
        <v>73</v>
      </c>
    </row>
    <row r="430" spans="1:21" x14ac:dyDescent="0.3">
      <c r="A430" t="s">
        <v>909</v>
      </c>
      <c r="B430">
        <v>16926</v>
      </c>
      <c r="C430" t="s">
        <v>8</v>
      </c>
      <c r="D430" t="s">
        <v>53</v>
      </c>
      <c r="E430" t="s">
        <v>75</v>
      </c>
      <c r="F430" t="s">
        <v>910</v>
      </c>
      <c r="G430">
        <v>45504</v>
      </c>
      <c r="I430">
        <v>45510</v>
      </c>
      <c r="J430" t="s">
        <v>1173</v>
      </c>
      <c r="K430" t="s">
        <v>13</v>
      </c>
      <c r="L430" t="s">
        <v>73</v>
      </c>
      <c r="M430" t="s">
        <v>1156</v>
      </c>
      <c r="N430" t="s">
        <v>65</v>
      </c>
      <c r="O430" t="s">
        <v>16</v>
      </c>
      <c r="P430">
        <v>9010.6299999999992</v>
      </c>
      <c r="Q430">
        <v>579.19000000000005</v>
      </c>
      <c r="R430">
        <v>379.58</v>
      </c>
      <c r="S430">
        <v>1032.06</v>
      </c>
      <c r="T430">
        <v>4</v>
      </c>
      <c r="U430">
        <v>80</v>
      </c>
    </row>
    <row r="431" spans="1:21" x14ac:dyDescent="0.3">
      <c r="A431" t="s">
        <v>911</v>
      </c>
      <c r="B431">
        <v>26652</v>
      </c>
      <c r="C431" t="s">
        <v>47</v>
      </c>
      <c r="D431" t="s">
        <v>139</v>
      </c>
      <c r="E431" t="s">
        <v>10</v>
      </c>
      <c r="F431" t="s">
        <v>912</v>
      </c>
      <c r="G431">
        <v>45927</v>
      </c>
      <c r="I431">
        <v>45939</v>
      </c>
      <c r="J431" t="s">
        <v>1153</v>
      </c>
      <c r="K431" t="s">
        <v>22</v>
      </c>
      <c r="L431" t="s">
        <v>38</v>
      </c>
      <c r="M431" t="s">
        <v>1150</v>
      </c>
      <c r="N431" t="s">
        <v>15</v>
      </c>
      <c r="O431" t="s">
        <v>16</v>
      </c>
      <c r="P431">
        <v>2065.29</v>
      </c>
      <c r="Q431">
        <v>452.49</v>
      </c>
      <c r="R431">
        <v>1210.3399999999999</v>
      </c>
      <c r="S431">
        <v>1441.04</v>
      </c>
      <c r="T431">
        <v>9</v>
      </c>
      <c r="U431">
        <v>53</v>
      </c>
    </row>
    <row r="432" spans="1:21" x14ac:dyDescent="0.3">
      <c r="A432" t="s">
        <v>913</v>
      </c>
      <c r="B432">
        <v>28199</v>
      </c>
      <c r="C432" t="s">
        <v>18</v>
      </c>
      <c r="D432" t="s">
        <v>126</v>
      </c>
      <c r="E432" t="s">
        <v>62</v>
      </c>
      <c r="F432" t="s">
        <v>914</v>
      </c>
      <c r="G432">
        <v>45573</v>
      </c>
      <c r="I432">
        <v>45592</v>
      </c>
      <c r="J432" t="s">
        <v>111</v>
      </c>
      <c r="K432" t="s">
        <v>44</v>
      </c>
      <c r="L432" t="s">
        <v>14</v>
      </c>
      <c r="M432" t="s">
        <v>1150</v>
      </c>
      <c r="N432" t="s">
        <v>15</v>
      </c>
      <c r="O432" t="s">
        <v>31</v>
      </c>
      <c r="P432">
        <v>8715.0400000000009</v>
      </c>
      <c r="Q432">
        <v>1145.57</v>
      </c>
      <c r="R432">
        <v>3349.57</v>
      </c>
      <c r="S432">
        <v>1704.69</v>
      </c>
      <c r="T432">
        <v>9</v>
      </c>
      <c r="U432">
        <v>49</v>
      </c>
    </row>
    <row r="433" spans="1:21" x14ac:dyDescent="0.3">
      <c r="A433" t="s">
        <v>915</v>
      </c>
      <c r="B433">
        <v>17293</v>
      </c>
      <c r="C433" t="s">
        <v>47</v>
      </c>
      <c r="D433" t="s">
        <v>139</v>
      </c>
      <c r="E433" t="s">
        <v>68</v>
      </c>
      <c r="F433" t="s">
        <v>916</v>
      </c>
      <c r="G433">
        <v>45520</v>
      </c>
      <c r="I433">
        <v>45531</v>
      </c>
      <c r="J433" t="s">
        <v>21</v>
      </c>
      <c r="K433" t="s">
        <v>22</v>
      </c>
      <c r="L433" t="s">
        <v>14</v>
      </c>
      <c r="M433" t="s">
        <v>1161</v>
      </c>
      <c r="N433" t="s">
        <v>15</v>
      </c>
      <c r="O433" t="s">
        <v>16</v>
      </c>
      <c r="P433">
        <v>1327.9</v>
      </c>
      <c r="Q433">
        <v>3014.8</v>
      </c>
      <c r="R433">
        <v>4735.2</v>
      </c>
      <c r="S433">
        <v>160.26</v>
      </c>
      <c r="T433">
        <v>2</v>
      </c>
      <c r="U433">
        <v>79</v>
      </c>
    </row>
    <row r="434" spans="1:21" x14ac:dyDescent="0.3">
      <c r="A434" t="s">
        <v>917</v>
      </c>
      <c r="B434">
        <v>27592</v>
      </c>
      <c r="C434" t="s">
        <v>8</v>
      </c>
      <c r="D434" t="s">
        <v>139</v>
      </c>
      <c r="E434" t="s">
        <v>19</v>
      </c>
      <c r="F434" t="s">
        <v>918</v>
      </c>
      <c r="G434">
        <v>45541</v>
      </c>
      <c r="I434">
        <v>45546</v>
      </c>
      <c r="J434" t="s">
        <v>1173</v>
      </c>
      <c r="K434" t="s">
        <v>37</v>
      </c>
      <c r="L434" t="s">
        <v>45</v>
      </c>
      <c r="M434" t="s">
        <v>1150</v>
      </c>
      <c r="N434" t="s">
        <v>50</v>
      </c>
      <c r="O434" t="s">
        <v>31</v>
      </c>
      <c r="P434">
        <v>5553.21</v>
      </c>
      <c r="Q434">
        <v>2404.6799999999998</v>
      </c>
      <c r="R434">
        <v>3301.12</v>
      </c>
      <c r="S434">
        <v>167.51</v>
      </c>
      <c r="T434">
        <v>4</v>
      </c>
      <c r="U434">
        <v>50</v>
      </c>
    </row>
    <row r="435" spans="1:21" x14ac:dyDescent="0.3">
      <c r="A435" t="s">
        <v>919</v>
      </c>
      <c r="B435">
        <v>28803</v>
      </c>
      <c r="C435" t="s">
        <v>47</v>
      </c>
      <c r="D435" t="s">
        <v>78</v>
      </c>
      <c r="E435" t="s">
        <v>10</v>
      </c>
      <c r="F435" t="s">
        <v>920</v>
      </c>
      <c r="G435">
        <v>45891</v>
      </c>
      <c r="I435">
        <v>45908</v>
      </c>
      <c r="J435" t="s">
        <v>43</v>
      </c>
      <c r="K435" t="s">
        <v>44</v>
      </c>
      <c r="L435" t="s">
        <v>23</v>
      </c>
      <c r="M435" t="s">
        <v>1152</v>
      </c>
      <c r="N435" t="s">
        <v>50</v>
      </c>
      <c r="O435" t="s">
        <v>25</v>
      </c>
      <c r="P435">
        <v>15369.52</v>
      </c>
      <c r="Q435">
        <v>1134.06</v>
      </c>
      <c r="R435">
        <v>4064.34</v>
      </c>
      <c r="S435">
        <v>196.31</v>
      </c>
      <c r="T435">
        <v>4</v>
      </c>
      <c r="U435">
        <v>47</v>
      </c>
    </row>
    <row r="436" spans="1:21" x14ac:dyDescent="0.3">
      <c r="A436" t="s">
        <v>921</v>
      </c>
      <c r="B436">
        <v>36111</v>
      </c>
      <c r="C436" t="s">
        <v>33</v>
      </c>
      <c r="D436" t="s">
        <v>139</v>
      </c>
      <c r="E436" t="s">
        <v>54</v>
      </c>
      <c r="F436" t="s">
        <v>922</v>
      </c>
      <c r="G436">
        <v>45522</v>
      </c>
      <c r="I436">
        <v>45531</v>
      </c>
      <c r="J436" t="s">
        <v>1175</v>
      </c>
      <c r="K436" t="s">
        <v>13</v>
      </c>
      <c r="L436" t="s">
        <v>23</v>
      </c>
      <c r="M436" t="s">
        <v>1150</v>
      </c>
      <c r="N436" t="s">
        <v>24</v>
      </c>
      <c r="P436">
        <v>9418.1</v>
      </c>
      <c r="Q436">
        <v>312.07</v>
      </c>
      <c r="R436">
        <v>3704.98</v>
      </c>
      <c r="S436">
        <v>877.32</v>
      </c>
      <c r="T436">
        <v>7</v>
      </c>
      <c r="U436">
        <v>27</v>
      </c>
    </row>
    <row r="437" spans="1:21" x14ac:dyDescent="0.3">
      <c r="A437" t="s">
        <v>923</v>
      </c>
      <c r="B437">
        <v>34640</v>
      </c>
      <c r="C437" t="s">
        <v>33</v>
      </c>
      <c r="D437" t="s">
        <v>53</v>
      </c>
      <c r="E437" t="s">
        <v>54</v>
      </c>
      <c r="F437" t="s">
        <v>924</v>
      </c>
      <c r="G437">
        <v>45670</v>
      </c>
      <c r="I437">
        <v>45679</v>
      </c>
      <c r="J437" t="s">
        <v>111</v>
      </c>
      <c r="K437" t="s">
        <v>37</v>
      </c>
      <c r="L437" t="s">
        <v>38</v>
      </c>
      <c r="M437" t="s">
        <v>1154</v>
      </c>
      <c r="N437" t="s">
        <v>65</v>
      </c>
      <c r="O437" t="s">
        <v>25</v>
      </c>
      <c r="P437">
        <v>5251.12</v>
      </c>
      <c r="Q437">
        <v>1376.63</v>
      </c>
      <c r="R437">
        <v>2409.48</v>
      </c>
      <c r="S437">
        <v>1262.68</v>
      </c>
      <c r="T437">
        <v>10</v>
      </c>
      <c r="U437">
        <v>31</v>
      </c>
    </row>
    <row r="438" spans="1:21" x14ac:dyDescent="0.3">
      <c r="A438" t="s">
        <v>925</v>
      </c>
      <c r="B438">
        <v>37730</v>
      </c>
      <c r="C438" t="s">
        <v>18</v>
      </c>
      <c r="D438" t="s">
        <v>48</v>
      </c>
      <c r="E438" t="s">
        <v>62</v>
      </c>
      <c r="F438" t="s">
        <v>926</v>
      </c>
      <c r="G438">
        <v>45487</v>
      </c>
      <c r="I438">
        <v>45499</v>
      </c>
      <c r="J438" t="s">
        <v>12</v>
      </c>
      <c r="K438" t="s">
        <v>22</v>
      </c>
      <c r="L438" t="s">
        <v>45</v>
      </c>
      <c r="M438" t="s">
        <v>1156</v>
      </c>
      <c r="N438" t="s">
        <v>50</v>
      </c>
      <c r="O438" t="s">
        <v>16</v>
      </c>
      <c r="P438">
        <v>3144.59</v>
      </c>
      <c r="Q438">
        <v>1216.3900000000001</v>
      </c>
      <c r="R438">
        <v>2550.86</v>
      </c>
      <c r="S438">
        <v>470.91</v>
      </c>
      <c r="T438">
        <v>7</v>
      </c>
      <c r="U438">
        <v>23</v>
      </c>
    </row>
    <row r="439" spans="1:21" x14ac:dyDescent="0.3">
      <c r="A439" t="s">
        <v>927</v>
      </c>
      <c r="B439">
        <v>37221</v>
      </c>
      <c r="C439" t="s">
        <v>33</v>
      </c>
      <c r="D439" t="s">
        <v>126</v>
      </c>
      <c r="E439" t="s">
        <v>19</v>
      </c>
      <c r="F439" t="s">
        <v>928</v>
      </c>
      <c r="G439">
        <v>45800</v>
      </c>
      <c r="I439">
        <v>45812</v>
      </c>
      <c r="J439" t="s">
        <v>72</v>
      </c>
      <c r="K439" t="s">
        <v>22</v>
      </c>
      <c r="L439" t="s">
        <v>15</v>
      </c>
      <c r="M439" t="s">
        <v>1150</v>
      </c>
      <c r="N439" t="s">
        <v>24</v>
      </c>
      <c r="O439" t="s">
        <v>16</v>
      </c>
      <c r="P439">
        <v>2316.58</v>
      </c>
      <c r="Q439">
        <v>2285.14</v>
      </c>
      <c r="R439">
        <v>4169.53</v>
      </c>
      <c r="S439">
        <v>1016.86</v>
      </c>
      <c r="T439">
        <v>5</v>
      </c>
      <c r="U439">
        <v>24</v>
      </c>
    </row>
    <row r="440" spans="1:21" x14ac:dyDescent="0.3">
      <c r="A440" t="s">
        <v>929</v>
      </c>
      <c r="B440">
        <v>19422</v>
      </c>
      <c r="C440" t="s">
        <v>47</v>
      </c>
      <c r="D440" t="s">
        <v>27</v>
      </c>
      <c r="E440" t="s">
        <v>75</v>
      </c>
      <c r="F440" t="s">
        <v>930</v>
      </c>
      <c r="G440">
        <v>45662</v>
      </c>
      <c r="I440">
        <v>45664</v>
      </c>
      <c r="J440" t="s">
        <v>43</v>
      </c>
      <c r="K440" t="s">
        <v>44</v>
      </c>
      <c r="L440" t="s">
        <v>45</v>
      </c>
      <c r="M440" t="s">
        <v>1150</v>
      </c>
      <c r="N440" t="s">
        <v>24</v>
      </c>
      <c r="O440" t="s">
        <v>25</v>
      </c>
      <c r="P440">
        <v>9907.5499999999993</v>
      </c>
      <c r="Q440">
        <v>649.39</v>
      </c>
      <c r="R440">
        <v>2051.17</v>
      </c>
      <c r="S440">
        <v>1182.21</v>
      </c>
      <c r="T440">
        <v>7</v>
      </c>
      <c r="U440">
        <v>73</v>
      </c>
    </row>
    <row r="441" spans="1:21" x14ac:dyDescent="0.3">
      <c r="A441" t="s">
        <v>931</v>
      </c>
      <c r="B441">
        <v>35253</v>
      </c>
      <c r="C441" t="s">
        <v>18</v>
      </c>
      <c r="D441" t="s">
        <v>78</v>
      </c>
      <c r="E441" t="s">
        <v>102</v>
      </c>
      <c r="F441" t="s">
        <v>932</v>
      </c>
      <c r="G441">
        <v>45846</v>
      </c>
      <c r="I441">
        <v>45866</v>
      </c>
      <c r="J441" t="s">
        <v>43</v>
      </c>
      <c r="K441" t="s">
        <v>22</v>
      </c>
      <c r="L441" t="s">
        <v>15</v>
      </c>
      <c r="M441" t="s">
        <v>1147</v>
      </c>
      <c r="N441" t="s">
        <v>15</v>
      </c>
      <c r="O441" t="s">
        <v>25</v>
      </c>
      <c r="P441">
        <v>8022.39</v>
      </c>
      <c r="Q441">
        <v>2053.46</v>
      </c>
      <c r="R441">
        <v>1006.73</v>
      </c>
      <c r="S441">
        <v>891.62</v>
      </c>
      <c r="T441">
        <v>4</v>
      </c>
      <c r="U441">
        <v>29</v>
      </c>
    </row>
    <row r="442" spans="1:21" x14ac:dyDescent="0.3">
      <c r="A442" t="s">
        <v>933</v>
      </c>
      <c r="B442">
        <v>33813</v>
      </c>
      <c r="C442" t="s">
        <v>33</v>
      </c>
      <c r="D442" t="s">
        <v>139</v>
      </c>
      <c r="E442" t="s">
        <v>54</v>
      </c>
      <c r="F442" t="s">
        <v>934</v>
      </c>
      <c r="G442">
        <v>45921</v>
      </c>
      <c r="I442">
        <v>45934</v>
      </c>
      <c r="J442" t="s">
        <v>43</v>
      </c>
      <c r="K442" t="s">
        <v>13</v>
      </c>
      <c r="L442" t="s">
        <v>23</v>
      </c>
      <c r="M442" t="s">
        <v>1161</v>
      </c>
      <c r="N442" t="s">
        <v>50</v>
      </c>
      <c r="O442" t="s">
        <v>16</v>
      </c>
      <c r="P442">
        <v>4384.21</v>
      </c>
      <c r="Q442">
        <v>1916.96</v>
      </c>
      <c r="R442">
        <v>3445.41</v>
      </c>
      <c r="S442">
        <v>1498.53</v>
      </c>
      <c r="T442">
        <v>5</v>
      </c>
      <c r="U442">
        <v>33</v>
      </c>
    </row>
    <row r="443" spans="1:21" x14ac:dyDescent="0.3">
      <c r="A443" t="s">
        <v>935</v>
      </c>
      <c r="B443">
        <v>30529</v>
      </c>
      <c r="C443" t="s">
        <v>33</v>
      </c>
      <c r="D443" t="s">
        <v>27</v>
      </c>
      <c r="E443" t="s">
        <v>10</v>
      </c>
      <c r="F443" t="s">
        <v>936</v>
      </c>
      <c r="G443">
        <v>45994</v>
      </c>
      <c r="I443">
        <v>46013</v>
      </c>
      <c r="J443" t="s">
        <v>72</v>
      </c>
      <c r="K443" t="s">
        <v>22</v>
      </c>
      <c r="L443" t="s">
        <v>38</v>
      </c>
      <c r="M443" t="s">
        <v>1159</v>
      </c>
      <c r="N443" t="s">
        <v>50</v>
      </c>
      <c r="O443" t="s">
        <v>31</v>
      </c>
      <c r="P443">
        <v>4943.6499999999996</v>
      </c>
      <c r="Q443">
        <v>1699.17</v>
      </c>
      <c r="R443">
        <v>4395.91</v>
      </c>
      <c r="S443">
        <v>1688.79</v>
      </c>
      <c r="T443">
        <v>6</v>
      </c>
      <c r="U443">
        <v>42</v>
      </c>
    </row>
    <row r="444" spans="1:21" x14ac:dyDescent="0.3">
      <c r="A444" t="s">
        <v>937</v>
      </c>
      <c r="B444">
        <v>24862</v>
      </c>
      <c r="C444" t="s">
        <v>8</v>
      </c>
      <c r="D444" t="s">
        <v>78</v>
      </c>
      <c r="E444" t="s">
        <v>102</v>
      </c>
      <c r="F444" t="s">
        <v>938</v>
      </c>
      <c r="G444">
        <v>45526</v>
      </c>
      <c r="I444">
        <v>45529</v>
      </c>
      <c r="J444" t="s">
        <v>1151</v>
      </c>
      <c r="K444" t="s">
        <v>44</v>
      </c>
      <c r="L444" t="s">
        <v>14</v>
      </c>
      <c r="M444" t="s">
        <v>1147</v>
      </c>
      <c r="N444" t="s">
        <v>65</v>
      </c>
      <c r="O444" t="s">
        <v>31</v>
      </c>
      <c r="P444">
        <v>10535.62</v>
      </c>
      <c r="Q444">
        <v>1082.93</v>
      </c>
      <c r="R444">
        <v>1569.82</v>
      </c>
      <c r="S444">
        <v>1030.0999999999999</v>
      </c>
      <c r="T444">
        <v>5</v>
      </c>
      <c r="U444">
        <v>58</v>
      </c>
    </row>
    <row r="445" spans="1:21" x14ac:dyDescent="0.3">
      <c r="A445" t="s">
        <v>939</v>
      </c>
      <c r="B445">
        <v>16912</v>
      </c>
      <c r="C445" t="s">
        <v>18</v>
      </c>
      <c r="D445" t="s">
        <v>40</v>
      </c>
      <c r="E445" t="s">
        <v>58</v>
      </c>
      <c r="F445" t="s">
        <v>940</v>
      </c>
      <c r="G445">
        <v>46021</v>
      </c>
      <c r="I445">
        <v>46024</v>
      </c>
      <c r="J445" t="s">
        <v>100</v>
      </c>
      <c r="K445" t="s">
        <v>37</v>
      </c>
      <c r="L445" t="s">
        <v>15</v>
      </c>
      <c r="M445" t="s">
        <v>1159</v>
      </c>
      <c r="N445" t="s">
        <v>50</v>
      </c>
      <c r="O445" t="s">
        <v>51</v>
      </c>
      <c r="P445">
        <v>1761.07</v>
      </c>
      <c r="Q445">
        <v>2249.41</v>
      </c>
      <c r="R445">
        <v>1207.19</v>
      </c>
      <c r="S445">
        <v>1308.71</v>
      </c>
      <c r="T445">
        <v>8</v>
      </c>
      <c r="U445">
        <v>80</v>
      </c>
    </row>
    <row r="446" spans="1:21" x14ac:dyDescent="0.3">
      <c r="A446" t="s">
        <v>941</v>
      </c>
      <c r="B446">
        <v>22134</v>
      </c>
      <c r="C446" t="s">
        <v>33</v>
      </c>
      <c r="D446" t="s">
        <v>57</v>
      </c>
      <c r="E446" t="s">
        <v>35</v>
      </c>
      <c r="F446" t="s">
        <v>942</v>
      </c>
      <c r="G446">
        <v>46019</v>
      </c>
      <c r="I446">
        <v>46023</v>
      </c>
      <c r="J446" t="s">
        <v>72</v>
      </c>
      <c r="K446" t="s">
        <v>22</v>
      </c>
      <c r="L446" t="s">
        <v>15</v>
      </c>
      <c r="M446" t="s">
        <v>1158</v>
      </c>
      <c r="N446" t="s">
        <v>15</v>
      </c>
      <c r="P446">
        <v>3737.15</v>
      </c>
      <c r="Q446">
        <v>422.29</v>
      </c>
      <c r="R446">
        <v>4205.62</v>
      </c>
      <c r="S446">
        <v>104.34</v>
      </c>
      <c r="T446">
        <v>3</v>
      </c>
      <c r="U446">
        <v>65</v>
      </c>
    </row>
    <row r="447" spans="1:21" x14ac:dyDescent="0.3">
      <c r="A447" t="s">
        <v>943</v>
      </c>
      <c r="B447">
        <v>19281</v>
      </c>
      <c r="C447" t="s">
        <v>18</v>
      </c>
      <c r="D447" t="s">
        <v>9</v>
      </c>
      <c r="E447" t="s">
        <v>62</v>
      </c>
      <c r="F447" t="s">
        <v>944</v>
      </c>
      <c r="G447">
        <v>45683</v>
      </c>
      <c r="I447">
        <v>45696</v>
      </c>
      <c r="J447" t="s">
        <v>12</v>
      </c>
      <c r="K447" t="s">
        <v>13</v>
      </c>
      <c r="L447" t="s">
        <v>30</v>
      </c>
      <c r="M447" t="s">
        <v>1156</v>
      </c>
      <c r="N447" t="s">
        <v>15</v>
      </c>
      <c r="O447" t="s">
        <v>51</v>
      </c>
      <c r="P447">
        <v>8852.89</v>
      </c>
      <c r="Q447">
        <v>136.56</v>
      </c>
      <c r="R447">
        <v>3231.24</v>
      </c>
      <c r="S447">
        <v>974.52</v>
      </c>
      <c r="T447">
        <v>3</v>
      </c>
      <c r="U447">
        <v>73</v>
      </c>
    </row>
    <row r="448" spans="1:21" x14ac:dyDescent="0.3">
      <c r="A448" t="s">
        <v>945</v>
      </c>
      <c r="B448">
        <v>38432</v>
      </c>
      <c r="C448" t="s">
        <v>33</v>
      </c>
      <c r="D448" t="s">
        <v>126</v>
      </c>
      <c r="E448" t="s">
        <v>68</v>
      </c>
      <c r="F448" t="s">
        <v>946</v>
      </c>
      <c r="G448">
        <v>45395</v>
      </c>
      <c r="I448">
        <v>45405</v>
      </c>
      <c r="J448" t="s">
        <v>1172</v>
      </c>
      <c r="K448" t="s">
        <v>44</v>
      </c>
      <c r="L448" t="s">
        <v>73</v>
      </c>
      <c r="M448" t="s">
        <v>1162</v>
      </c>
      <c r="N448" t="s">
        <v>50</v>
      </c>
      <c r="O448" t="s">
        <v>16</v>
      </c>
      <c r="P448">
        <v>13406.11</v>
      </c>
      <c r="Q448">
        <v>1721.7</v>
      </c>
      <c r="R448">
        <v>2313.9899999999998</v>
      </c>
      <c r="S448">
        <v>1073.93</v>
      </c>
      <c r="T448">
        <v>7</v>
      </c>
      <c r="U448">
        <v>21</v>
      </c>
    </row>
    <row r="449" spans="1:21" x14ac:dyDescent="0.3">
      <c r="A449" t="s">
        <v>947</v>
      </c>
      <c r="B449">
        <v>26856</v>
      </c>
      <c r="C449" t="s">
        <v>47</v>
      </c>
      <c r="D449" t="s">
        <v>78</v>
      </c>
      <c r="E449" t="s">
        <v>10</v>
      </c>
      <c r="F449" t="s">
        <v>948</v>
      </c>
      <c r="G449">
        <v>45919</v>
      </c>
      <c r="I449">
        <v>45934</v>
      </c>
      <c r="J449" t="s">
        <v>29</v>
      </c>
      <c r="K449" t="s">
        <v>22</v>
      </c>
      <c r="L449" t="s">
        <v>23</v>
      </c>
      <c r="M449" t="s">
        <v>1159</v>
      </c>
      <c r="N449" t="s">
        <v>50</v>
      </c>
      <c r="O449" t="s">
        <v>31</v>
      </c>
      <c r="P449">
        <v>2642.87</v>
      </c>
      <c r="Q449">
        <v>2225.56</v>
      </c>
      <c r="R449">
        <v>2398.44</v>
      </c>
      <c r="S449">
        <v>107.2</v>
      </c>
      <c r="T449">
        <v>8</v>
      </c>
      <c r="U449">
        <v>52</v>
      </c>
    </row>
    <row r="450" spans="1:21" x14ac:dyDescent="0.3">
      <c r="A450" t="s">
        <v>949</v>
      </c>
      <c r="B450">
        <v>21020</v>
      </c>
      <c r="C450" t="s">
        <v>47</v>
      </c>
      <c r="D450" t="s">
        <v>40</v>
      </c>
      <c r="E450" t="s">
        <v>68</v>
      </c>
      <c r="F450" t="s">
        <v>950</v>
      </c>
      <c r="G450">
        <v>45490</v>
      </c>
      <c r="I450">
        <v>45504</v>
      </c>
      <c r="J450" t="s">
        <v>114</v>
      </c>
      <c r="K450" t="s">
        <v>13</v>
      </c>
      <c r="L450" t="s">
        <v>64</v>
      </c>
      <c r="M450" t="s">
        <v>1147</v>
      </c>
      <c r="N450" t="s">
        <v>24</v>
      </c>
      <c r="O450" t="s">
        <v>51</v>
      </c>
      <c r="P450">
        <v>14904.93</v>
      </c>
      <c r="Q450">
        <v>151.1</v>
      </c>
      <c r="R450">
        <v>2271.6999999999998</v>
      </c>
      <c r="S450">
        <v>1186.46</v>
      </c>
      <c r="T450">
        <v>3</v>
      </c>
      <c r="U450">
        <v>68</v>
      </c>
    </row>
    <row r="451" spans="1:21" x14ac:dyDescent="0.3">
      <c r="A451" t="s">
        <v>951</v>
      </c>
      <c r="B451">
        <v>28571</v>
      </c>
      <c r="C451" t="s">
        <v>33</v>
      </c>
      <c r="D451" t="s">
        <v>48</v>
      </c>
      <c r="E451" t="s">
        <v>10</v>
      </c>
      <c r="F451" t="s">
        <v>952</v>
      </c>
      <c r="G451">
        <v>45990</v>
      </c>
      <c r="I451">
        <v>46009</v>
      </c>
      <c r="J451" t="s">
        <v>104</v>
      </c>
      <c r="K451" t="s">
        <v>37</v>
      </c>
      <c r="L451" t="s">
        <v>23</v>
      </c>
      <c r="M451" t="s">
        <v>1152</v>
      </c>
      <c r="N451" t="s">
        <v>50</v>
      </c>
      <c r="O451" t="s">
        <v>51</v>
      </c>
      <c r="P451">
        <v>15119.48</v>
      </c>
      <c r="Q451">
        <v>1057.49</v>
      </c>
      <c r="R451">
        <v>2183.4299999999998</v>
      </c>
      <c r="S451">
        <v>379.3</v>
      </c>
      <c r="T451">
        <v>7</v>
      </c>
      <c r="U451">
        <v>48</v>
      </c>
    </row>
    <row r="452" spans="1:21" x14ac:dyDescent="0.3">
      <c r="A452" t="s">
        <v>953</v>
      </c>
      <c r="B452">
        <v>33799</v>
      </c>
      <c r="C452" t="s">
        <v>33</v>
      </c>
      <c r="D452" t="s">
        <v>53</v>
      </c>
      <c r="E452" t="s">
        <v>41</v>
      </c>
      <c r="F452" t="s">
        <v>954</v>
      </c>
      <c r="G452">
        <v>45872</v>
      </c>
      <c r="I452">
        <v>45883</v>
      </c>
      <c r="J452" t="s">
        <v>1141</v>
      </c>
      <c r="K452" t="s">
        <v>37</v>
      </c>
      <c r="L452" t="s">
        <v>30</v>
      </c>
      <c r="M452" t="s">
        <v>1150</v>
      </c>
      <c r="N452" t="s">
        <v>15</v>
      </c>
      <c r="O452" t="s">
        <v>51</v>
      </c>
      <c r="P452">
        <v>15900.8</v>
      </c>
      <c r="Q452">
        <v>2650.12</v>
      </c>
      <c r="R452">
        <v>3404.84</v>
      </c>
      <c r="S452">
        <v>871.51</v>
      </c>
      <c r="T452">
        <v>2</v>
      </c>
      <c r="U452">
        <v>33</v>
      </c>
    </row>
    <row r="453" spans="1:21" x14ac:dyDescent="0.3">
      <c r="A453" t="s">
        <v>955</v>
      </c>
      <c r="B453">
        <v>22215</v>
      </c>
      <c r="C453" t="s">
        <v>18</v>
      </c>
      <c r="D453" t="s">
        <v>126</v>
      </c>
      <c r="E453" t="s">
        <v>58</v>
      </c>
      <c r="F453" t="s">
        <v>956</v>
      </c>
      <c r="G453">
        <v>45460</v>
      </c>
      <c r="I453">
        <v>45471</v>
      </c>
      <c r="J453" t="s">
        <v>114</v>
      </c>
      <c r="K453" t="s">
        <v>22</v>
      </c>
      <c r="L453" t="s">
        <v>64</v>
      </c>
      <c r="M453" t="s">
        <v>1147</v>
      </c>
      <c r="N453" t="s">
        <v>65</v>
      </c>
      <c r="O453" t="s">
        <v>31</v>
      </c>
      <c r="P453">
        <v>1327.22</v>
      </c>
      <c r="Q453">
        <v>470.21</v>
      </c>
      <c r="R453">
        <v>2670.01</v>
      </c>
      <c r="S453">
        <v>148.82</v>
      </c>
      <c r="T453">
        <v>1</v>
      </c>
      <c r="U453">
        <v>65</v>
      </c>
    </row>
    <row r="454" spans="1:21" x14ac:dyDescent="0.3">
      <c r="A454" t="s">
        <v>957</v>
      </c>
      <c r="B454">
        <v>30708</v>
      </c>
      <c r="C454" t="s">
        <v>33</v>
      </c>
      <c r="D454" t="s">
        <v>61</v>
      </c>
      <c r="E454" t="s">
        <v>62</v>
      </c>
      <c r="F454" t="s">
        <v>958</v>
      </c>
      <c r="G454">
        <v>45488</v>
      </c>
      <c r="I454">
        <v>45494</v>
      </c>
      <c r="J454" t="s">
        <v>111</v>
      </c>
      <c r="K454" t="s">
        <v>44</v>
      </c>
      <c r="L454" t="s">
        <v>30</v>
      </c>
      <c r="M454" t="s">
        <v>1157</v>
      </c>
      <c r="N454" t="s">
        <v>15</v>
      </c>
      <c r="O454" t="s">
        <v>25</v>
      </c>
      <c r="P454">
        <v>14799.66</v>
      </c>
      <c r="Q454">
        <v>2509.14</v>
      </c>
      <c r="R454">
        <v>1502.49</v>
      </c>
      <c r="S454">
        <v>1701.63</v>
      </c>
      <c r="T454">
        <v>9</v>
      </c>
      <c r="U454">
        <v>42</v>
      </c>
    </row>
    <row r="455" spans="1:21" x14ac:dyDescent="0.3">
      <c r="A455" t="s">
        <v>959</v>
      </c>
      <c r="B455">
        <v>31773</v>
      </c>
      <c r="C455" t="s">
        <v>47</v>
      </c>
      <c r="D455" t="s">
        <v>78</v>
      </c>
      <c r="E455" t="s">
        <v>19</v>
      </c>
      <c r="F455" t="s">
        <v>960</v>
      </c>
      <c r="G455">
        <v>45702</v>
      </c>
      <c r="I455">
        <v>45716</v>
      </c>
      <c r="J455" t="s">
        <v>72</v>
      </c>
      <c r="K455" t="s">
        <v>22</v>
      </c>
      <c r="L455" t="s">
        <v>64</v>
      </c>
      <c r="M455" t="s">
        <v>1154</v>
      </c>
      <c r="N455" t="s">
        <v>50</v>
      </c>
      <c r="O455" t="s">
        <v>25</v>
      </c>
      <c r="P455">
        <v>12755.6</v>
      </c>
      <c r="Q455">
        <v>936.07</v>
      </c>
      <c r="R455">
        <v>3469.26</v>
      </c>
      <c r="S455">
        <v>1372.41</v>
      </c>
      <c r="T455">
        <v>3</v>
      </c>
      <c r="U455">
        <v>39</v>
      </c>
    </row>
    <row r="456" spans="1:21" x14ac:dyDescent="0.3">
      <c r="A456" t="s">
        <v>961</v>
      </c>
      <c r="B456">
        <v>37489</v>
      </c>
      <c r="C456" t="s">
        <v>33</v>
      </c>
      <c r="D456" t="s">
        <v>48</v>
      </c>
      <c r="E456" t="s">
        <v>75</v>
      </c>
      <c r="F456" t="s">
        <v>962</v>
      </c>
      <c r="G456">
        <v>45326</v>
      </c>
      <c r="I456">
        <v>45338</v>
      </c>
      <c r="J456" t="s">
        <v>114</v>
      </c>
      <c r="K456" t="s">
        <v>13</v>
      </c>
      <c r="L456" t="s">
        <v>64</v>
      </c>
      <c r="M456" t="s">
        <v>1147</v>
      </c>
      <c r="N456" t="s">
        <v>50</v>
      </c>
      <c r="O456" t="s">
        <v>31</v>
      </c>
      <c r="P456">
        <v>1490.17</v>
      </c>
      <c r="Q456">
        <v>262.11</v>
      </c>
      <c r="R456">
        <v>1539.43</v>
      </c>
      <c r="S456">
        <v>875.66</v>
      </c>
      <c r="T456">
        <v>5</v>
      </c>
      <c r="U456">
        <v>23</v>
      </c>
    </row>
    <row r="457" spans="1:21" x14ac:dyDescent="0.3">
      <c r="A457" t="s">
        <v>963</v>
      </c>
      <c r="B457">
        <v>17234</v>
      </c>
      <c r="C457" t="s">
        <v>8</v>
      </c>
      <c r="D457" t="s">
        <v>34</v>
      </c>
      <c r="E457" t="s">
        <v>58</v>
      </c>
      <c r="F457" t="s">
        <v>964</v>
      </c>
      <c r="G457">
        <v>45817</v>
      </c>
      <c r="I457">
        <v>45837</v>
      </c>
      <c r="J457" t="s">
        <v>1153</v>
      </c>
      <c r="K457" t="s">
        <v>44</v>
      </c>
      <c r="L457" t="s">
        <v>64</v>
      </c>
      <c r="M457" t="s">
        <v>1152</v>
      </c>
      <c r="N457" t="s">
        <v>24</v>
      </c>
      <c r="O457" t="s">
        <v>51</v>
      </c>
      <c r="P457">
        <v>9587.69</v>
      </c>
      <c r="Q457">
        <v>1764.84</v>
      </c>
      <c r="R457">
        <v>4530.3599999999997</v>
      </c>
      <c r="S457">
        <v>1320.33</v>
      </c>
      <c r="T457">
        <v>1</v>
      </c>
      <c r="U457">
        <v>79</v>
      </c>
    </row>
    <row r="458" spans="1:21" x14ac:dyDescent="0.3">
      <c r="A458" t="s">
        <v>965</v>
      </c>
      <c r="B458">
        <v>34694</v>
      </c>
      <c r="C458" t="s">
        <v>33</v>
      </c>
      <c r="D458" t="s">
        <v>53</v>
      </c>
      <c r="E458" t="s">
        <v>68</v>
      </c>
      <c r="F458" t="s">
        <v>966</v>
      </c>
      <c r="G458">
        <v>45332</v>
      </c>
      <c r="I458">
        <v>45347</v>
      </c>
      <c r="J458" t="s">
        <v>21</v>
      </c>
      <c r="K458" t="s">
        <v>44</v>
      </c>
      <c r="L458" t="s">
        <v>38</v>
      </c>
      <c r="M458" t="s">
        <v>1158</v>
      </c>
      <c r="N458" t="s">
        <v>24</v>
      </c>
      <c r="O458" t="s">
        <v>16</v>
      </c>
      <c r="P458">
        <v>12035.16</v>
      </c>
      <c r="Q458">
        <v>260.45</v>
      </c>
      <c r="R458">
        <v>2045.84</v>
      </c>
      <c r="S458">
        <v>1218.71</v>
      </c>
      <c r="T458">
        <v>1</v>
      </c>
      <c r="U458">
        <v>31</v>
      </c>
    </row>
    <row r="459" spans="1:21" x14ac:dyDescent="0.3">
      <c r="A459" t="s">
        <v>967</v>
      </c>
      <c r="B459">
        <v>28582</v>
      </c>
      <c r="C459" t="s">
        <v>8</v>
      </c>
      <c r="D459" t="s">
        <v>61</v>
      </c>
      <c r="E459" t="s">
        <v>58</v>
      </c>
      <c r="F459" t="s">
        <v>968</v>
      </c>
      <c r="G459">
        <v>45519</v>
      </c>
      <c r="I459">
        <v>45534</v>
      </c>
      <c r="J459" t="s">
        <v>72</v>
      </c>
      <c r="K459" t="s">
        <v>22</v>
      </c>
      <c r="L459" t="s">
        <v>14</v>
      </c>
      <c r="M459" t="s">
        <v>1150</v>
      </c>
      <c r="N459" t="s">
        <v>15</v>
      </c>
      <c r="O459" t="s">
        <v>31</v>
      </c>
      <c r="P459">
        <v>10412.719999999999</v>
      </c>
      <c r="Q459">
        <v>1223.53</v>
      </c>
      <c r="R459">
        <v>1605.51</v>
      </c>
      <c r="S459">
        <v>430.71</v>
      </c>
      <c r="T459">
        <v>2</v>
      </c>
      <c r="U459">
        <v>48</v>
      </c>
    </row>
    <row r="460" spans="1:21" x14ac:dyDescent="0.3">
      <c r="A460" t="s">
        <v>969</v>
      </c>
      <c r="B460">
        <v>24419</v>
      </c>
      <c r="C460" t="s">
        <v>18</v>
      </c>
      <c r="D460" t="s">
        <v>34</v>
      </c>
      <c r="E460" t="s">
        <v>19</v>
      </c>
      <c r="F460" t="s">
        <v>970</v>
      </c>
      <c r="G460">
        <v>45783</v>
      </c>
      <c r="I460">
        <v>45784</v>
      </c>
      <c r="J460" t="s">
        <v>100</v>
      </c>
      <c r="K460" t="s">
        <v>37</v>
      </c>
      <c r="L460" t="s">
        <v>14</v>
      </c>
      <c r="M460" t="s">
        <v>1159</v>
      </c>
      <c r="N460" t="s">
        <v>65</v>
      </c>
      <c r="O460" t="s">
        <v>25</v>
      </c>
      <c r="P460">
        <v>15413.1</v>
      </c>
      <c r="Q460">
        <v>807.75</v>
      </c>
      <c r="R460">
        <v>2068.6</v>
      </c>
      <c r="S460">
        <v>1636.72</v>
      </c>
      <c r="T460">
        <v>5</v>
      </c>
      <c r="U460">
        <v>59</v>
      </c>
    </row>
    <row r="461" spans="1:21" x14ac:dyDescent="0.3">
      <c r="A461" t="s">
        <v>971</v>
      </c>
      <c r="B461">
        <v>19217</v>
      </c>
      <c r="C461" t="s">
        <v>8</v>
      </c>
      <c r="D461" t="s">
        <v>48</v>
      </c>
      <c r="E461" t="s">
        <v>58</v>
      </c>
      <c r="F461" t="s">
        <v>972</v>
      </c>
      <c r="G461">
        <v>45416</v>
      </c>
      <c r="I461">
        <v>45433</v>
      </c>
      <c r="J461" t="s">
        <v>104</v>
      </c>
      <c r="K461" t="s">
        <v>44</v>
      </c>
      <c r="L461" t="s">
        <v>64</v>
      </c>
      <c r="M461" t="s">
        <v>1159</v>
      </c>
      <c r="N461" t="s">
        <v>50</v>
      </c>
      <c r="O461" t="s">
        <v>25</v>
      </c>
      <c r="P461">
        <v>9333.11</v>
      </c>
      <c r="Q461">
        <v>426.63</v>
      </c>
      <c r="R461">
        <v>2980.98</v>
      </c>
      <c r="S461">
        <v>1786.46</v>
      </c>
      <c r="T461">
        <v>2</v>
      </c>
      <c r="U461">
        <v>73</v>
      </c>
    </row>
    <row r="462" spans="1:21" x14ac:dyDescent="0.3">
      <c r="A462" t="s">
        <v>973</v>
      </c>
      <c r="B462">
        <v>35333</v>
      </c>
      <c r="C462" t="s">
        <v>8</v>
      </c>
      <c r="D462" t="s">
        <v>40</v>
      </c>
      <c r="E462" t="s">
        <v>58</v>
      </c>
      <c r="F462" t="s">
        <v>974</v>
      </c>
      <c r="G462">
        <v>45704</v>
      </c>
      <c r="I462">
        <v>45711</v>
      </c>
      <c r="J462" t="s">
        <v>114</v>
      </c>
      <c r="K462" t="s">
        <v>22</v>
      </c>
      <c r="L462" t="s">
        <v>73</v>
      </c>
      <c r="M462" t="s">
        <v>1154</v>
      </c>
      <c r="N462" t="s">
        <v>24</v>
      </c>
      <c r="O462" t="s">
        <v>31</v>
      </c>
      <c r="P462">
        <v>8057.73</v>
      </c>
      <c r="Q462">
        <v>1061.45</v>
      </c>
      <c r="R462">
        <v>256.95999999999998</v>
      </c>
      <c r="S462">
        <v>1808.17</v>
      </c>
      <c r="T462">
        <v>8</v>
      </c>
      <c r="U462">
        <v>29</v>
      </c>
    </row>
    <row r="463" spans="1:21" x14ac:dyDescent="0.3">
      <c r="A463" t="s">
        <v>975</v>
      </c>
      <c r="B463">
        <v>30577</v>
      </c>
      <c r="C463" t="s">
        <v>33</v>
      </c>
      <c r="D463" t="s">
        <v>67</v>
      </c>
      <c r="E463" t="s">
        <v>58</v>
      </c>
      <c r="F463" t="s">
        <v>976</v>
      </c>
      <c r="G463">
        <v>45411</v>
      </c>
      <c r="I463">
        <v>45430</v>
      </c>
      <c r="J463" t="s">
        <v>114</v>
      </c>
      <c r="K463" t="s">
        <v>22</v>
      </c>
      <c r="L463" t="s">
        <v>15</v>
      </c>
      <c r="M463" t="s">
        <v>1159</v>
      </c>
      <c r="N463" t="s">
        <v>24</v>
      </c>
      <c r="O463" t="s">
        <v>25</v>
      </c>
      <c r="P463">
        <v>6918.74</v>
      </c>
      <c r="Q463">
        <v>602.49</v>
      </c>
      <c r="R463">
        <v>806.51</v>
      </c>
      <c r="S463">
        <v>768.76</v>
      </c>
      <c r="T463">
        <v>1</v>
      </c>
      <c r="U463">
        <v>42</v>
      </c>
    </row>
    <row r="464" spans="1:21" x14ac:dyDescent="0.3">
      <c r="A464" t="s">
        <v>977</v>
      </c>
      <c r="B464">
        <v>25934</v>
      </c>
      <c r="C464" t="s">
        <v>18</v>
      </c>
      <c r="D464" t="s">
        <v>61</v>
      </c>
      <c r="E464" t="s">
        <v>19</v>
      </c>
      <c r="F464" t="s">
        <v>978</v>
      </c>
      <c r="G464">
        <v>45583</v>
      </c>
      <c r="I464">
        <v>45594</v>
      </c>
      <c r="J464" t="s">
        <v>114</v>
      </c>
      <c r="K464" t="s">
        <v>37</v>
      </c>
      <c r="L464" t="s">
        <v>30</v>
      </c>
      <c r="M464" t="s">
        <v>1152</v>
      </c>
      <c r="N464" t="s">
        <v>24</v>
      </c>
      <c r="O464" t="s">
        <v>31</v>
      </c>
      <c r="P464">
        <v>3040.33</v>
      </c>
      <c r="Q464">
        <v>1545.34</v>
      </c>
      <c r="R464">
        <v>464.19</v>
      </c>
      <c r="S464">
        <v>1839.01</v>
      </c>
      <c r="T464">
        <v>5</v>
      </c>
      <c r="U464">
        <v>55</v>
      </c>
    </row>
    <row r="465" spans="1:21" x14ac:dyDescent="0.3">
      <c r="A465" t="s">
        <v>979</v>
      </c>
      <c r="B465">
        <v>33608</v>
      </c>
      <c r="C465" t="s">
        <v>18</v>
      </c>
      <c r="D465" t="s">
        <v>27</v>
      </c>
      <c r="E465" t="s">
        <v>75</v>
      </c>
      <c r="F465" t="s">
        <v>980</v>
      </c>
      <c r="G465">
        <v>45362</v>
      </c>
      <c r="I465">
        <v>45366</v>
      </c>
      <c r="J465" t="s">
        <v>1164</v>
      </c>
      <c r="K465" t="s">
        <v>37</v>
      </c>
      <c r="L465" t="s">
        <v>38</v>
      </c>
      <c r="M465" t="s">
        <v>1150</v>
      </c>
      <c r="N465" t="s">
        <v>50</v>
      </c>
      <c r="O465" t="s">
        <v>16</v>
      </c>
      <c r="P465">
        <v>4011.86</v>
      </c>
      <c r="Q465">
        <v>270.92</v>
      </c>
      <c r="R465">
        <v>4298.8599999999997</v>
      </c>
      <c r="S465">
        <v>855.26</v>
      </c>
      <c r="T465">
        <v>6</v>
      </c>
      <c r="U465">
        <v>34</v>
      </c>
    </row>
    <row r="466" spans="1:21" x14ac:dyDescent="0.3">
      <c r="A466" t="s">
        <v>981</v>
      </c>
      <c r="B466">
        <v>28011</v>
      </c>
      <c r="C466" t="s">
        <v>47</v>
      </c>
      <c r="D466" t="s">
        <v>48</v>
      </c>
      <c r="E466" t="s">
        <v>10</v>
      </c>
      <c r="F466" t="s">
        <v>982</v>
      </c>
      <c r="G466">
        <v>45352</v>
      </c>
      <c r="I466">
        <v>45366</v>
      </c>
      <c r="J466" t="s">
        <v>72</v>
      </c>
      <c r="K466" t="s">
        <v>13</v>
      </c>
      <c r="L466" t="s">
        <v>45</v>
      </c>
      <c r="M466" t="s">
        <v>1158</v>
      </c>
      <c r="N466" t="s">
        <v>50</v>
      </c>
      <c r="O466" t="s">
        <v>25</v>
      </c>
      <c r="P466">
        <v>10131.36</v>
      </c>
      <c r="Q466">
        <v>1473.62</v>
      </c>
      <c r="R466">
        <v>4865</v>
      </c>
      <c r="S466">
        <v>1406.44</v>
      </c>
      <c r="T466">
        <v>10</v>
      </c>
      <c r="U466">
        <v>49</v>
      </c>
    </row>
    <row r="467" spans="1:21" x14ac:dyDescent="0.3">
      <c r="A467" t="s">
        <v>983</v>
      </c>
      <c r="B467">
        <v>22252</v>
      </c>
      <c r="C467" t="s">
        <v>47</v>
      </c>
      <c r="D467" t="s">
        <v>34</v>
      </c>
      <c r="E467" t="s">
        <v>102</v>
      </c>
      <c r="F467" t="s">
        <v>984</v>
      </c>
      <c r="G467">
        <v>45365</v>
      </c>
      <c r="I467">
        <v>45378</v>
      </c>
      <c r="J467" t="s">
        <v>114</v>
      </c>
      <c r="K467" t="s">
        <v>37</v>
      </c>
      <c r="L467" t="s">
        <v>64</v>
      </c>
      <c r="M467" t="s">
        <v>1154</v>
      </c>
      <c r="N467" t="s">
        <v>15</v>
      </c>
      <c r="O467" t="s">
        <v>31</v>
      </c>
      <c r="R467">
        <v>2397.34</v>
      </c>
      <c r="S467">
        <v>474.89</v>
      </c>
      <c r="T467">
        <v>4</v>
      </c>
      <c r="U467">
        <v>65</v>
      </c>
    </row>
    <row r="468" spans="1:21" x14ac:dyDescent="0.3">
      <c r="A468" t="s">
        <v>985</v>
      </c>
      <c r="B468">
        <v>25361</v>
      </c>
      <c r="C468" t="s">
        <v>33</v>
      </c>
      <c r="D468" t="s">
        <v>57</v>
      </c>
      <c r="E468" t="s">
        <v>62</v>
      </c>
      <c r="F468" t="s">
        <v>986</v>
      </c>
      <c r="G468">
        <v>45973</v>
      </c>
      <c r="I468">
        <v>45981</v>
      </c>
      <c r="J468" t="s">
        <v>1153</v>
      </c>
      <c r="K468" t="s">
        <v>22</v>
      </c>
      <c r="L468" t="s">
        <v>30</v>
      </c>
      <c r="M468" t="s">
        <v>1159</v>
      </c>
      <c r="N468" t="s">
        <v>15</v>
      </c>
      <c r="O468" t="s">
        <v>31</v>
      </c>
      <c r="P468">
        <v>13113.77</v>
      </c>
      <c r="Q468">
        <v>1082.31</v>
      </c>
      <c r="R468">
        <v>4444.53</v>
      </c>
      <c r="S468">
        <v>967.39</v>
      </c>
      <c r="T468">
        <v>8</v>
      </c>
      <c r="U468">
        <v>57</v>
      </c>
    </row>
    <row r="469" spans="1:21" x14ac:dyDescent="0.3">
      <c r="A469" t="s">
        <v>987</v>
      </c>
      <c r="B469">
        <v>21182</v>
      </c>
      <c r="C469" t="s">
        <v>18</v>
      </c>
      <c r="D469" t="s">
        <v>27</v>
      </c>
      <c r="E469" t="s">
        <v>62</v>
      </c>
      <c r="F469" t="s">
        <v>988</v>
      </c>
      <c r="G469">
        <v>45574</v>
      </c>
      <c r="I469">
        <v>45590</v>
      </c>
      <c r="J469" t="s">
        <v>111</v>
      </c>
      <c r="K469" t="s">
        <v>22</v>
      </c>
      <c r="L469" t="s">
        <v>30</v>
      </c>
      <c r="M469" t="s">
        <v>1161</v>
      </c>
      <c r="N469" t="s">
        <v>65</v>
      </c>
      <c r="O469" t="s">
        <v>16</v>
      </c>
      <c r="P469">
        <v>2098.16</v>
      </c>
      <c r="Q469">
        <v>597.71</v>
      </c>
      <c r="R469">
        <v>1001.12</v>
      </c>
      <c r="S469">
        <v>611.6</v>
      </c>
      <c r="T469">
        <v>4</v>
      </c>
      <c r="U469">
        <v>68</v>
      </c>
    </row>
    <row r="470" spans="1:21" x14ac:dyDescent="0.3">
      <c r="A470" t="s">
        <v>989</v>
      </c>
      <c r="B470">
        <v>31276</v>
      </c>
      <c r="C470" t="s">
        <v>33</v>
      </c>
      <c r="D470" t="s">
        <v>67</v>
      </c>
      <c r="E470" t="s">
        <v>62</v>
      </c>
      <c r="F470" t="s">
        <v>990</v>
      </c>
      <c r="G470">
        <v>45295</v>
      </c>
      <c r="I470">
        <v>45300</v>
      </c>
      <c r="J470" t="s">
        <v>43</v>
      </c>
      <c r="K470" t="s">
        <v>22</v>
      </c>
      <c r="L470" t="s">
        <v>14</v>
      </c>
      <c r="M470" t="s">
        <v>1161</v>
      </c>
      <c r="N470" t="s">
        <v>15</v>
      </c>
      <c r="O470" t="s">
        <v>16</v>
      </c>
      <c r="P470">
        <v>10929.27</v>
      </c>
      <c r="Q470">
        <v>2410.13</v>
      </c>
      <c r="R470">
        <v>2138.4699999999998</v>
      </c>
      <c r="S470">
        <v>1792.81</v>
      </c>
      <c r="T470">
        <v>8</v>
      </c>
      <c r="U470">
        <v>40</v>
      </c>
    </row>
    <row r="471" spans="1:21" x14ac:dyDescent="0.3">
      <c r="A471" t="s">
        <v>991</v>
      </c>
      <c r="B471">
        <v>29022</v>
      </c>
      <c r="C471" t="s">
        <v>33</v>
      </c>
      <c r="D471" t="s">
        <v>57</v>
      </c>
      <c r="E471" t="s">
        <v>19</v>
      </c>
      <c r="F471" t="s">
        <v>992</v>
      </c>
      <c r="G471">
        <v>45525</v>
      </c>
      <c r="I471">
        <v>45539</v>
      </c>
      <c r="J471" t="s">
        <v>1171</v>
      </c>
      <c r="K471" t="s">
        <v>44</v>
      </c>
      <c r="L471" t="s">
        <v>45</v>
      </c>
      <c r="M471" t="s">
        <v>1150</v>
      </c>
      <c r="N471" t="s">
        <v>50</v>
      </c>
      <c r="O471" t="s">
        <v>31</v>
      </c>
      <c r="P471">
        <v>6672.86</v>
      </c>
      <c r="Q471">
        <v>528.52</v>
      </c>
      <c r="R471">
        <v>2201.17</v>
      </c>
      <c r="S471">
        <v>1243.46</v>
      </c>
      <c r="T471">
        <v>3</v>
      </c>
      <c r="U471">
        <v>46</v>
      </c>
    </row>
    <row r="472" spans="1:21" x14ac:dyDescent="0.3">
      <c r="A472" t="s">
        <v>993</v>
      </c>
      <c r="B472">
        <v>37349</v>
      </c>
      <c r="C472" t="s">
        <v>47</v>
      </c>
      <c r="D472" t="s">
        <v>139</v>
      </c>
      <c r="E472" t="s">
        <v>102</v>
      </c>
      <c r="F472" t="s">
        <v>994</v>
      </c>
      <c r="G472">
        <v>45640</v>
      </c>
      <c r="I472">
        <v>45648</v>
      </c>
      <c r="J472" t="s">
        <v>21</v>
      </c>
      <c r="K472" t="s">
        <v>44</v>
      </c>
      <c r="L472" t="s">
        <v>30</v>
      </c>
      <c r="M472" t="s">
        <v>1157</v>
      </c>
      <c r="N472" t="s">
        <v>15</v>
      </c>
      <c r="O472" t="s">
        <v>51</v>
      </c>
      <c r="P472">
        <v>12257.96</v>
      </c>
      <c r="Q472">
        <v>277.60000000000002</v>
      </c>
      <c r="R472">
        <v>3098.33</v>
      </c>
      <c r="S472">
        <v>1193.8</v>
      </c>
      <c r="T472">
        <v>5</v>
      </c>
      <c r="U472">
        <v>24</v>
      </c>
    </row>
    <row r="473" spans="1:21" x14ac:dyDescent="0.3">
      <c r="A473" t="s">
        <v>995</v>
      </c>
      <c r="B473">
        <v>31321</v>
      </c>
      <c r="C473" t="s">
        <v>33</v>
      </c>
      <c r="D473" t="s">
        <v>40</v>
      </c>
      <c r="E473" t="s">
        <v>54</v>
      </c>
      <c r="F473" t="s">
        <v>996</v>
      </c>
      <c r="G473">
        <v>45975</v>
      </c>
      <c r="I473">
        <v>45984</v>
      </c>
      <c r="J473" t="s">
        <v>72</v>
      </c>
      <c r="K473" t="s">
        <v>44</v>
      </c>
      <c r="L473" t="s">
        <v>64</v>
      </c>
      <c r="M473" t="s">
        <v>1158</v>
      </c>
      <c r="N473" t="s">
        <v>15</v>
      </c>
      <c r="O473" t="s">
        <v>31</v>
      </c>
      <c r="P473">
        <v>3708.92</v>
      </c>
      <c r="Q473">
        <v>803.59</v>
      </c>
      <c r="R473">
        <v>1450.37</v>
      </c>
      <c r="S473">
        <v>43.57</v>
      </c>
      <c r="T473">
        <v>4</v>
      </c>
      <c r="U473">
        <v>40</v>
      </c>
    </row>
    <row r="474" spans="1:21" x14ac:dyDescent="0.3">
      <c r="A474" t="s">
        <v>997</v>
      </c>
      <c r="B474">
        <v>32328</v>
      </c>
      <c r="C474" t="s">
        <v>8</v>
      </c>
      <c r="D474" t="s">
        <v>139</v>
      </c>
      <c r="E474" t="s">
        <v>41</v>
      </c>
      <c r="F474" t="s">
        <v>998</v>
      </c>
      <c r="G474">
        <v>45378</v>
      </c>
      <c r="I474">
        <v>45384</v>
      </c>
      <c r="J474" t="s">
        <v>1165</v>
      </c>
      <c r="K474" t="s">
        <v>44</v>
      </c>
      <c r="L474" t="s">
        <v>38</v>
      </c>
      <c r="M474" t="s">
        <v>1158</v>
      </c>
      <c r="N474" t="s">
        <v>24</v>
      </c>
      <c r="O474" t="s">
        <v>16</v>
      </c>
      <c r="P474">
        <v>5369.28</v>
      </c>
      <c r="Q474">
        <v>537.46</v>
      </c>
      <c r="R474">
        <v>283.63</v>
      </c>
      <c r="S474">
        <v>643.78</v>
      </c>
      <c r="T474">
        <v>3</v>
      </c>
      <c r="U474">
        <v>37</v>
      </c>
    </row>
    <row r="475" spans="1:21" x14ac:dyDescent="0.3">
      <c r="A475" t="s">
        <v>999</v>
      </c>
      <c r="B475">
        <v>36803</v>
      </c>
      <c r="C475" t="s">
        <v>18</v>
      </c>
      <c r="D475" t="s">
        <v>57</v>
      </c>
      <c r="E475" t="s">
        <v>102</v>
      </c>
      <c r="F475" t="s">
        <v>1000</v>
      </c>
      <c r="G475">
        <v>46003</v>
      </c>
      <c r="I475">
        <v>46008</v>
      </c>
      <c r="J475" t="s">
        <v>43</v>
      </c>
      <c r="K475" t="s">
        <v>37</v>
      </c>
      <c r="L475" t="s">
        <v>45</v>
      </c>
      <c r="M475" t="s">
        <v>1152</v>
      </c>
      <c r="N475" t="s">
        <v>65</v>
      </c>
      <c r="O475" t="s">
        <v>31</v>
      </c>
      <c r="P475">
        <v>6581.08</v>
      </c>
      <c r="Q475">
        <v>2391.9299999999998</v>
      </c>
      <c r="R475">
        <v>891.97</v>
      </c>
      <c r="S475">
        <v>727.45</v>
      </c>
      <c r="T475">
        <v>10</v>
      </c>
      <c r="U475">
        <v>25</v>
      </c>
    </row>
    <row r="476" spans="1:21" x14ac:dyDescent="0.3">
      <c r="A476" t="s">
        <v>1001</v>
      </c>
      <c r="B476">
        <v>26539</v>
      </c>
      <c r="C476" t="s">
        <v>8</v>
      </c>
      <c r="D476" t="s">
        <v>139</v>
      </c>
      <c r="E476" t="s">
        <v>41</v>
      </c>
      <c r="F476" t="s">
        <v>1002</v>
      </c>
      <c r="G476">
        <v>45502</v>
      </c>
      <c r="I476">
        <v>45507</v>
      </c>
      <c r="J476" t="s">
        <v>72</v>
      </c>
      <c r="K476" t="s">
        <v>37</v>
      </c>
      <c r="L476" t="s">
        <v>73</v>
      </c>
      <c r="M476" t="s">
        <v>1157</v>
      </c>
      <c r="N476" t="s">
        <v>65</v>
      </c>
      <c r="O476" t="s">
        <v>51</v>
      </c>
      <c r="P476">
        <v>2192.5</v>
      </c>
      <c r="Q476">
        <v>2653.23</v>
      </c>
      <c r="R476">
        <v>4907.1099999999997</v>
      </c>
      <c r="S476">
        <v>1437.52</v>
      </c>
      <c r="T476">
        <v>7</v>
      </c>
      <c r="U476">
        <v>53</v>
      </c>
    </row>
    <row r="477" spans="1:21" x14ac:dyDescent="0.3">
      <c r="A477" t="s">
        <v>1003</v>
      </c>
      <c r="B477">
        <v>34963</v>
      </c>
      <c r="C477" t="s">
        <v>8</v>
      </c>
      <c r="D477" t="s">
        <v>67</v>
      </c>
      <c r="E477" t="s">
        <v>41</v>
      </c>
      <c r="F477" t="s">
        <v>1004</v>
      </c>
      <c r="G477">
        <v>45672</v>
      </c>
      <c r="I477">
        <v>45674</v>
      </c>
      <c r="J477" t="s">
        <v>1164</v>
      </c>
      <c r="K477" t="s">
        <v>13</v>
      </c>
      <c r="L477" t="s">
        <v>30</v>
      </c>
      <c r="M477" t="s">
        <v>1156</v>
      </c>
      <c r="N477" t="s">
        <v>65</v>
      </c>
      <c r="O477" t="s">
        <v>51</v>
      </c>
      <c r="P477">
        <v>3142.72</v>
      </c>
      <c r="Q477">
        <v>1528.28</v>
      </c>
      <c r="R477">
        <v>2517.14</v>
      </c>
      <c r="S477">
        <v>1636.12</v>
      </c>
      <c r="T477">
        <v>2</v>
      </c>
      <c r="U477">
        <v>30</v>
      </c>
    </row>
    <row r="478" spans="1:21" x14ac:dyDescent="0.3">
      <c r="A478" t="s">
        <v>1005</v>
      </c>
      <c r="B478">
        <v>17424</v>
      </c>
      <c r="C478" t="s">
        <v>18</v>
      </c>
      <c r="D478" t="s">
        <v>53</v>
      </c>
      <c r="E478" t="s">
        <v>10</v>
      </c>
      <c r="F478" t="s">
        <v>1006</v>
      </c>
      <c r="G478">
        <v>45770</v>
      </c>
      <c r="I478">
        <v>45771</v>
      </c>
      <c r="J478" t="s">
        <v>1166</v>
      </c>
      <c r="K478" t="s">
        <v>22</v>
      </c>
      <c r="L478" t="s">
        <v>45</v>
      </c>
      <c r="M478" t="s">
        <v>1154</v>
      </c>
      <c r="N478" t="s">
        <v>24</v>
      </c>
      <c r="O478" t="s">
        <v>25</v>
      </c>
      <c r="P478">
        <v>11384</v>
      </c>
      <c r="Q478">
        <v>1093.79</v>
      </c>
      <c r="R478">
        <v>2722.16</v>
      </c>
      <c r="S478">
        <v>1655.84</v>
      </c>
      <c r="T478">
        <v>6</v>
      </c>
      <c r="U478">
        <v>78</v>
      </c>
    </row>
    <row r="479" spans="1:21" x14ac:dyDescent="0.3">
      <c r="A479" t="s">
        <v>1007</v>
      </c>
      <c r="B479">
        <v>31261</v>
      </c>
      <c r="C479" t="s">
        <v>18</v>
      </c>
      <c r="D479" t="s">
        <v>78</v>
      </c>
      <c r="E479" t="s">
        <v>19</v>
      </c>
      <c r="F479" t="s">
        <v>1008</v>
      </c>
      <c r="G479">
        <v>45708</v>
      </c>
      <c r="I479">
        <v>45715</v>
      </c>
      <c r="J479" t="s">
        <v>72</v>
      </c>
      <c r="K479" t="s">
        <v>22</v>
      </c>
      <c r="L479" t="s">
        <v>14</v>
      </c>
      <c r="M479" t="s">
        <v>1152</v>
      </c>
      <c r="N479" t="s">
        <v>65</v>
      </c>
      <c r="O479" t="s">
        <v>16</v>
      </c>
      <c r="P479">
        <v>5411.58</v>
      </c>
      <c r="Q479">
        <v>2616.5100000000002</v>
      </c>
      <c r="R479">
        <v>2314.2199999999998</v>
      </c>
      <c r="S479">
        <v>1346.87</v>
      </c>
      <c r="T479">
        <v>1</v>
      </c>
      <c r="U479">
        <v>40</v>
      </c>
    </row>
    <row r="480" spans="1:21" x14ac:dyDescent="0.3">
      <c r="A480" t="s">
        <v>1009</v>
      </c>
      <c r="B480">
        <v>36998</v>
      </c>
      <c r="C480" t="s">
        <v>18</v>
      </c>
      <c r="D480" t="s">
        <v>57</v>
      </c>
      <c r="E480" t="s">
        <v>54</v>
      </c>
      <c r="F480" t="s">
        <v>1010</v>
      </c>
      <c r="G480">
        <v>45490</v>
      </c>
      <c r="I480">
        <v>45503</v>
      </c>
      <c r="J480" t="s">
        <v>72</v>
      </c>
      <c r="K480" t="s">
        <v>44</v>
      </c>
      <c r="L480" t="s">
        <v>15</v>
      </c>
      <c r="M480" t="s">
        <v>1159</v>
      </c>
      <c r="N480" t="s">
        <v>24</v>
      </c>
      <c r="O480" t="s">
        <v>25</v>
      </c>
      <c r="P480">
        <v>13058.23</v>
      </c>
      <c r="Q480">
        <v>1057.49</v>
      </c>
      <c r="R480">
        <v>4471.09</v>
      </c>
      <c r="S480">
        <v>248.48</v>
      </c>
      <c r="T480">
        <v>2</v>
      </c>
      <c r="U480">
        <v>25</v>
      </c>
    </row>
    <row r="481" spans="1:21" x14ac:dyDescent="0.3">
      <c r="A481" t="s">
        <v>1011</v>
      </c>
      <c r="B481">
        <v>27056</v>
      </c>
      <c r="C481" t="s">
        <v>8</v>
      </c>
      <c r="D481" t="s">
        <v>34</v>
      </c>
      <c r="E481" t="s">
        <v>35</v>
      </c>
      <c r="F481" t="s">
        <v>1012</v>
      </c>
      <c r="G481">
        <v>45691</v>
      </c>
      <c r="I481">
        <v>45701</v>
      </c>
      <c r="J481" t="s">
        <v>111</v>
      </c>
      <c r="K481" t="s">
        <v>37</v>
      </c>
      <c r="L481" t="s">
        <v>38</v>
      </c>
      <c r="M481" t="s">
        <v>1161</v>
      </c>
      <c r="N481" t="s">
        <v>24</v>
      </c>
      <c r="O481" t="s">
        <v>25</v>
      </c>
      <c r="P481">
        <v>8028.09</v>
      </c>
      <c r="Q481">
        <v>1326.63</v>
      </c>
      <c r="R481">
        <v>2531.3000000000002</v>
      </c>
      <c r="S481">
        <v>2026.74</v>
      </c>
      <c r="T481">
        <v>1</v>
      </c>
      <c r="U481">
        <v>52</v>
      </c>
    </row>
    <row r="482" spans="1:21" x14ac:dyDescent="0.3">
      <c r="A482" t="s">
        <v>1013</v>
      </c>
      <c r="B482">
        <v>33281</v>
      </c>
      <c r="C482" t="s">
        <v>8</v>
      </c>
      <c r="D482" t="s">
        <v>126</v>
      </c>
      <c r="E482" t="s">
        <v>62</v>
      </c>
      <c r="F482" t="s">
        <v>1014</v>
      </c>
      <c r="G482">
        <v>45539</v>
      </c>
      <c r="I482">
        <v>45557</v>
      </c>
      <c r="J482" t="s">
        <v>104</v>
      </c>
      <c r="K482" t="s">
        <v>44</v>
      </c>
      <c r="L482" t="s">
        <v>64</v>
      </c>
      <c r="M482" t="s">
        <v>1150</v>
      </c>
      <c r="N482" t="s">
        <v>24</v>
      </c>
      <c r="O482" t="s">
        <v>25</v>
      </c>
      <c r="P482">
        <v>10434.07</v>
      </c>
      <c r="Q482">
        <v>1480.55</v>
      </c>
      <c r="R482">
        <v>1139.47</v>
      </c>
      <c r="S482">
        <v>514.34</v>
      </c>
      <c r="T482">
        <v>3</v>
      </c>
      <c r="U482">
        <v>35</v>
      </c>
    </row>
    <row r="483" spans="1:21" x14ac:dyDescent="0.3">
      <c r="A483" t="s">
        <v>1015</v>
      </c>
      <c r="B483">
        <v>18982</v>
      </c>
      <c r="C483" t="s">
        <v>18</v>
      </c>
      <c r="D483" t="s">
        <v>78</v>
      </c>
      <c r="E483" t="s">
        <v>10</v>
      </c>
      <c r="F483" t="s">
        <v>1016</v>
      </c>
      <c r="G483">
        <v>45757</v>
      </c>
      <c r="I483">
        <v>45774</v>
      </c>
      <c r="J483" t="s">
        <v>1153</v>
      </c>
      <c r="K483" t="s">
        <v>37</v>
      </c>
      <c r="L483" t="s">
        <v>14</v>
      </c>
      <c r="M483" t="s">
        <v>1147</v>
      </c>
      <c r="N483" t="s">
        <v>15</v>
      </c>
      <c r="O483" t="s">
        <v>31</v>
      </c>
      <c r="P483">
        <v>13886.7</v>
      </c>
      <c r="Q483">
        <v>2631.56</v>
      </c>
      <c r="R483">
        <v>3298.53</v>
      </c>
      <c r="S483">
        <v>2012.03</v>
      </c>
      <c r="T483">
        <v>4</v>
      </c>
      <c r="U483">
        <v>74</v>
      </c>
    </row>
    <row r="484" spans="1:21" x14ac:dyDescent="0.3">
      <c r="A484" t="s">
        <v>1017</v>
      </c>
      <c r="B484">
        <v>16503</v>
      </c>
      <c r="C484" t="s">
        <v>8</v>
      </c>
      <c r="D484" t="s">
        <v>139</v>
      </c>
      <c r="E484" t="s">
        <v>68</v>
      </c>
      <c r="F484" t="s">
        <v>1018</v>
      </c>
      <c r="G484">
        <v>45319</v>
      </c>
      <c r="I484">
        <v>45320</v>
      </c>
      <c r="J484" t="s">
        <v>21</v>
      </c>
      <c r="K484" t="s">
        <v>13</v>
      </c>
      <c r="L484" t="s">
        <v>73</v>
      </c>
      <c r="M484" t="s">
        <v>1147</v>
      </c>
      <c r="N484" t="s">
        <v>50</v>
      </c>
      <c r="O484" t="s">
        <v>31</v>
      </c>
      <c r="P484">
        <v>7285.9</v>
      </c>
      <c r="Q484">
        <v>2313.79</v>
      </c>
      <c r="R484">
        <v>2945.39</v>
      </c>
      <c r="S484">
        <v>141.81</v>
      </c>
      <c r="T484">
        <v>1</v>
      </c>
      <c r="U484">
        <v>81</v>
      </c>
    </row>
    <row r="485" spans="1:21" x14ac:dyDescent="0.3">
      <c r="A485" t="s">
        <v>1019</v>
      </c>
      <c r="B485">
        <v>36790</v>
      </c>
      <c r="C485" t="s">
        <v>18</v>
      </c>
      <c r="D485" t="s">
        <v>48</v>
      </c>
      <c r="E485" t="s">
        <v>41</v>
      </c>
      <c r="F485" t="s">
        <v>1020</v>
      </c>
      <c r="G485">
        <v>45880</v>
      </c>
      <c r="I485">
        <v>45890</v>
      </c>
      <c r="J485" t="s">
        <v>100</v>
      </c>
      <c r="K485" t="s">
        <v>44</v>
      </c>
      <c r="L485" t="s">
        <v>38</v>
      </c>
      <c r="M485" t="s">
        <v>1158</v>
      </c>
      <c r="N485" t="s">
        <v>24</v>
      </c>
      <c r="O485" t="s">
        <v>16</v>
      </c>
      <c r="P485">
        <v>6450.27</v>
      </c>
      <c r="Q485">
        <v>2267.73</v>
      </c>
      <c r="R485">
        <v>880.51</v>
      </c>
      <c r="S485">
        <v>128.77000000000001</v>
      </c>
      <c r="T485">
        <v>1</v>
      </c>
      <c r="U485">
        <v>25</v>
      </c>
    </row>
    <row r="486" spans="1:21" x14ac:dyDescent="0.3">
      <c r="A486" t="s">
        <v>1021</v>
      </c>
      <c r="B486">
        <v>28747</v>
      </c>
      <c r="C486" t="s">
        <v>33</v>
      </c>
      <c r="D486" t="s">
        <v>126</v>
      </c>
      <c r="E486" t="s">
        <v>58</v>
      </c>
      <c r="F486" t="s">
        <v>1022</v>
      </c>
      <c r="G486">
        <v>45335</v>
      </c>
      <c r="I486">
        <v>45347</v>
      </c>
      <c r="J486" t="s">
        <v>43</v>
      </c>
      <c r="K486" t="s">
        <v>13</v>
      </c>
      <c r="L486" t="s">
        <v>15</v>
      </c>
      <c r="M486" t="s">
        <v>1147</v>
      </c>
      <c r="N486" t="s">
        <v>65</v>
      </c>
      <c r="O486" t="s">
        <v>16</v>
      </c>
      <c r="P486">
        <v>14775.24</v>
      </c>
      <c r="Q486">
        <v>1711.87</v>
      </c>
      <c r="R486">
        <v>361.63</v>
      </c>
      <c r="S486">
        <v>1444.78</v>
      </c>
      <c r="T486">
        <v>1</v>
      </c>
      <c r="U486">
        <v>47</v>
      </c>
    </row>
    <row r="487" spans="1:21" x14ac:dyDescent="0.3">
      <c r="A487" t="s">
        <v>1023</v>
      </c>
      <c r="B487">
        <v>18712</v>
      </c>
      <c r="C487" t="s">
        <v>18</v>
      </c>
      <c r="D487" t="s">
        <v>61</v>
      </c>
      <c r="E487" t="s">
        <v>102</v>
      </c>
      <c r="F487" t="s">
        <v>1024</v>
      </c>
      <c r="G487">
        <v>45515</v>
      </c>
      <c r="I487">
        <v>45524</v>
      </c>
      <c r="J487" t="s">
        <v>29</v>
      </c>
      <c r="K487" t="s">
        <v>37</v>
      </c>
      <c r="L487" t="s">
        <v>45</v>
      </c>
      <c r="M487" t="s">
        <v>1158</v>
      </c>
      <c r="N487" t="s">
        <v>65</v>
      </c>
      <c r="O487" t="s">
        <v>51</v>
      </c>
      <c r="P487">
        <v>14032.81</v>
      </c>
      <c r="Q487">
        <v>1893.2</v>
      </c>
      <c r="R487">
        <v>3843.02</v>
      </c>
      <c r="S487">
        <v>735.92</v>
      </c>
      <c r="T487">
        <v>8</v>
      </c>
      <c r="U487">
        <v>75</v>
      </c>
    </row>
    <row r="488" spans="1:21" x14ac:dyDescent="0.3">
      <c r="A488" t="s">
        <v>1025</v>
      </c>
      <c r="B488">
        <v>25940</v>
      </c>
      <c r="C488" t="s">
        <v>47</v>
      </c>
      <c r="D488" t="s">
        <v>67</v>
      </c>
      <c r="E488" t="s">
        <v>62</v>
      </c>
      <c r="F488" t="s">
        <v>1026</v>
      </c>
      <c r="G488">
        <v>45531</v>
      </c>
      <c r="I488">
        <v>45543</v>
      </c>
      <c r="J488" t="s">
        <v>21</v>
      </c>
      <c r="K488" t="s">
        <v>22</v>
      </c>
      <c r="L488" t="s">
        <v>23</v>
      </c>
      <c r="M488" t="s">
        <v>1161</v>
      </c>
      <c r="N488" t="s">
        <v>15</v>
      </c>
      <c r="O488" t="s">
        <v>25</v>
      </c>
      <c r="P488">
        <v>13684.48</v>
      </c>
      <c r="Q488">
        <v>1968.11</v>
      </c>
      <c r="R488">
        <v>3265.96</v>
      </c>
      <c r="S488">
        <v>1379.82</v>
      </c>
      <c r="T488">
        <v>10</v>
      </c>
      <c r="U488">
        <v>55</v>
      </c>
    </row>
    <row r="489" spans="1:21" x14ac:dyDescent="0.3">
      <c r="A489" t="s">
        <v>1027</v>
      </c>
      <c r="B489">
        <v>37144</v>
      </c>
      <c r="C489" t="s">
        <v>18</v>
      </c>
      <c r="D489" t="s">
        <v>78</v>
      </c>
      <c r="E489" t="s">
        <v>102</v>
      </c>
      <c r="F489" t="s">
        <v>1028</v>
      </c>
      <c r="G489">
        <v>45440</v>
      </c>
      <c r="I489">
        <v>45458</v>
      </c>
      <c r="J489" t="s">
        <v>29</v>
      </c>
      <c r="K489" t="s">
        <v>44</v>
      </c>
      <c r="L489" t="s">
        <v>15</v>
      </c>
      <c r="M489" t="s">
        <v>1161</v>
      </c>
      <c r="N489" t="s">
        <v>65</v>
      </c>
      <c r="O489" t="s">
        <v>51</v>
      </c>
      <c r="P489">
        <v>7803.22</v>
      </c>
      <c r="Q489">
        <v>684.04</v>
      </c>
      <c r="R489">
        <v>387</v>
      </c>
      <c r="S489">
        <v>995.75</v>
      </c>
      <c r="T489">
        <v>2</v>
      </c>
      <c r="U489">
        <v>24</v>
      </c>
    </row>
    <row r="490" spans="1:21" x14ac:dyDescent="0.3">
      <c r="A490" t="s">
        <v>1029</v>
      </c>
      <c r="B490">
        <v>34151</v>
      </c>
      <c r="C490" t="s">
        <v>18</v>
      </c>
      <c r="D490" t="s">
        <v>57</v>
      </c>
      <c r="E490" t="s">
        <v>41</v>
      </c>
      <c r="F490" t="s">
        <v>1030</v>
      </c>
      <c r="G490">
        <v>45949</v>
      </c>
      <c r="I490">
        <v>45964</v>
      </c>
      <c r="J490" t="s">
        <v>114</v>
      </c>
      <c r="K490" t="s">
        <v>22</v>
      </c>
      <c r="L490" t="s">
        <v>15</v>
      </c>
      <c r="M490" t="s">
        <v>1162</v>
      </c>
      <c r="N490" t="s">
        <v>50</v>
      </c>
      <c r="O490" t="s">
        <v>51</v>
      </c>
      <c r="P490">
        <v>12455.27</v>
      </c>
      <c r="Q490">
        <v>2239.67</v>
      </c>
      <c r="R490">
        <v>3690.13</v>
      </c>
      <c r="S490">
        <v>1184.23</v>
      </c>
      <c r="T490">
        <v>6</v>
      </c>
      <c r="U490">
        <v>32</v>
      </c>
    </row>
    <row r="491" spans="1:21" x14ac:dyDescent="0.3">
      <c r="A491" t="s">
        <v>1031</v>
      </c>
      <c r="B491">
        <v>30120</v>
      </c>
      <c r="C491" t="s">
        <v>33</v>
      </c>
      <c r="D491" t="s">
        <v>53</v>
      </c>
      <c r="E491" t="s">
        <v>19</v>
      </c>
      <c r="F491" t="s">
        <v>1032</v>
      </c>
      <c r="G491">
        <v>45984</v>
      </c>
      <c r="I491">
        <v>45989</v>
      </c>
      <c r="J491" t="s">
        <v>111</v>
      </c>
      <c r="K491" t="s">
        <v>22</v>
      </c>
      <c r="L491" t="s">
        <v>64</v>
      </c>
      <c r="M491" t="s">
        <v>1162</v>
      </c>
      <c r="N491" t="s">
        <v>24</v>
      </c>
      <c r="O491" t="s">
        <v>16</v>
      </c>
      <c r="P491">
        <v>14508.04</v>
      </c>
      <c r="Q491">
        <v>2433.83</v>
      </c>
      <c r="R491">
        <v>2326.87</v>
      </c>
      <c r="S491">
        <v>337.03</v>
      </c>
      <c r="T491">
        <v>7</v>
      </c>
      <c r="U491">
        <v>43</v>
      </c>
    </row>
    <row r="492" spans="1:21" x14ac:dyDescent="0.3">
      <c r="A492" t="s">
        <v>1033</v>
      </c>
      <c r="B492">
        <v>31075</v>
      </c>
      <c r="C492" t="s">
        <v>33</v>
      </c>
      <c r="D492" t="s">
        <v>57</v>
      </c>
      <c r="E492" t="s">
        <v>102</v>
      </c>
      <c r="F492" t="s">
        <v>1034</v>
      </c>
      <c r="G492">
        <v>45322</v>
      </c>
      <c r="I492">
        <v>45328</v>
      </c>
      <c r="J492" t="s">
        <v>1153</v>
      </c>
      <c r="K492" t="s">
        <v>37</v>
      </c>
      <c r="L492" t="s">
        <v>73</v>
      </c>
      <c r="M492" t="s">
        <v>1162</v>
      </c>
      <c r="N492" t="s">
        <v>15</v>
      </c>
      <c r="O492" t="s">
        <v>16</v>
      </c>
      <c r="P492">
        <v>9202.99</v>
      </c>
      <c r="Q492">
        <v>2548.0700000000002</v>
      </c>
      <c r="R492">
        <v>2395.0100000000002</v>
      </c>
      <c r="S492">
        <v>1339.33</v>
      </c>
      <c r="T492">
        <v>7</v>
      </c>
      <c r="U492">
        <v>41</v>
      </c>
    </row>
    <row r="493" spans="1:21" x14ac:dyDescent="0.3">
      <c r="A493" t="s">
        <v>1035</v>
      </c>
      <c r="B493">
        <v>27235</v>
      </c>
      <c r="C493" t="s">
        <v>33</v>
      </c>
      <c r="D493" t="s">
        <v>139</v>
      </c>
      <c r="E493" t="s">
        <v>68</v>
      </c>
      <c r="F493" t="s">
        <v>1036</v>
      </c>
      <c r="G493">
        <v>45473</v>
      </c>
      <c r="I493">
        <v>45490</v>
      </c>
      <c r="J493" t="s">
        <v>72</v>
      </c>
      <c r="K493" t="s">
        <v>37</v>
      </c>
      <c r="L493" t="s">
        <v>23</v>
      </c>
      <c r="M493" t="s">
        <v>1161</v>
      </c>
      <c r="N493" t="s">
        <v>15</v>
      </c>
      <c r="O493" t="s">
        <v>16</v>
      </c>
      <c r="R493">
        <v>1257.46</v>
      </c>
      <c r="S493">
        <v>1196.93</v>
      </c>
      <c r="T493">
        <v>6</v>
      </c>
      <c r="U493">
        <v>51</v>
      </c>
    </row>
    <row r="494" spans="1:21" x14ac:dyDescent="0.3">
      <c r="A494" t="s">
        <v>1037</v>
      </c>
      <c r="B494">
        <v>38170</v>
      </c>
      <c r="C494" t="s">
        <v>18</v>
      </c>
      <c r="D494" t="s">
        <v>40</v>
      </c>
      <c r="E494" t="s">
        <v>68</v>
      </c>
      <c r="F494" t="s">
        <v>1038</v>
      </c>
      <c r="G494">
        <v>45456</v>
      </c>
      <c r="I494">
        <v>45475</v>
      </c>
      <c r="J494" t="s">
        <v>1164</v>
      </c>
      <c r="K494" t="s">
        <v>44</v>
      </c>
      <c r="L494" t="s">
        <v>45</v>
      </c>
      <c r="M494" t="s">
        <v>1154</v>
      </c>
      <c r="N494" t="s">
        <v>15</v>
      </c>
      <c r="O494" t="s">
        <v>25</v>
      </c>
      <c r="P494">
        <v>2748.19</v>
      </c>
      <c r="Q494">
        <v>182.73</v>
      </c>
      <c r="R494">
        <v>794.43</v>
      </c>
      <c r="S494">
        <v>481.48</v>
      </c>
      <c r="T494">
        <v>9</v>
      </c>
      <c r="U494">
        <v>21</v>
      </c>
    </row>
    <row r="495" spans="1:21" x14ac:dyDescent="0.3">
      <c r="A495" t="s">
        <v>1039</v>
      </c>
      <c r="B495">
        <v>18542</v>
      </c>
      <c r="C495" t="s">
        <v>18</v>
      </c>
      <c r="D495" t="s">
        <v>139</v>
      </c>
      <c r="E495" t="s">
        <v>19</v>
      </c>
      <c r="F495" t="s">
        <v>1040</v>
      </c>
      <c r="G495">
        <v>45292</v>
      </c>
      <c r="I495">
        <v>45305</v>
      </c>
      <c r="J495" t="s">
        <v>100</v>
      </c>
      <c r="K495" t="s">
        <v>37</v>
      </c>
      <c r="L495" t="s">
        <v>23</v>
      </c>
      <c r="M495" t="s">
        <v>1147</v>
      </c>
      <c r="N495" t="s">
        <v>24</v>
      </c>
      <c r="O495" t="s">
        <v>25</v>
      </c>
      <c r="P495">
        <v>1422.85</v>
      </c>
      <c r="Q495">
        <v>638.77</v>
      </c>
      <c r="R495">
        <v>3369.4</v>
      </c>
      <c r="S495">
        <v>156.65</v>
      </c>
      <c r="T495">
        <v>9</v>
      </c>
      <c r="U495">
        <v>75</v>
      </c>
    </row>
    <row r="496" spans="1:21" x14ac:dyDescent="0.3">
      <c r="A496" t="s">
        <v>1041</v>
      </c>
      <c r="B496">
        <v>22768</v>
      </c>
      <c r="C496" t="s">
        <v>18</v>
      </c>
      <c r="D496" t="s">
        <v>78</v>
      </c>
      <c r="E496" t="s">
        <v>19</v>
      </c>
      <c r="F496" t="s">
        <v>1042</v>
      </c>
      <c r="G496">
        <v>45534</v>
      </c>
      <c r="I496">
        <v>45549</v>
      </c>
      <c r="J496" t="s">
        <v>72</v>
      </c>
      <c r="K496" t="s">
        <v>44</v>
      </c>
      <c r="L496" t="s">
        <v>14</v>
      </c>
      <c r="M496" t="s">
        <v>1150</v>
      </c>
      <c r="N496" t="s">
        <v>24</v>
      </c>
      <c r="O496" t="s">
        <v>16</v>
      </c>
      <c r="P496">
        <v>9940.59</v>
      </c>
      <c r="Q496">
        <v>2029.42</v>
      </c>
      <c r="R496">
        <v>3556.16</v>
      </c>
      <c r="S496">
        <v>1155.01</v>
      </c>
      <c r="T496">
        <v>3</v>
      </c>
      <c r="U496">
        <v>64</v>
      </c>
    </row>
    <row r="497" spans="1:21" x14ac:dyDescent="0.3">
      <c r="A497" t="s">
        <v>1043</v>
      </c>
      <c r="B497">
        <v>21759</v>
      </c>
      <c r="C497" t="s">
        <v>33</v>
      </c>
      <c r="D497" t="s">
        <v>48</v>
      </c>
      <c r="E497" t="s">
        <v>58</v>
      </c>
      <c r="F497" t="s">
        <v>1044</v>
      </c>
      <c r="G497">
        <v>45529</v>
      </c>
      <c r="I497">
        <v>45547</v>
      </c>
      <c r="J497" t="s">
        <v>72</v>
      </c>
      <c r="K497" t="s">
        <v>13</v>
      </c>
      <c r="L497" t="s">
        <v>15</v>
      </c>
      <c r="M497" t="s">
        <v>1162</v>
      </c>
      <c r="N497" t="s">
        <v>15</v>
      </c>
      <c r="O497" t="s">
        <v>51</v>
      </c>
      <c r="P497">
        <v>9036.11</v>
      </c>
      <c r="Q497">
        <v>2344.15</v>
      </c>
      <c r="R497">
        <v>3484.09</v>
      </c>
      <c r="S497">
        <v>1047.8</v>
      </c>
      <c r="T497">
        <v>6</v>
      </c>
      <c r="U497">
        <v>66</v>
      </c>
    </row>
    <row r="498" spans="1:21" x14ac:dyDescent="0.3">
      <c r="A498" t="s">
        <v>1045</v>
      </c>
      <c r="B498">
        <v>36537</v>
      </c>
      <c r="C498" t="s">
        <v>8</v>
      </c>
      <c r="D498" t="s">
        <v>126</v>
      </c>
      <c r="E498" t="s">
        <v>75</v>
      </c>
      <c r="F498" t="s">
        <v>1046</v>
      </c>
      <c r="G498">
        <v>45294</v>
      </c>
      <c r="I498">
        <v>45307</v>
      </c>
      <c r="J498" t="s">
        <v>104</v>
      </c>
      <c r="K498" t="s">
        <v>13</v>
      </c>
      <c r="L498" t="s">
        <v>23</v>
      </c>
      <c r="M498" t="s">
        <v>1162</v>
      </c>
      <c r="N498" t="s">
        <v>50</v>
      </c>
      <c r="O498" t="s">
        <v>51</v>
      </c>
      <c r="P498">
        <v>2672.7</v>
      </c>
      <c r="Q498">
        <v>811.39</v>
      </c>
      <c r="R498">
        <v>1268.74</v>
      </c>
      <c r="S498">
        <v>882.45</v>
      </c>
      <c r="T498">
        <v>6</v>
      </c>
      <c r="U498">
        <v>26</v>
      </c>
    </row>
    <row r="499" spans="1:21" x14ac:dyDescent="0.3">
      <c r="A499" t="s">
        <v>1047</v>
      </c>
      <c r="B499">
        <v>22117</v>
      </c>
      <c r="C499" t="s">
        <v>18</v>
      </c>
      <c r="D499" t="s">
        <v>9</v>
      </c>
      <c r="E499" t="s">
        <v>35</v>
      </c>
      <c r="F499" t="s">
        <v>1048</v>
      </c>
      <c r="G499">
        <v>45915</v>
      </c>
      <c r="I499">
        <v>45933</v>
      </c>
      <c r="J499" t="s">
        <v>12</v>
      </c>
      <c r="K499" t="s">
        <v>44</v>
      </c>
      <c r="L499" t="s">
        <v>30</v>
      </c>
      <c r="M499" t="s">
        <v>1147</v>
      </c>
      <c r="N499" t="s">
        <v>24</v>
      </c>
      <c r="O499" t="s">
        <v>51</v>
      </c>
      <c r="P499">
        <v>15098.42</v>
      </c>
      <c r="Q499">
        <v>658.22</v>
      </c>
      <c r="R499">
        <v>4350.3500000000004</v>
      </c>
      <c r="S499">
        <v>187.36</v>
      </c>
      <c r="T499">
        <v>1</v>
      </c>
      <c r="U499">
        <v>65</v>
      </c>
    </row>
    <row r="500" spans="1:21" x14ac:dyDescent="0.3">
      <c r="A500" t="s">
        <v>1049</v>
      </c>
      <c r="B500">
        <v>26986</v>
      </c>
      <c r="C500" t="s">
        <v>18</v>
      </c>
      <c r="D500" t="s">
        <v>126</v>
      </c>
      <c r="E500" t="s">
        <v>54</v>
      </c>
      <c r="F500" t="s">
        <v>1050</v>
      </c>
      <c r="G500">
        <v>45811</v>
      </c>
      <c r="I500">
        <v>45826</v>
      </c>
      <c r="J500" t="s">
        <v>43</v>
      </c>
      <c r="K500" t="s">
        <v>37</v>
      </c>
      <c r="L500" t="s">
        <v>38</v>
      </c>
      <c r="M500" t="s">
        <v>1156</v>
      </c>
      <c r="N500" t="s">
        <v>15</v>
      </c>
      <c r="O500" t="s">
        <v>25</v>
      </c>
      <c r="P500">
        <v>7340.98</v>
      </c>
      <c r="Q500">
        <v>806.53</v>
      </c>
      <c r="R500">
        <v>4898.53</v>
      </c>
      <c r="S500">
        <v>1079.8599999999999</v>
      </c>
      <c r="T500">
        <v>9</v>
      </c>
      <c r="U500">
        <v>52</v>
      </c>
    </row>
    <row r="501" spans="1:21" x14ac:dyDescent="0.3">
      <c r="A501" t="s">
        <v>1051</v>
      </c>
      <c r="B501">
        <v>24004</v>
      </c>
      <c r="C501" t="s">
        <v>8</v>
      </c>
      <c r="D501" t="s">
        <v>53</v>
      </c>
      <c r="E501" t="s">
        <v>10</v>
      </c>
      <c r="F501" t="s">
        <v>1052</v>
      </c>
      <c r="G501">
        <v>45492</v>
      </c>
      <c r="I501">
        <v>45508</v>
      </c>
      <c r="J501" t="s">
        <v>43</v>
      </c>
      <c r="K501" t="s">
        <v>37</v>
      </c>
      <c r="L501" t="s">
        <v>14</v>
      </c>
      <c r="M501" t="s">
        <v>1159</v>
      </c>
      <c r="N501" t="s">
        <v>24</v>
      </c>
      <c r="O501" t="s">
        <v>31</v>
      </c>
      <c r="P501">
        <v>9551.91</v>
      </c>
      <c r="Q501">
        <v>1746.35</v>
      </c>
      <c r="R501">
        <v>2991.25</v>
      </c>
      <c r="S501">
        <v>581.55999999999995</v>
      </c>
      <c r="T501">
        <v>4</v>
      </c>
      <c r="U501">
        <v>60</v>
      </c>
    </row>
    <row r="502" spans="1:21" x14ac:dyDescent="0.3">
      <c r="A502" t="s">
        <v>1053</v>
      </c>
      <c r="B502">
        <v>30139</v>
      </c>
      <c r="C502" t="s">
        <v>18</v>
      </c>
      <c r="D502" t="s">
        <v>40</v>
      </c>
      <c r="E502" t="s">
        <v>35</v>
      </c>
      <c r="F502" t="s">
        <v>1054</v>
      </c>
      <c r="G502">
        <v>45435</v>
      </c>
      <c r="I502">
        <v>45447</v>
      </c>
      <c r="J502" t="s">
        <v>21</v>
      </c>
      <c r="K502" t="s">
        <v>22</v>
      </c>
      <c r="L502" t="s">
        <v>14</v>
      </c>
      <c r="M502" t="s">
        <v>1154</v>
      </c>
      <c r="N502" t="s">
        <v>50</v>
      </c>
      <c r="O502" t="s">
        <v>51</v>
      </c>
      <c r="P502">
        <v>9994.5</v>
      </c>
      <c r="Q502">
        <v>2902.27</v>
      </c>
      <c r="R502">
        <v>4076.79</v>
      </c>
      <c r="S502">
        <v>1972.17</v>
      </c>
      <c r="T502">
        <v>10</v>
      </c>
      <c r="U502">
        <v>43</v>
      </c>
    </row>
    <row r="503" spans="1:21" x14ac:dyDescent="0.3">
      <c r="A503" t="s">
        <v>1055</v>
      </c>
      <c r="B503">
        <v>25849</v>
      </c>
      <c r="C503" t="s">
        <v>47</v>
      </c>
      <c r="D503" t="s">
        <v>9</v>
      </c>
      <c r="E503" t="s">
        <v>68</v>
      </c>
      <c r="F503" t="s">
        <v>1056</v>
      </c>
      <c r="G503">
        <v>46003</v>
      </c>
      <c r="I503">
        <v>46011</v>
      </c>
      <c r="J503" t="s">
        <v>29</v>
      </c>
      <c r="K503" t="s">
        <v>37</v>
      </c>
      <c r="L503" t="s">
        <v>64</v>
      </c>
      <c r="M503" t="s">
        <v>1156</v>
      </c>
      <c r="N503" t="s">
        <v>24</v>
      </c>
      <c r="O503" t="s">
        <v>25</v>
      </c>
      <c r="P503">
        <v>14275.71</v>
      </c>
      <c r="Q503">
        <v>490.36</v>
      </c>
      <c r="R503">
        <v>181.42</v>
      </c>
      <c r="S503">
        <v>1337.16</v>
      </c>
      <c r="T503">
        <v>9</v>
      </c>
      <c r="U503">
        <v>55</v>
      </c>
    </row>
    <row r="504" spans="1:21" x14ac:dyDescent="0.3">
      <c r="A504" t="s">
        <v>1057</v>
      </c>
      <c r="B504">
        <v>37853</v>
      </c>
      <c r="C504" t="s">
        <v>47</v>
      </c>
      <c r="D504" t="s">
        <v>34</v>
      </c>
      <c r="E504" t="s">
        <v>62</v>
      </c>
      <c r="F504" t="s">
        <v>1058</v>
      </c>
      <c r="G504">
        <v>45787</v>
      </c>
      <c r="I504">
        <v>45793</v>
      </c>
      <c r="J504" t="s">
        <v>43</v>
      </c>
      <c r="K504" t="s">
        <v>37</v>
      </c>
      <c r="L504" t="s">
        <v>45</v>
      </c>
      <c r="M504" t="s">
        <v>1159</v>
      </c>
      <c r="N504" t="s">
        <v>24</v>
      </c>
      <c r="O504" t="s">
        <v>25</v>
      </c>
      <c r="P504">
        <v>11533.1</v>
      </c>
      <c r="Q504">
        <v>2456.6</v>
      </c>
      <c r="R504">
        <v>3583.59</v>
      </c>
      <c r="S504">
        <v>1799.53</v>
      </c>
      <c r="T504">
        <v>1</v>
      </c>
      <c r="U504">
        <v>22</v>
      </c>
    </row>
    <row r="505" spans="1:21" x14ac:dyDescent="0.3">
      <c r="A505" t="s">
        <v>1059</v>
      </c>
      <c r="B505">
        <v>35261</v>
      </c>
      <c r="C505" t="s">
        <v>8</v>
      </c>
      <c r="D505" t="s">
        <v>78</v>
      </c>
      <c r="E505" t="s">
        <v>68</v>
      </c>
      <c r="F505" t="s">
        <v>1060</v>
      </c>
      <c r="G505">
        <v>45616</v>
      </c>
      <c r="I505">
        <v>45618</v>
      </c>
      <c r="J505" t="s">
        <v>43</v>
      </c>
      <c r="K505" t="s">
        <v>13</v>
      </c>
      <c r="L505" t="s">
        <v>73</v>
      </c>
      <c r="M505" t="s">
        <v>1147</v>
      </c>
      <c r="N505" t="s">
        <v>50</v>
      </c>
      <c r="O505" t="s">
        <v>51</v>
      </c>
      <c r="P505">
        <v>13393.01</v>
      </c>
      <c r="Q505">
        <v>2991.43</v>
      </c>
      <c r="R505">
        <v>2361.1</v>
      </c>
      <c r="S505">
        <v>543.24</v>
      </c>
      <c r="T505">
        <v>2</v>
      </c>
      <c r="U505">
        <v>29</v>
      </c>
    </row>
  </sheetData>
  <autoFilter ref="A1:U1" xr:uid="{A1FBF28A-7B4B-4852-8A73-224E8A079DC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4341D-7167-4605-8D4B-7FFFCED21527}">
  <dimension ref="A1"/>
  <sheetViews>
    <sheetView topLeftCell="A100"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7505-0437-4DC9-9370-4F39353C1E1B}">
  <dimension ref="A1:C501"/>
  <sheetViews>
    <sheetView workbookViewId="0">
      <selection activeCell="E26" sqref="E26"/>
    </sheetView>
  </sheetViews>
  <sheetFormatPr defaultRowHeight="14.4" x14ac:dyDescent="0.3"/>
  <cols>
    <col min="1" max="1" width="9.44140625" bestFit="1" customWidth="1"/>
    <col min="2" max="2" width="20" bestFit="1" customWidth="1"/>
    <col min="3" max="3" width="7.5546875" bestFit="1" customWidth="1"/>
  </cols>
  <sheetData>
    <row r="1" spans="1:3" x14ac:dyDescent="0.3">
      <c r="A1" s="24" t="s">
        <v>1072</v>
      </c>
      <c r="B1" s="24" t="s">
        <v>1075</v>
      </c>
      <c r="C1" s="24" t="s">
        <v>1061</v>
      </c>
    </row>
    <row r="2" spans="1:3" x14ac:dyDescent="0.3">
      <c r="A2" t="s">
        <v>7</v>
      </c>
      <c r="B2" t="s">
        <v>1177</v>
      </c>
      <c r="C2" t="s">
        <v>1178</v>
      </c>
    </row>
    <row r="3" spans="1:3" x14ac:dyDescent="0.3">
      <c r="A3" t="s">
        <v>17</v>
      </c>
      <c r="B3" t="s">
        <v>1179</v>
      </c>
      <c r="C3" t="s">
        <v>1180</v>
      </c>
    </row>
    <row r="4" spans="1:3" x14ac:dyDescent="0.3">
      <c r="A4" t="s">
        <v>26</v>
      </c>
      <c r="B4" t="s">
        <v>1181</v>
      </c>
      <c r="C4" t="s">
        <v>1178</v>
      </c>
    </row>
    <row r="5" spans="1:3" x14ac:dyDescent="0.3">
      <c r="A5" t="s">
        <v>32</v>
      </c>
      <c r="B5" t="s">
        <v>1182</v>
      </c>
      <c r="C5" t="s">
        <v>1180</v>
      </c>
    </row>
    <row r="6" spans="1:3" x14ac:dyDescent="0.3">
      <c r="A6" t="s">
        <v>39</v>
      </c>
      <c r="B6" t="s">
        <v>1183</v>
      </c>
      <c r="C6" t="s">
        <v>1178</v>
      </c>
    </row>
    <row r="7" spans="1:3" x14ac:dyDescent="0.3">
      <c r="A7" t="s">
        <v>46</v>
      </c>
      <c r="B7" t="s">
        <v>1184</v>
      </c>
      <c r="C7" t="s">
        <v>1180</v>
      </c>
    </row>
    <row r="8" spans="1:3" x14ac:dyDescent="0.3">
      <c r="A8" t="s">
        <v>52</v>
      </c>
      <c r="B8" t="s">
        <v>1185</v>
      </c>
      <c r="C8" t="s">
        <v>1178</v>
      </c>
    </row>
    <row r="9" spans="1:3" x14ac:dyDescent="0.3">
      <c r="A9" t="s">
        <v>56</v>
      </c>
      <c r="B9" t="s">
        <v>1186</v>
      </c>
      <c r="C9" t="s">
        <v>1180</v>
      </c>
    </row>
    <row r="10" spans="1:3" x14ac:dyDescent="0.3">
      <c r="A10" t="s">
        <v>60</v>
      </c>
      <c r="B10" t="s">
        <v>1187</v>
      </c>
      <c r="C10" t="s">
        <v>1178</v>
      </c>
    </row>
    <row r="11" spans="1:3" x14ac:dyDescent="0.3">
      <c r="A11" t="s">
        <v>66</v>
      </c>
      <c r="B11" t="s">
        <v>1188</v>
      </c>
      <c r="C11" t="s">
        <v>1180</v>
      </c>
    </row>
    <row r="12" spans="1:3" x14ac:dyDescent="0.3">
      <c r="A12" t="s">
        <v>70</v>
      </c>
      <c r="B12" t="s">
        <v>1189</v>
      </c>
      <c r="C12" t="s">
        <v>1178</v>
      </c>
    </row>
    <row r="13" spans="1:3" x14ac:dyDescent="0.3">
      <c r="A13" t="s">
        <v>74</v>
      </c>
      <c r="B13" t="s">
        <v>1190</v>
      </c>
      <c r="C13" t="s">
        <v>1180</v>
      </c>
    </row>
    <row r="14" spans="1:3" x14ac:dyDescent="0.3">
      <c r="A14" t="s">
        <v>77</v>
      </c>
      <c r="B14" t="s">
        <v>1191</v>
      </c>
      <c r="C14" t="s">
        <v>1178</v>
      </c>
    </row>
    <row r="15" spans="1:3" x14ac:dyDescent="0.3">
      <c r="A15" t="s">
        <v>80</v>
      </c>
      <c r="B15" t="s">
        <v>1192</v>
      </c>
      <c r="C15" t="s">
        <v>1180</v>
      </c>
    </row>
    <row r="16" spans="1:3" x14ac:dyDescent="0.3">
      <c r="A16" t="s">
        <v>82</v>
      </c>
      <c r="B16" t="s">
        <v>1193</v>
      </c>
      <c r="C16" t="s">
        <v>1178</v>
      </c>
    </row>
    <row r="17" spans="1:3" x14ac:dyDescent="0.3">
      <c r="A17" t="s">
        <v>84</v>
      </c>
      <c r="B17" t="s">
        <v>1194</v>
      </c>
      <c r="C17" t="s">
        <v>1180</v>
      </c>
    </row>
    <row r="18" spans="1:3" x14ac:dyDescent="0.3">
      <c r="A18" t="s">
        <v>86</v>
      </c>
      <c r="B18" t="s">
        <v>1195</v>
      </c>
      <c r="C18" t="s">
        <v>1178</v>
      </c>
    </row>
    <row r="19" spans="1:3" x14ac:dyDescent="0.3">
      <c r="A19" t="s">
        <v>88</v>
      </c>
      <c r="B19" t="s">
        <v>1196</v>
      </c>
      <c r="C19" t="s">
        <v>1180</v>
      </c>
    </row>
    <row r="20" spans="1:3" x14ac:dyDescent="0.3">
      <c r="A20" t="s">
        <v>90</v>
      </c>
      <c r="B20" t="s">
        <v>1197</v>
      </c>
      <c r="C20" t="s">
        <v>1178</v>
      </c>
    </row>
    <row r="21" spans="1:3" x14ac:dyDescent="0.3">
      <c r="A21" t="s">
        <v>92</v>
      </c>
      <c r="B21" t="s">
        <v>1198</v>
      </c>
      <c r="C21" t="s">
        <v>1180</v>
      </c>
    </row>
    <row r="22" spans="1:3" x14ac:dyDescent="0.3">
      <c r="A22" t="s">
        <v>94</v>
      </c>
      <c r="B22" t="s">
        <v>1199</v>
      </c>
      <c r="C22" t="s">
        <v>1178</v>
      </c>
    </row>
    <row r="23" spans="1:3" x14ac:dyDescent="0.3">
      <c r="A23" t="s">
        <v>96</v>
      </c>
      <c r="B23" t="s">
        <v>1200</v>
      </c>
      <c r="C23" t="s">
        <v>1180</v>
      </c>
    </row>
    <row r="24" spans="1:3" x14ac:dyDescent="0.3">
      <c r="A24" t="s">
        <v>98</v>
      </c>
      <c r="B24" t="s">
        <v>1201</v>
      </c>
      <c r="C24" t="s">
        <v>1178</v>
      </c>
    </row>
    <row r="25" spans="1:3" x14ac:dyDescent="0.3">
      <c r="A25" t="s">
        <v>101</v>
      </c>
      <c r="B25" t="s">
        <v>1202</v>
      </c>
      <c r="C25" t="s">
        <v>1180</v>
      </c>
    </row>
    <row r="26" spans="1:3" x14ac:dyDescent="0.3">
      <c r="A26" t="s">
        <v>105</v>
      </c>
      <c r="B26" t="s">
        <v>1203</v>
      </c>
      <c r="C26" t="s">
        <v>1178</v>
      </c>
    </row>
    <row r="27" spans="1:3" x14ac:dyDescent="0.3">
      <c r="A27" t="s">
        <v>107</v>
      </c>
      <c r="B27" t="s">
        <v>1204</v>
      </c>
      <c r="C27" t="s">
        <v>1180</v>
      </c>
    </row>
    <row r="28" spans="1:3" x14ac:dyDescent="0.3">
      <c r="A28" t="s">
        <v>109</v>
      </c>
      <c r="B28" t="s">
        <v>1205</v>
      </c>
      <c r="C28" t="s">
        <v>1178</v>
      </c>
    </row>
    <row r="29" spans="1:3" x14ac:dyDescent="0.3">
      <c r="A29" t="s">
        <v>112</v>
      </c>
      <c r="B29" t="s">
        <v>1206</v>
      </c>
      <c r="C29" t="s">
        <v>1180</v>
      </c>
    </row>
    <row r="30" spans="1:3" x14ac:dyDescent="0.3">
      <c r="A30" t="s">
        <v>115</v>
      </c>
      <c r="B30" t="s">
        <v>1207</v>
      </c>
      <c r="C30" t="s">
        <v>1178</v>
      </c>
    </row>
    <row r="31" spans="1:3" x14ac:dyDescent="0.3">
      <c r="A31" t="s">
        <v>117</v>
      </c>
      <c r="B31" t="s">
        <v>1208</v>
      </c>
      <c r="C31" t="s">
        <v>1180</v>
      </c>
    </row>
    <row r="32" spans="1:3" x14ac:dyDescent="0.3">
      <c r="A32" t="s">
        <v>119</v>
      </c>
      <c r="B32" t="s">
        <v>1209</v>
      </c>
      <c r="C32" t="s">
        <v>1178</v>
      </c>
    </row>
    <row r="33" spans="1:3" x14ac:dyDescent="0.3">
      <c r="A33" t="s">
        <v>121</v>
      </c>
      <c r="B33" t="s">
        <v>1210</v>
      </c>
      <c r="C33" t="s">
        <v>1180</v>
      </c>
    </row>
    <row r="34" spans="1:3" x14ac:dyDescent="0.3">
      <c r="A34" t="s">
        <v>123</v>
      </c>
      <c r="B34" t="s">
        <v>1211</v>
      </c>
      <c r="C34" t="s">
        <v>1178</v>
      </c>
    </row>
    <row r="35" spans="1:3" x14ac:dyDescent="0.3">
      <c r="A35" t="s">
        <v>125</v>
      </c>
      <c r="B35" t="s">
        <v>1212</v>
      </c>
      <c r="C35" t="s">
        <v>1180</v>
      </c>
    </row>
    <row r="36" spans="1:3" x14ac:dyDescent="0.3">
      <c r="A36" t="s">
        <v>128</v>
      </c>
      <c r="B36" t="s">
        <v>1213</v>
      </c>
      <c r="C36" t="s">
        <v>1178</v>
      </c>
    </row>
    <row r="37" spans="1:3" x14ac:dyDescent="0.3">
      <c r="A37" t="s">
        <v>130</v>
      </c>
      <c r="B37" t="s">
        <v>1214</v>
      </c>
      <c r="C37" t="s">
        <v>1180</v>
      </c>
    </row>
    <row r="38" spans="1:3" x14ac:dyDescent="0.3">
      <c r="A38" t="s">
        <v>132</v>
      </c>
      <c r="B38" t="s">
        <v>1215</v>
      </c>
      <c r="C38" t="s">
        <v>1178</v>
      </c>
    </row>
    <row r="39" spans="1:3" x14ac:dyDescent="0.3">
      <c r="A39" t="s">
        <v>134</v>
      </c>
      <c r="B39" t="s">
        <v>1216</v>
      </c>
      <c r="C39" t="s">
        <v>1180</v>
      </c>
    </row>
    <row r="40" spans="1:3" x14ac:dyDescent="0.3">
      <c r="A40" t="s">
        <v>136</v>
      </c>
      <c r="B40" t="s">
        <v>1217</v>
      </c>
      <c r="C40" t="s">
        <v>1178</v>
      </c>
    </row>
    <row r="41" spans="1:3" x14ac:dyDescent="0.3">
      <c r="A41" t="s">
        <v>138</v>
      </c>
      <c r="B41" t="s">
        <v>1218</v>
      </c>
      <c r="C41" t="s">
        <v>1180</v>
      </c>
    </row>
    <row r="42" spans="1:3" x14ac:dyDescent="0.3">
      <c r="A42" t="s">
        <v>141</v>
      </c>
      <c r="B42" t="s">
        <v>1219</v>
      </c>
      <c r="C42" t="s">
        <v>1178</v>
      </c>
    </row>
    <row r="43" spans="1:3" x14ac:dyDescent="0.3">
      <c r="A43" t="s">
        <v>143</v>
      </c>
      <c r="B43" t="s">
        <v>1220</v>
      </c>
      <c r="C43" t="s">
        <v>1180</v>
      </c>
    </row>
    <row r="44" spans="1:3" x14ac:dyDescent="0.3">
      <c r="A44" t="s">
        <v>145</v>
      </c>
      <c r="B44" t="s">
        <v>1221</v>
      </c>
      <c r="C44" t="s">
        <v>1178</v>
      </c>
    </row>
    <row r="45" spans="1:3" x14ac:dyDescent="0.3">
      <c r="A45" t="s">
        <v>147</v>
      </c>
      <c r="B45" t="s">
        <v>1222</v>
      </c>
      <c r="C45" t="s">
        <v>1180</v>
      </c>
    </row>
    <row r="46" spans="1:3" x14ac:dyDescent="0.3">
      <c r="A46" t="s">
        <v>149</v>
      </c>
      <c r="B46" t="s">
        <v>1223</v>
      </c>
      <c r="C46" t="s">
        <v>1178</v>
      </c>
    </row>
    <row r="47" spans="1:3" x14ac:dyDescent="0.3">
      <c r="A47" t="s">
        <v>151</v>
      </c>
      <c r="B47" t="s">
        <v>1224</v>
      </c>
      <c r="C47" t="s">
        <v>1180</v>
      </c>
    </row>
    <row r="48" spans="1:3" x14ac:dyDescent="0.3">
      <c r="A48" t="s">
        <v>153</v>
      </c>
      <c r="B48" t="s">
        <v>1225</v>
      </c>
      <c r="C48" t="s">
        <v>1178</v>
      </c>
    </row>
    <row r="49" spans="1:3" x14ac:dyDescent="0.3">
      <c r="A49" t="s">
        <v>155</v>
      </c>
      <c r="B49" t="s">
        <v>1226</v>
      </c>
      <c r="C49" t="s">
        <v>1180</v>
      </c>
    </row>
    <row r="50" spans="1:3" x14ac:dyDescent="0.3">
      <c r="A50" t="s">
        <v>157</v>
      </c>
      <c r="B50" t="s">
        <v>1227</v>
      </c>
      <c r="C50" t="s">
        <v>1178</v>
      </c>
    </row>
    <row r="51" spans="1:3" x14ac:dyDescent="0.3">
      <c r="A51" t="s">
        <v>159</v>
      </c>
      <c r="B51" t="s">
        <v>1228</v>
      </c>
      <c r="C51" t="s">
        <v>1180</v>
      </c>
    </row>
    <row r="52" spans="1:3" x14ac:dyDescent="0.3">
      <c r="A52" t="s">
        <v>161</v>
      </c>
      <c r="B52" t="s">
        <v>1229</v>
      </c>
      <c r="C52" t="s">
        <v>1178</v>
      </c>
    </row>
    <row r="53" spans="1:3" x14ac:dyDescent="0.3">
      <c r="A53" t="s">
        <v>163</v>
      </c>
      <c r="B53" t="s">
        <v>1230</v>
      </c>
      <c r="C53" t="s">
        <v>1180</v>
      </c>
    </row>
    <row r="54" spans="1:3" x14ac:dyDescent="0.3">
      <c r="A54" t="s">
        <v>165</v>
      </c>
      <c r="B54" t="s">
        <v>1231</v>
      </c>
      <c r="C54" t="s">
        <v>1178</v>
      </c>
    </row>
    <row r="55" spans="1:3" x14ac:dyDescent="0.3">
      <c r="A55" t="s">
        <v>167</v>
      </c>
      <c r="B55" t="s">
        <v>1232</v>
      </c>
      <c r="C55" t="s">
        <v>1180</v>
      </c>
    </row>
    <row r="56" spans="1:3" x14ac:dyDescent="0.3">
      <c r="A56" t="s">
        <v>169</v>
      </c>
      <c r="B56" t="s">
        <v>1233</v>
      </c>
      <c r="C56" t="s">
        <v>1178</v>
      </c>
    </row>
    <row r="57" spans="1:3" x14ac:dyDescent="0.3">
      <c r="A57" t="s">
        <v>171</v>
      </c>
      <c r="B57" t="s">
        <v>1234</v>
      </c>
      <c r="C57" t="s">
        <v>1180</v>
      </c>
    </row>
    <row r="58" spans="1:3" x14ac:dyDescent="0.3">
      <c r="A58" t="s">
        <v>173</v>
      </c>
      <c r="B58" t="s">
        <v>1235</v>
      </c>
      <c r="C58" t="s">
        <v>1178</v>
      </c>
    </row>
    <row r="59" spans="1:3" x14ac:dyDescent="0.3">
      <c r="A59" t="s">
        <v>175</v>
      </c>
      <c r="B59" t="s">
        <v>1236</v>
      </c>
      <c r="C59" t="s">
        <v>1180</v>
      </c>
    </row>
    <row r="60" spans="1:3" x14ac:dyDescent="0.3">
      <c r="A60" t="s">
        <v>177</v>
      </c>
      <c r="B60" t="s">
        <v>1237</v>
      </c>
      <c r="C60" t="s">
        <v>1178</v>
      </c>
    </row>
    <row r="61" spans="1:3" x14ac:dyDescent="0.3">
      <c r="A61" t="s">
        <v>179</v>
      </c>
      <c r="B61" t="s">
        <v>1238</v>
      </c>
      <c r="C61" t="s">
        <v>1180</v>
      </c>
    </row>
    <row r="62" spans="1:3" x14ac:dyDescent="0.3">
      <c r="A62" t="s">
        <v>181</v>
      </c>
      <c r="B62" t="s">
        <v>1239</v>
      </c>
      <c r="C62" t="s">
        <v>1178</v>
      </c>
    </row>
    <row r="63" spans="1:3" x14ac:dyDescent="0.3">
      <c r="A63" t="s">
        <v>183</v>
      </c>
      <c r="B63" t="s">
        <v>1240</v>
      </c>
      <c r="C63" t="s">
        <v>1180</v>
      </c>
    </row>
    <row r="64" spans="1:3" x14ac:dyDescent="0.3">
      <c r="A64" t="s">
        <v>185</v>
      </c>
      <c r="B64" t="s">
        <v>1241</v>
      </c>
      <c r="C64" t="s">
        <v>1178</v>
      </c>
    </row>
    <row r="65" spans="1:3" x14ac:dyDescent="0.3">
      <c r="A65" t="s">
        <v>187</v>
      </c>
      <c r="B65" t="s">
        <v>1242</v>
      </c>
      <c r="C65" t="s">
        <v>1180</v>
      </c>
    </row>
    <row r="66" spans="1:3" x14ac:dyDescent="0.3">
      <c r="A66" t="s">
        <v>189</v>
      </c>
      <c r="B66" t="s">
        <v>1243</v>
      </c>
      <c r="C66" t="s">
        <v>1178</v>
      </c>
    </row>
    <row r="67" spans="1:3" x14ac:dyDescent="0.3">
      <c r="A67" t="s">
        <v>191</v>
      </c>
      <c r="B67" t="s">
        <v>1244</v>
      </c>
      <c r="C67" t="s">
        <v>1180</v>
      </c>
    </row>
    <row r="68" spans="1:3" x14ac:dyDescent="0.3">
      <c r="A68" t="s">
        <v>193</v>
      </c>
      <c r="B68" t="s">
        <v>1245</v>
      </c>
      <c r="C68" t="s">
        <v>1178</v>
      </c>
    </row>
    <row r="69" spans="1:3" x14ac:dyDescent="0.3">
      <c r="A69" t="s">
        <v>195</v>
      </c>
      <c r="B69" t="s">
        <v>1246</v>
      </c>
      <c r="C69" t="s">
        <v>1180</v>
      </c>
    </row>
    <row r="70" spans="1:3" x14ac:dyDescent="0.3">
      <c r="A70" t="s">
        <v>197</v>
      </c>
      <c r="B70" t="s">
        <v>1247</v>
      </c>
      <c r="C70" t="s">
        <v>1178</v>
      </c>
    </row>
    <row r="71" spans="1:3" x14ac:dyDescent="0.3">
      <c r="A71" t="s">
        <v>199</v>
      </c>
      <c r="B71" t="s">
        <v>1248</v>
      </c>
      <c r="C71" t="s">
        <v>1180</v>
      </c>
    </row>
    <row r="72" spans="1:3" x14ac:dyDescent="0.3">
      <c r="A72" t="s">
        <v>201</v>
      </c>
      <c r="B72" t="s">
        <v>1249</v>
      </c>
      <c r="C72" t="s">
        <v>1178</v>
      </c>
    </row>
    <row r="73" spans="1:3" x14ac:dyDescent="0.3">
      <c r="A73" t="s">
        <v>203</v>
      </c>
      <c r="B73" t="s">
        <v>1250</v>
      </c>
      <c r="C73" t="s">
        <v>1180</v>
      </c>
    </row>
    <row r="74" spans="1:3" x14ac:dyDescent="0.3">
      <c r="A74" t="s">
        <v>205</v>
      </c>
      <c r="B74" t="s">
        <v>1251</v>
      </c>
      <c r="C74" t="s">
        <v>1178</v>
      </c>
    </row>
    <row r="75" spans="1:3" x14ac:dyDescent="0.3">
      <c r="A75" t="s">
        <v>207</v>
      </c>
      <c r="B75" t="s">
        <v>1252</v>
      </c>
      <c r="C75" t="s">
        <v>1180</v>
      </c>
    </row>
    <row r="76" spans="1:3" x14ac:dyDescent="0.3">
      <c r="A76" t="s">
        <v>209</v>
      </c>
      <c r="B76" t="s">
        <v>1253</v>
      </c>
      <c r="C76" t="s">
        <v>1178</v>
      </c>
    </row>
    <row r="77" spans="1:3" x14ac:dyDescent="0.3">
      <c r="A77" t="s">
        <v>211</v>
      </c>
      <c r="B77" t="s">
        <v>1254</v>
      </c>
      <c r="C77" t="s">
        <v>1180</v>
      </c>
    </row>
    <row r="78" spans="1:3" x14ac:dyDescent="0.3">
      <c r="A78" t="s">
        <v>213</v>
      </c>
      <c r="B78" t="s">
        <v>1255</v>
      </c>
      <c r="C78" t="s">
        <v>1178</v>
      </c>
    </row>
    <row r="79" spans="1:3" x14ac:dyDescent="0.3">
      <c r="A79" t="s">
        <v>215</v>
      </c>
      <c r="B79" t="s">
        <v>1256</v>
      </c>
      <c r="C79" t="s">
        <v>1180</v>
      </c>
    </row>
    <row r="80" spans="1:3" x14ac:dyDescent="0.3">
      <c r="A80" t="s">
        <v>217</v>
      </c>
      <c r="B80" t="s">
        <v>1257</v>
      </c>
      <c r="C80" t="s">
        <v>1178</v>
      </c>
    </row>
    <row r="81" spans="1:3" x14ac:dyDescent="0.3">
      <c r="A81" t="s">
        <v>219</v>
      </c>
      <c r="B81" t="s">
        <v>1258</v>
      </c>
      <c r="C81" t="s">
        <v>1180</v>
      </c>
    </row>
    <row r="82" spans="1:3" x14ac:dyDescent="0.3">
      <c r="A82" t="s">
        <v>221</v>
      </c>
      <c r="B82" t="s">
        <v>1259</v>
      </c>
      <c r="C82" t="s">
        <v>1178</v>
      </c>
    </row>
    <row r="83" spans="1:3" x14ac:dyDescent="0.3">
      <c r="A83" t="s">
        <v>223</v>
      </c>
      <c r="B83" t="s">
        <v>1260</v>
      </c>
      <c r="C83" t="s">
        <v>1180</v>
      </c>
    </row>
    <row r="84" spans="1:3" x14ac:dyDescent="0.3">
      <c r="A84" t="s">
        <v>225</v>
      </c>
      <c r="B84" t="s">
        <v>1261</v>
      </c>
      <c r="C84" t="s">
        <v>1178</v>
      </c>
    </row>
    <row r="85" spans="1:3" x14ac:dyDescent="0.3">
      <c r="A85" t="s">
        <v>227</v>
      </c>
      <c r="B85" t="s">
        <v>1262</v>
      </c>
      <c r="C85" t="s">
        <v>1180</v>
      </c>
    </row>
    <row r="86" spans="1:3" x14ac:dyDescent="0.3">
      <c r="A86" t="s">
        <v>229</v>
      </c>
      <c r="B86" t="s">
        <v>1263</v>
      </c>
      <c r="C86" t="s">
        <v>1178</v>
      </c>
    </row>
    <row r="87" spans="1:3" x14ac:dyDescent="0.3">
      <c r="A87" t="s">
        <v>231</v>
      </c>
      <c r="B87" t="s">
        <v>1264</v>
      </c>
      <c r="C87" t="s">
        <v>1180</v>
      </c>
    </row>
    <row r="88" spans="1:3" x14ac:dyDescent="0.3">
      <c r="A88" t="s">
        <v>233</v>
      </c>
      <c r="B88" t="s">
        <v>1265</v>
      </c>
      <c r="C88" t="s">
        <v>1178</v>
      </c>
    </row>
    <row r="89" spans="1:3" x14ac:dyDescent="0.3">
      <c r="A89" t="s">
        <v>235</v>
      </c>
      <c r="B89" t="s">
        <v>1266</v>
      </c>
      <c r="C89" t="s">
        <v>1180</v>
      </c>
    </row>
    <row r="90" spans="1:3" x14ac:dyDescent="0.3">
      <c r="A90" t="s">
        <v>237</v>
      </c>
      <c r="B90" t="s">
        <v>1267</v>
      </c>
      <c r="C90" t="s">
        <v>1178</v>
      </c>
    </row>
    <row r="91" spans="1:3" x14ac:dyDescent="0.3">
      <c r="A91" t="s">
        <v>239</v>
      </c>
      <c r="B91" t="s">
        <v>1268</v>
      </c>
      <c r="C91" t="s">
        <v>1180</v>
      </c>
    </row>
    <row r="92" spans="1:3" x14ac:dyDescent="0.3">
      <c r="A92" t="s">
        <v>241</v>
      </c>
      <c r="B92" t="s">
        <v>1269</v>
      </c>
      <c r="C92" t="s">
        <v>1178</v>
      </c>
    </row>
    <row r="93" spans="1:3" x14ac:dyDescent="0.3">
      <c r="A93" t="s">
        <v>243</v>
      </c>
      <c r="B93" t="s">
        <v>1270</v>
      </c>
      <c r="C93" t="s">
        <v>1180</v>
      </c>
    </row>
    <row r="94" spans="1:3" x14ac:dyDescent="0.3">
      <c r="A94" t="s">
        <v>245</v>
      </c>
      <c r="B94" t="s">
        <v>1271</v>
      </c>
      <c r="C94" t="s">
        <v>1178</v>
      </c>
    </row>
    <row r="95" spans="1:3" x14ac:dyDescent="0.3">
      <c r="A95" t="s">
        <v>247</v>
      </c>
      <c r="B95" t="s">
        <v>1272</v>
      </c>
      <c r="C95" t="s">
        <v>1180</v>
      </c>
    </row>
    <row r="96" spans="1:3" x14ac:dyDescent="0.3">
      <c r="A96" t="s">
        <v>249</v>
      </c>
      <c r="B96" t="s">
        <v>1273</v>
      </c>
      <c r="C96" t="s">
        <v>1178</v>
      </c>
    </row>
    <row r="97" spans="1:3" x14ac:dyDescent="0.3">
      <c r="A97" t="s">
        <v>251</v>
      </c>
      <c r="B97" t="s">
        <v>1274</v>
      </c>
      <c r="C97" t="s">
        <v>1180</v>
      </c>
    </row>
    <row r="98" spans="1:3" x14ac:dyDescent="0.3">
      <c r="A98" t="s">
        <v>253</v>
      </c>
      <c r="B98" t="s">
        <v>1275</v>
      </c>
      <c r="C98" t="s">
        <v>1178</v>
      </c>
    </row>
    <row r="99" spans="1:3" x14ac:dyDescent="0.3">
      <c r="A99" t="s">
        <v>255</v>
      </c>
      <c r="B99" t="s">
        <v>1276</v>
      </c>
      <c r="C99" t="s">
        <v>1180</v>
      </c>
    </row>
    <row r="100" spans="1:3" x14ac:dyDescent="0.3">
      <c r="A100" t="s">
        <v>257</v>
      </c>
      <c r="B100" t="s">
        <v>1277</v>
      </c>
      <c r="C100" t="s">
        <v>1178</v>
      </c>
    </row>
    <row r="101" spans="1:3" x14ac:dyDescent="0.3">
      <c r="A101" t="s">
        <v>259</v>
      </c>
      <c r="B101" t="s">
        <v>1278</v>
      </c>
      <c r="C101" t="s">
        <v>1180</v>
      </c>
    </row>
    <row r="102" spans="1:3" x14ac:dyDescent="0.3">
      <c r="A102" t="s">
        <v>261</v>
      </c>
      <c r="B102" t="s">
        <v>1279</v>
      </c>
      <c r="C102" t="s">
        <v>1178</v>
      </c>
    </row>
    <row r="103" spans="1:3" x14ac:dyDescent="0.3">
      <c r="A103" t="s">
        <v>263</v>
      </c>
      <c r="B103" t="s">
        <v>1280</v>
      </c>
      <c r="C103" t="s">
        <v>1180</v>
      </c>
    </row>
    <row r="104" spans="1:3" x14ac:dyDescent="0.3">
      <c r="A104" t="s">
        <v>265</v>
      </c>
      <c r="B104" t="s">
        <v>1281</v>
      </c>
      <c r="C104" t="s">
        <v>1178</v>
      </c>
    </row>
    <row r="105" spans="1:3" x14ac:dyDescent="0.3">
      <c r="A105" t="s">
        <v>267</v>
      </c>
      <c r="B105" t="s">
        <v>1282</v>
      </c>
      <c r="C105" t="s">
        <v>1180</v>
      </c>
    </row>
    <row r="106" spans="1:3" x14ac:dyDescent="0.3">
      <c r="A106" t="s">
        <v>269</v>
      </c>
      <c r="B106" t="s">
        <v>1283</v>
      </c>
      <c r="C106" t="s">
        <v>1178</v>
      </c>
    </row>
    <row r="107" spans="1:3" x14ac:dyDescent="0.3">
      <c r="A107" t="s">
        <v>271</v>
      </c>
      <c r="B107" t="s">
        <v>1284</v>
      </c>
      <c r="C107" t="s">
        <v>1180</v>
      </c>
    </row>
    <row r="108" spans="1:3" x14ac:dyDescent="0.3">
      <c r="A108" t="s">
        <v>273</v>
      </c>
      <c r="B108" t="s">
        <v>1285</v>
      </c>
      <c r="C108" t="s">
        <v>1178</v>
      </c>
    </row>
    <row r="109" spans="1:3" x14ac:dyDescent="0.3">
      <c r="A109" t="s">
        <v>275</v>
      </c>
      <c r="B109" t="s">
        <v>1286</v>
      </c>
      <c r="C109" t="s">
        <v>1180</v>
      </c>
    </row>
    <row r="110" spans="1:3" x14ac:dyDescent="0.3">
      <c r="A110" t="s">
        <v>277</v>
      </c>
      <c r="B110" t="s">
        <v>1287</v>
      </c>
      <c r="C110" t="s">
        <v>1178</v>
      </c>
    </row>
    <row r="111" spans="1:3" x14ac:dyDescent="0.3">
      <c r="A111" t="s">
        <v>279</v>
      </c>
      <c r="B111" t="s">
        <v>1288</v>
      </c>
      <c r="C111" t="s">
        <v>1180</v>
      </c>
    </row>
    <row r="112" spans="1:3" x14ac:dyDescent="0.3">
      <c r="A112" t="s">
        <v>281</v>
      </c>
      <c r="B112" t="s">
        <v>1289</v>
      </c>
      <c r="C112" t="s">
        <v>1178</v>
      </c>
    </row>
    <row r="113" spans="1:3" x14ac:dyDescent="0.3">
      <c r="A113" t="s">
        <v>283</v>
      </c>
      <c r="B113" t="s">
        <v>1290</v>
      </c>
      <c r="C113" t="s">
        <v>1180</v>
      </c>
    </row>
    <row r="114" spans="1:3" x14ac:dyDescent="0.3">
      <c r="A114" t="s">
        <v>285</v>
      </c>
      <c r="B114" t="s">
        <v>1291</v>
      </c>
      <c r="C114" t="s">
        <v>1178</v>
      </c>
    </row>
    <row r="115" spans="1:3" x14ac:dyDescent="0.3">
      <c r="A115" t="s">
        <v>287</v>
      </c>
      <c r="B115" t="s">
        <v>1292</v>
      </c>
      <c r="C115" t="s">
        <v>1180</v>
      </c>
    </row>
    <row r="116" spans="1:3" x14ac:dyDescent="0.3">
      <c r="A116" t="s">
        <v>289</v>
      </c>
      <c r="B116" t="s">
        <v>1293</v>
      </c>
      <c r="C116" t="s">
        <v>1178</v>
      </c>
    </row>
    <row r="117" spans="1:3" x14ac:dyDescent="0.3">
      <c r="A117" t="s">
        <v>291</v>
      </c>
      <c r="B117" t="s">
        <v>1294</v>
      </c>
      <c r="C117" t="s">
        <v>1180</v>
      </c>
    </row>
    <row r="118" spans="1:3" x14ac:dyDescent="0.3">
      <c r="A118" t="s">
        <v>293</v>
      </c>
      <c r="B118" t="s">
        <v>1295</v>
      </c>
      <c r="C118" t="s">
        <v>1178</v>
      </c>
    </row>
    <row r="119" spans="1:3" x14ac:dyDescent="0.3">
      <c r="A119" t="s">
        <v>295</v>
      </c>
      <c r="B119" t="s">
        <v>1296</v>
      </c>
      <c r="C119" t="s">
        <v>1180</v>
      </c>
    </row>
    <row r="120" spans="1:3" x14ac:dyDescent="0.3">
      <c r="A120" t="s">
        <v>297</v>
      </c>
      <c r="B120" t="s">
        <v>1297</v>
      </c>
      <c r="C120" t="s">
        <v>1178</v>
      </c>
    </row>
    <row r="121" spans="1:3" x14ac:dyDescent="0.3">
      <c r="A121" t="s">
        <v>299</v>
      </c>
      <c r="B121" t="s">
        <v>1298</v>
      </c>
      <c r="C121" t="s">
        <v>1180</v>
      </c>
    </row>
    <row r="122" spans="1:3" x14ac:dyDescent="0.3">
      <c r="A122" t="s">
        <v>301</v>
      </c>
      <c r="B122" t="s">
        <v>1299</v>
      </c>
      <c r="C122" t="s">
        <v>1178</v>
      </c>
    </row>
    <row r="123" spans="1:3" x14ac:dyDescent="0.3">
      <c r="A123" t="s">
        <v>303</v>
      </c>
      <c r="B123" t="s">
        <v>1300</v>
      </c>
      <c r="C123" t="s">
        <v>1180</v>
      </c>
    </row>
    <row r="124" spans="1:3" x14ac:dyDescent="0.3">
      <c r="A124" t="s">
        <v>305</v>
      </c>
      <c r="B124" t="s">
        <v>1301</v>
      </c>
      <c r="C124" t="s">
        <v>1178</v>
      </c>
    </row>
    <row r="125" spans="1:3" x14ac:dyDescent="0.3">
      <c r="A125" t="s">
        <v>307</v>
      </c>
      <c r="B125" t="s">
        <v>1302</v>
      </c>
      <c r="C125" t="s">
        <v>1180</v>
      </c>
    </row>
    <row r="126" spans="1:3" x14ac:dyDescent="0.3">
      <c r="A126" t="s">
        <v>309</v>
      </c>
      <c r="B126" t="s">
        <v>1303</v>
      </c>
      <c r="C126" t="s">
        <v>1178</v>
      </c>
    </row>
    <row r="127" spans="1:3" x14ac:dyDescent="0.3">
      <c r="A127" t="s">
        <v>311</v>
      </c>
      <c r="B127" t="s">
        <v>1304</v>
      </c>
      <c r="C127" t="s">
        <v>1180</v>
      </c>
    </row>
    <row r="128" spans="1:3" x14ac:dyDescent="0.3">
      <c r="A128" t="s">
        <v>313</v>
      </c>
      <c r="B128" t="s">
        <v>1305</v>
      </c>
      <c r="C128" t="s">
        <v>1178</v>
      </c>
    </row>
    <row r="129" spans="1:3" x14ac:dyDescent="0.3">
      <c r="A129" t="s">
        <v>315</v>
      </c>
      <c r="B129" t="s">
        <v>1306</v>
      </c>
      <c r="C129" t="s">
        <v>1180</v>
      </c>
    </row>
    <row r="130" spans="1:3" x14ac:dyDescent="0.3">
      <c r="A130" t="s">
        <v>317</v>
      </c>
      <c r="B130" t="s">
        <v>1307</v>
      </c>
      <c r="C130" t="s">
        <v>1178</v>
      </c>
    </row>
    <row r="131" spans="1:3" x14ac:dyDescent="0.3">
      <c r="A131" t="s">
        <v>319</v>
      </c>
      <c r="B131" t="s">
        <v>1308</v>
      </c>
      <c r="C131" t="s">
        <v>1180</v>
      </c>
    </row>
    <row r="132" spans="1:3" x14ac:dyDescent="0.3">
      <c r="A132" t="s">
        <v>321</v>
      </c>
      <c r="B132" t="s">
        <v>1309</v>
      </c>
      <c r="C132" t="s">
        <v>1178</v>
      </c>
    </row>
    <row r="133" spans="1:3" x14ac:dyDescent="0.3">
      <c r="A133" t="s">
        <v>323</v>
      </c>
      <c r="B133" t="s">
        <v>1310</v>
      </c>
      <c r="C133" t="s">
        <v>1180</v>
      </c>
    </row>
    <row r="134" spans="1:3" x14ac:dyDescent="0.3">
      <c r="A134" t="s">
        <v>325</v>
      </c>
      <c r="B134" t="s">
        <v>1311</v>
      </c>
      <c r="C134" t="s">
        <v>1178</v>
      </c>
    </row>
    <row r="135" spans="1:3" x14ac:dyDescent="0.3">
      <c r="A135" t="s">
        <v>327</v>
      </c>
      <c r="B135" t="s">
        <v>1312</v>
      </c>
      <c r="C135" t="s">
        <v>1180</v>
      </c>
    </row>
    <row r="136" spans="1:3" x14ac:dyDescent="0.3">
      <c r="A136" t="s">
        <v>329</v>
      </c>
      <c r="B136" t="s">
        <v>1313</v>
      </c>
      <c r="C136" t="s">
        <v>1178</v>
      </c>
    </row>
    <row r="137" spans="1:3" x14ac:dyDescent="0.3">
      <c r="A137" t="s">
        <v>331</v>
      </c>
      <c r="B137" t="s">
        <v>1314</v>
      </c>
      <c r="C137" t="s">
        <v>1180</v>
      </c>
    </row>
    <row r="138" spans="1:3" x14ac:dyDescent="0.3">
      <c r="A138" t="s">
        <v>333</v>
      </c>
      <c r="B138" t="s">
        <v>1315</v>
      </c>
      <c r="C138" t="s">
        <v>1178</v>
      </c>
    </row>
    <row r="139" spans="1:3" x14ac:dyDescent="0.3">
      <c r="A139" t="s">
        <v>335</v>
      </c>
      <c r="B139" t="s">
        <v>1316</v>
      </c>
      <c r="C139" t="s">
        <v>1180</v>
      </c>
    </row>
    <row r="140" spans="1:3" x14ac:dyDescent="0.3">
      <c r="A140" t="s">
        <v>337</v>
      </c>
      <c r="B140" t="s">
        <v>1317</v>
      </c>
      <c r="C140" t="s">
        <v>1178</v>
      </c>
    </row>
    <row r="141" spans="1:3" x14ac:dyDescent="0.3">
      <c r="A141" t="s">
        <v>339</v>
      </c>
      <c r="B141" t="s">
        <v>1318</v>
      </c>
      <c r="C141" t="s">
        <v>1180</v>
      </c>
    </row>
    <row r="142" spans="1:3" x14ac:dyDescent="0.3">
      <c r="A142" t="s">
        <v>341</v>
      </c>
      <c r="B142" t="s">
        <v>1319</v>
      </c>
      <c r="C142" t="s">
        <v>1178</v>
      </c>
    </row>
    <row r="143" spans="1:3" x14ac:dyDescent="0.3">
      <c r="A143" t="s">
        <v>343</v>
      </c>
      <c r="B143" t="s">
        <v>1320</v>
      </c>
      <c r="C143" t="s">
        <v>1180</v>
      </c>
    </row>
    <row r="144" spans="1:3" x14ac:dyDescent="0.3">
      <c r="A144" t="s">
        <v>345</v>
      </c>
      <c r="B144" t="s">
        <v>1321</v>
      </c>
      <c r="C144" t="s">
        <v>1178</v>
      </c>
    </row>
    <row r="145" spans="1:3" x14ac:dyDescent="0.3">
      <c r="A145" t="s">
        <v>347</v>
      </c>
      <c r="B145" t="s">
        <v>1322</v>
      </c>
      <c r="C145" t="s">
        <v>1180</v>
      </c>
    </row>
    <row r="146" spans="1:3" x14ac:dyDescent="0.3">
      <c r="A146" t="s">
        <v>349</v>
      </c>
      <c r="B146" t="s">
        <v>1323</v>
      </c>
      <c r="C146" t="s">
        <v>1178</v>
      </c>
    </row>
    <row r="147" spans="1:3" x14ac:dyDescent="0.3">
      <c r="A147" t="s">
        <v>351</v>
      </c>
      <c r="B147" t="s">
        <v>1324</v>
      </c>
      <c r="C147" t="s">
        <v>1180</v>
      </c>
    </row>
    <row r="148" spans="1:3" x14ac:dyDescent="0.3">
      <c r="A148" t="s">
        <v>353</v>
      </c>
      <c r="B148" t="s">
        <v>1325</v>
      </c>
      <c r="C148" t="s">
        <v>1178</v>
      </c>
    </row>
    <row r="149" spans="1:3" x14ac:dyDescent="0.3">
      <c r="A149" t="s">
        <v>355</v>
      </c>
      <c r="B149" t="s">
        <v>1326</v>
      </c>
      <c r="C149" t="s">
        <v>1180</v>
      </c>
    </row>
    <row r="150" spans="1:3" x14ac:dyDescent="0.3">
      <c r="A150" t="s">
        <v>357</v>
      </c>
      <c r="B150" t="s">
        <v>1327</v>
      </c>
      <c r="C150" t="s">
        <v>1178</v>
      </c>
    </row>
    <row r="151" spans="1:3" x14ac:dyDescent="0.3">
      <c r="A151" t="s">
        <v>359</v>
      </c>
      <c r="B151" t="s">
        <v>1328</v>
      </c>
      <c r="C151" t="s">
        <v>1180</v>
      </c>
    </row>
    <row r="152" spans="1:3" x14ac:dyDescent="0.3">
      <c r="A152" t="s">
        <v>361</v>
      </c>
      <c r="B152" t="s">
        <v>1329</v>
      </c>
      <c r="C152" t="s">
        <v>1178</v>
      </c>
    </row>
    <row r="153" spans="1:3" x14ac:dyDescent="0.3">
      <c r="A153" t="s">
        <v>363</v>
      </c>
      <c r="B153" t="s">
        <v>1330</v>
      </c>
      <c r="C153" t="s">
        <v>1180</v>
      </c>
    </row>
    <row r="154" spans="1:3" x14ac:dyDescent="0.3">
      <c r="A154" t="s">
        <v>365</v>
      </c>
      <c r="B154" t="s">
        <v>1331</v>
      </c>
      <c r="C154" t="s">
        <v>1178</v>
      </c>
    </row>
    <row r="155" spans="1:3" x14ac:dyDescent="0.3">
      <c r="A155" t="s">
        <v>367</v>
      </c>
      <c r="B155" t="s">
        <v>1332</v>
      </c>
      <c r="C155" t="s">
        <v>1180</v>
      </c>
    </row>
    <row r="156" spans="1:3" x14ac:dyDescent="0.3">
      <c r="A156" t="s">
        <v>369</v>
      </c>
      <c r="B156" t="s">
        <v>1333</v>
      </c>
      <c r="C156" t="s">
        <v>1178</v>
      </c>
    </row>
    <row r="157" spans="1:3" x14ac:dyDescent="0.3">
      <c r="A157" t="s">
        <v>371</v>
      </c>
      <c r="B157" t="s">
        <v>1334</v>
      </c>
      <c r="C157" t="s">
        <v>1180</v>
      </c>
    </row>
    <row r="158" spans="1:3" x14ac:dyDescent="0.3">
      <c r="A158" t="s">
        <v>373</v>
      </c>
      <c r="B158" t="s">
        <v>1335</v>
      </c>
      <c r="C158" t="s">
        <v>1178</v>
      </c>
    </row>
    <row r="159" spans="1:3" x14ac:dyDescent="0.3">
      <c r="A159" t="s">
        <v>375</v>
      </c>
      <c r="B159" t="s">
        <v>1336</v>
      </c>
      <c r="C159" t="s">
        <v>1180</v>
      </c>
    </row>
    <row r="160" spans="1:3" x14ac:dyDescent="0.3">
      <c r="A160" t="s">
        <v>377</v>
      </c>
      <c r="B160" t="s">
        <v>1337</v>
      </c>
      <c r="C160" t="s">
        <v>1178</v>
      </c>
    </row>
    <row r="161" spans="1:3" x14ac:dyDescent="0.3">
      <c r="A161" t="s">
        <v>379</v>
      </c>
      <c r="B161" t="s">
        <v>1338</v>
      </c>
      <c r="C161" t="s">
        <v>1180</v>
      </c>
    </row>
    <row r="162" spans="1:3" x14ac:dyDescent="0.3">
      <c r="A162" t="s">
        <v>381</v>
      </c>
      <c r="B162" t="s">
        <v>1339</v>
      </c>
      <c r="C162" t="s">
        <v>1178</v>
      </c>
    </row>
    <row r="163" spans="1:3" x14ac:dyDescent="0.3">
      <c r="A163" t="s">
        <v>383</v>
      </c>
      <c r="B163" t="s">
        <v>1340</v>
      </c>
      <c r="C163" t="s">
        <v>1180</v>
      </c>
    </row>
    <row r="164" spans="1:3" x14ac:dyDescent="0.3">
      <c r="A164" t="s">
        <v>385</v>
      </c>
      <c r="B164" t="s">
        <v>1341</v>
      </c>
      <c r="C164" t="s">
        <v>1178</v>
      </c>
    </row>
    <row r="165" spans="1:3" x14ac:dyDescent="0.3">
      <c r="A165" t="s">
        <v>387</v>
      </c>
      <c r="B165" t="s">
        <v>1342</v>
      </c>
      <c r="C165" t="s">
        <v>1180</v>
      </c>
    </row>
    <row r="166" spans="1:3" x14ac:dyDescent="0.3">
      <c r="A166" t="s">
        <v>389</v>
      </c>
      <c r="B166" t="s">
        <v>1343</v>
      </c>
      <c r="C166" t="s">
        <v>1178</v>
      </c>
    </row>
    <row r="167" spans="1:3" x14ac:dyDescent="0.3">
      <c r="A167" t="s">
        <v>391</v>
      </c>
      <c r="B167" t="s">
        <v>1344</v>
      </c>
      <c r="C167" t="s">
        <v>1180</v>
      </c>
    </row>
    <row r="168" spans="1:3" x14ac:dyDescent="0.3">
      <c r="A168" t="s">
        <v>393</v>
      </c>
      <c r="B168" t="s">
        <v>1345</v>
      </c>
      <c r="C168" t="s">
        <v>1178</v>
      </c>
    </row>
    <row r="169" spans="1:3" x14ac:dyDescent="0.3">
      <c r="A169" t="s">
        <v>395</v>
      </c>
      <c r="B169" t="s">
        <v>1346</v>
      </c>
      <c r="C169" t="s">
        <v>1180</v>
      </c>
    </row>
    <row r="170" spans="1:3" x14ac:dyDescent="0.3">
      <c r="A170" t="s">
        <v>397</v>
      </c>
      <c r="B170" t="s">
        <v>1347</v>
      </c>
      <c r="C170" t="s">
        <v>1178</v>
      </c>
    </row>
    <row r="171" spans="1:3" x14ac:dyDescent="0.3">
      <c r="A171" t="s">
        <v>399</v>
      </c>
      <c r="B171" t="s">
        <v>1348</v>
      </c>
      <c r="C171" t="s">
        <v>1180</v>
      </c>
    </row>
    <row r="172" spans="1:3" x14ac:dyDescent="0.3">
      <c r="A172" t="s">
        <v>401</v>
      </c>
      <c r="B172" t="s">
        <v>1349</v>
      </c>
      <c r="C172" t="s">
        <v>1178</v>
      </c>
    </row>
    <row r="173" spans="1:3" x14ac:dyDescent="0.3">
      <c r="A173" t="s">
        <v>403</v>
      </c>
      <c r="B173" t="s">
        <v>1350</v>
      </c>
      <c r="C173" t="s">
        <v>1180</v>
      </c>
    </row>
    <row r="174" spans="1:3" x14ac:dyDescent="0.3">
      <c r="A174" t="s">
        <v>405</v>
      </c>
      <c r="B174" t="s">
        <v>1351</v>
      </c>
      <c r="C174" t="s">
        <v>1178</v>
      </c>
    </row>
    <row r="175" spans="1:3" x14ac:dyDescent="0.3">
      <c r="A175" t="s">
        <v>407</v>
      </c>
      <c r="B175" t="s">
        <v>1352</v>
      </c>
      <c r="C175" t="s">
        <v>1180</v>
      </c>
    </row>
    <row r="176" spans="1:3" x14ac:dyDescent="0.3">
      <c r="A176" t="s">
        <v>409</v>
      </c>
      <c r="B176" t="s">
        <v>1353</v>
      </c>
      <c r="C176" t="s">
        <v>1178</v>
      </c>
    </row>
    <row r="177" spans="1:3" x14ac:dyDescent="0.3">
      <c r="A177" t="s">
        <v>411</v>
      </c>
      <c r="B177" t="s">
        <v>1354</v>
      </c>
      <c r="C177" t="s">
        <v>1180</v>
      </c>
    </row>
    <row r="178" spans="1:3" x14ac:dyDescent="0.3">
      <c r="A178" t="s">
        <v>413</v>
      </c>
      <c r="B178" t="s">
        <v>1355</v>
      </c>
      <c r="C178" t="s">
        <v>1178</v>
      </c>
    </row>
    <row r="179" spans="1:3" x14ac:dyDescent="0.3">
      <c r="A179" t="s">
        <v>415</v>
      </c>
      <c r="B179" t="s">
        <v>1356</v>
      </c>
      <c r="C179" t="s">
        <v>1180</v>
      </c>
    </row>
    <row r="180" spans="1:3" x14ac:dyDescent="0.3">
      <c r="A180" t="s">
        <v>417</v>
      </c>
      <c r="B180" t="s">
        <v>1357</v>
      </c>
      <c r="C180" t="s">
        <v>1178</v>
      </c>
    </row>
    <row r="181" spans="1:3" x14ac:dyDescent="0.3">
      <c r="A181" t="s">
        <v>419</v>
      </c>
      <c r="B181" t="s">
        <v>1358</v>
      </c>
      <c r="C181" t="s">
        <v>1180</v>
      </c>
    </row>
    <row r="182" spans="1:3" x14ac:dyDescent="0.3">
      <c r="A182" t="s">
        <v>421</v>
      </c>
      <c r="B182" t="s">
        <v>1359</v>
      </c>
      <c r="C182" t="s">
        <v>1178</v>
      </c>
    </row>
    <row r="183" spans="1:3" x14ac:dyDescent="0.3">
      <c r="A183" t="s">
        <v>423</v>
      </c>
      <c r="B183" t="s">
        <v>1360</v>
      </c>
      <c r="C183" t="s">
        <v>1180</v>
      </c>
    </row>
    <row r="184" spans="1:3" x14ac:dyDescent="0.3">
      <c r="A184" t="s">
        <v>425</v>
      </c>
      <c r="B184" t="s">
        <v>1361</v>
      </c>
      <c r="C184" t="s">
        <v>1178</v>
      </c>
    </row>
    <row r="185" spans="1:3" x14ac:dyDescent="0.3">
      <c r="A185" t="s">
        <v>427</v>
      </c>
      <c r="B185" t="s">
        <v>1362</v>
      </c>
      <c r="C185" t="s">
        <v>1180</v>
      </c>
    </row>
    <row r="186" spans="1:3" x14ac:dyDescent="0.3">
      <c r="A186" t="s">
        <v>429</v>
      </c>
      <c r="B186" t="s">
        <v>1363</v>
      </c>
      <c r="C186" t="s">
        <v>1178</v>
      </c>
    </row>
    <row r="187" spans="1:3" x14ac:dyDescent="0.3">
      <c r="A187" t="s">
        <v>431</v>
      </c>
      <c r="B187" t="s">
        <v>1364</v>
      </c>
      <c r="C187" t="s">
        <v>1180</v>
      </c>
    </row>
    <row r="188" spans="1:3" x14ac:dyDescent="0.3">
      <c r="A188" t="s">
        <v>433</v>
      </c>
      <c r="B188" t="s">
        <v>1365</v>
      </c>
      <c r="C188" t="s">
        <v>1178</v>
      </c>
    </row>
    <row r="189" spans="1:3" x14ac:dyDescent="0.3">
      <c r="A189" t="s">
        <v>435</v>
      </c>
      <c r="B189" t="s">
        <v>1366</v>
      </c>
      <c r="C189" t="s">
        <v>1180</v>
      </c>
    </row>
    <row r="190" spans="1:3" x14ac:dyDescent="0.3">
      <c r="A190" t="s">
        <v>437</v>
      </c>
      <c r="B190" t="s">
        <v>1367</v>
      </c>
      <c r="C190" t="s">
        <v>1178</v>
      </c>
    </row>
    <row r="191" spans="1:3" x14ac:dyDescent="0.3">
      <c r="A191" t="s">
        <v>439</v>
      </c>
      <c r="B191" t="s">
        <v>1368</v>
      </c>
      <c r="C191" t="s">
        <v>1180</v>
      </c>
    </row>
    <row r="192" spans="1:3" x14ac:dyDescent="0.3">
      <c r="A192" t="s">
        <v>441</v>
      </c>
      <c r="B192" t="s">
        <v>1369</v>
      </c>
      <c r="C192" t="s">
        <v>1178</v>
      </c>
    </row>
    <row r="193" spans="1:3" x14ac:dyDescent="0.3">
      <c r="A193" t="s">
        <v>443</v>
      </c>
      <c r="B193" t="s">
        <v>1370</v>
      </c>
      <c r="C193" t="s">
        <v>1180</v>
      </c>
    </row>
    <row r="194" spans="1:3" x14ac:dyDescent="0.3">
      <c r="A194" t="s">
        <v>445</v>
      </c>
      <c r="B194" t="s">
        <v>1371</v>
      </c>
      <c r="C194" t="s">
        <v>1178</v>
      </c>
    </row>
    <row r="195" spans="1:3" x14ac:dyDescent="0.3">
      <c r="A195" t="s">
        <v>447</v>
      </c>
      <c r="B195" t="s">
        <v>1372</v>
      </c>
      <c r="C195" t="s">
        <v>1180</v>
      </c>
    </row>
    <row r="196" spans="1:3" x14ac:dyDescent="0.3">
      <c r="A196" t="s">
        <v>449</v>
      </c>
      <c r="B196" t="s">
        <v>1373</v>
      </c>
      <c r="C196" t="s">
        <v>1178</v>
      </c>
    </row>
    <row r="197" spans="1:3" x14ac:dyDescent="0.3">
      <c r="A197" t="s">
        <v>451</v>
      </c>
      <c r="B197" t="s">
        <v>1374</v>
      </c>
      <c r="C197" t="s">
        <v>1180</v>
      </c>
    </row>
    <row r="198" spans="1:3" x14ac:dyDescent="0.3">
      <c r="A198" t="s">
        <v>453</v>
      </c>
      <c r="B198" t="s">
        <v>1375</v>
      </c>
      <c r="C198" t="s">
        <v>1178</v>
      </c>
    </row>
    <row r="199" spans="1:3" x14ac:dyDescent="0.3">
      <c r="A199" t="s">
        <v>455</v>
      </c>
      <c r="B199" t="s">
        <v>1376</v>
      </c>
      <c r="C199" t="s">
        <v>1180</v>
      </c>
    </row>
    <row r="200" spans="1:3" x14ac:dyDescent="0.3">
      <c r="A200" t="s">
        <v>457</v>
      </c>
      <c r="B200" t="s">
        <v>1377</v>
      </c>
      <c r="C200" t="s">
        <v>1178</v>
      </c>
    </row>
    <row r="201" spans="1:3" x14ac:dyDescent="0.3">
      <c r="A201" t="s">
        <v>459</v>
      </c>
      <c r="B201" t="s">
        <v>1378</v>
      </c>
      <c r="C201" t="s">
        <v>1180</v>
      </c>
    </row>
    <row r="202" spans="1:3" x14ac:dyDescent="0.3">
      <c r="A202" t="s">
        <v>461</v>
      </c>
      <c r="B202" t="s">
        <v>1379</v>
      </c>
      <c r="C202" t="s">
        <v>1178</v>
      </c>
    </row>
    <row r="203" spans="1:3" x14ac:dyDescent="0.3">
      <c r="A203" t="s">
        <v>463</v>
      </c>
      <c r="B203" t="s">
        <v>1380</v>
      </c>
      <c r="C203" t="s">
        <v>1180</v>
      </c>
    </row>
    <row r="204" spans="1:3" x14ac:dyDescent="0.3">
      <c r="A204" t="s">
        <v>465</v>
      </c>
      <c r="B204" t="s">
        <v>1381</v>
      </c>
      <c r="C204" t="s">
        <v>1178</v>
      </c>
    </row>
    <row r="205" spans="1:3" x14ac:dyDescent="0.3">
      <c r="A205" t="s">
        <v>467</v>
      </c>
      <c r="B205" t="s">
        <v>1382</v>
      </c>
      <c r="C205" t="s">
        <v>1180</v>
      </c>
    </row>
    <row r="206" spans="1:3" x14ac:dyDescent="0.3">
      <c r="A206" t="s">
        <v>469</v>
      </c>
      <c r="B206" t="s">
        <v>1383</v>
      </c>
      <c r="C206" t="s">
        <v>1178</v>
      </c>
    </row>
    <row r="207" spans="1:3" x14ac:dyDescent="0.3">
      <c r="A207" t="s">
        <v>471</v>
      </c>
      <c r="B207" t="s">
        <v>1384</v>
      </c>
      <c r="C207" t="s">
        <v>1180</v>
      </c>
    </row>
    <row r="208" spans="1:3" x14ac:dyDescent="0.3">
      <c r="A208" t="s">
        <v>473</v>
      </c>
      <c r="B208" t="s">
        <v>1385</v>
      </c>
      <c r="C208" t="s">
        <v>1178</v>
      </c>
    </row>
    <row r="209" spans="1:3" x14ac:dyDescent="0.3">
      <c r="A209" t="s">
        <v>475</v>
      </c>
      <c r="B209" t="s">
        <v>1386</v>
      </c>
      <c r="C209" t="s">
        <v>1180</v>
      </c>
    </row>
    <row r="210" spans="1:3" x14ac:dyDescent="0.3">
      <c r="A210" t="s">
        <v>477</v>
      </c>
      <c r="B210" t="s">
        <v>1387</v>
      </c>
      <c r="C210" t="s">
        <v>1178</v>
      </c>
    </row>
    <row r="211" spans="1:3" x14ac:dyDescent="0.3">
      <c r="A211" t="s">
        <v>479</v>
      </c>
      <c r="B211" t="s">
        <v>1388</v>
      </c>
      <c r="C211" t="s">
        <v>1180</v>
      </c>
    </row>
    <row r="212" spans="1:3" x14ac:dyDescent="0.3">
      <c r="A212" t="s">
        <v>481</v>
      </c>
      <c r="B212" t="s">
        <v>1389</v>
      </c>
      <c r="C212" t="s">
        <v>1178</v>
      </c>
    </row>
    <row r="213" spans="1:3" x14ac:dyDescent="0.3">
      <c r="A213" t="s">
        <v>483</v>
      </c>
      <c r="B213" t="s">
        <v>1390</v>
      </c>
      <c r="C213" t="s">
        <v>1180</v>
      </c>
    </row>
    <row r="214" spans="1:3" x14ac:dyDescent="0.3">
      <c r="A214" t="s">
        <v>485</v>
      </c>
      <c r="B214" t="s">
        <v>1391</v>
      </c>
      <c r="C214" t="s">
        <v>1178</v>
      </c>
    </row>
    <row r="215" spans="1:3" x14ac:dyDescent="0.3">
      <c r="A215" t="s">
        <v>487</v>
      </c>
      <c r="B215" t="s">
        <v>1392</v>
      </c>
      <c r="C215" t="s">
        <v>1180</v>
      </c>
    </row>
    <row r="216" spans="1:3" x14ac:dyDescent="0.3">
      <c r="A216" t="s">
        <v>489</v>
      </c>
      <c r="B216" t="s">
        <v>1393</v>
      </c>
      <c r="C216" t="s">
        <v>1178</v>
      </c>
    </row>
    <row r="217" spans="1:3" x14ac:dyDescent="0.3">
      <c r="A217" t="s">
        <v>491</v>
      </c>
      <c r="B217" t="s">
        <v>1394</v>
      </c>
      <c r="C217" t="s">
        <v>1180</v>
      </c>
    </row>
    <row r="218" spans="1:3" x14ac:dyDescent="0.3">
      <c r="A218" t="s">
        <v>493</v>
      </c>
      <c r="B218" t="s">
        <v>1395</v>
      </c>
      <c r="C218" t="s">
        <v>1178</v>
      </c>
    </row>
    <row r="219" spans="1:3" x14ac:dyDescent="0.3">
      <c r="A219" t="s">
        <v>495</v>
      </c>
      <c r="B219" t="s">
        <v>1396</v>
      </c>
      <c r="C219" t="s">
        <v>1180</v>
      </c>
    </row>
    <row r="220" spans="1:3" x14ac:dyDescent="0.3">
      <c r="A220" t="s">
        <v>497</v>
      </c>
      <c r="B220" t="s">
        <v>1397</v>
      </c>
      <c r="C220" t="s">
        <v>1178</v>
      </c>
    </row>
    <row r="221" spans="1:3" x14ac:dyDescent="0.3">
      <c r="A221" t="s">
        <v>499</v>
      </c>
      <c r="B221" t="s">
        <v>1398</v>
      </c>
      <c r="C221" t="s">
        <v>1180</v>
      </c>
    </row>
    <row r="222" spans="1:3" x14ac:dyDescent="0.3">
      <c r="A222" t="s">
        <v>501</v>
      </c>
      <c r="B222" t="s">
        <v>1399</v>
      </c>
      <c r="C222" t="s">
        <v>1178</v>
      </c>
    </row>
    <row r="223" spans="1:3" x14ac:dyDescent="0.3">
      <c r="A223" t="s">
        <v>503</v>
      </c>
      <c r="B223" t="s">
        <v>1400</v>
      </c>
      <c r="C223" t="s">
        <v>1180</v>
      </c>
    </row>
    <row r="224" spans="1:3" x14ac:dyDescent="0.3">
      <c r="A224" t="s">
        <v>505</v>
      </c>
      <c r="B224" t="s">
        <v>1401</v>
      </c>
      <c r="C224" t="s">
        <v>1178</v>
      </c>
    </row>
    <row r="225" spans="1:3" x14ac:dyDescent="0.3">
      <c r="A225" t="s">
        <v>507</v>
      </c>
      <c r="B225" t="s">
        <v>1402</v>
      </c>
      <c r="C225" t="s">
        <v>1180</v>
      </c>
    </row>
    <row r="226" spans="1:3" x14ac:dyDescent="0.3">
      <c r="A226" t="s">
        <v>509</v>
      </c>
      <c r="B226" t="s">
        <v>1403</v>
      </c>
      <c r="C226" t="s">
        <v>1178</v>
      </c>
    </row>
    <row r="227" spans="1:3" x14ac:dyDescent="0.3">
      <c r="A227" t="s">
        <v>511</v>
      </c>
      <c r="B227" t="s">
        <v>1404</v>
      </c>
      <c r="C227" t="s">
        <v>1180</v>
      </c>
    </row>
    <row r="228" spans="1:3" x14ac:dyDescent="0.3">
      <c r="A228" t="s">
        <v>513</v>
      </c>
      <c r="B228" t="s">
        <v>1405</v>
      </c>
      <c r="C228" t="s">
        <v>1178</v>
      </c>
    </row>
    <row r="229" spans="1:3" x14ac:dyDescent="0.3">
      <c r="A229" t="s">
        <v>515</v>
      </c>
      <c r="B229" t="s">
        <v>1406</v>
      </c>
      <c r="C229" t="s">
        <v>1180</v>
      </c>
    </row>
    <row r="230" spans="1:3" x14ac:dyDescent="0.3">
      <c r="A230" t="s">
        <v>517</v>
      </c>
      <c r="B230" t="s">
        <v>1407</v>
      </c>
      <c r="C230" t="s">
        <v>1178</v>
      </c>
    </row>
    <row r="231" spans="1:3" x14ac:dyDescent="0.3">
      <c r="A231" t="s">
        <v>519</v>
      </c>
      <c r="B231" t="s">
        <v>1408</v>
      </c>
      <c r="C231" t="s">
        <v>1180</v>
      </c>
    </row>
    <row r="232" spans="1:3" x14ac:dyDescent="0.3">
      <c r="A232" t="s">
        <v>521</v>
      </c>
      <c r="B232" t="s">
        <v>1409</v>
      </c>
      <c r="C232" t="s">
        <v>1178</v>
      </c>
    </row>
    <row r="233" spans="1:3" x14ac:dyDescent="0.3">
      <c r="A233" t="s">
        <v>523</v>
      </c>
      <c r="B233" t="s">
        <v>1410</v>
      </c>
      <c r="C233" t="s">
        <v>1180</v>
      </c>
    </row>
    <row r="234" spans="1:3" x14ac:dyDescent="0.3">
      <c r="A234" t="s">
        <v>525</v>
      </c>
      <c r="B234" t="s">
        <v>1411</v>
      </c>
      <c r="C234" t="s">
        <v>1178</v>
      </c>
    </row>
    <row r="235" spans="1:3" x14ac:dyDescent="0.3">
      <c r="A235" t="s">
        <v>527</v>
      </c>
      <c r="B235" t="s">
        <v>1412</v>
      </c>
      <c r="C235" t="s">
        <v>1180</v>
      </c>
    </row>
    <row r="236" spans="1:3" x14ac:dyDescent="0.3">
      <c r="A236" t="s">
        <v>529</v>
      </c>
      <c r="B236" t="s">
        <v>1413</v>
      </c>
      <c r="C236" t="s">
        <v>1178</v>
      </c>
    </row>
    <row r="237" spans="1:3" x14ac:dyDescent="0.3">
      <c r="A237" t="s">
        <v>531</v>
      </c>
      <c r="B237" t="s">
        <v>1414</v>
      </c>
      <c r="C237" t="s">
        <v>1180</v>
      </c>
    </row>
    <row r="238" spans="1:3" x14ac:dyDescent="0.3">
      <c r="A238" t="s">
        <v>533</v>
      </c>
      <c r="B238" t="s">
        <v>1415</v>
      </c>
      <c r="C238" t="s">
        <v>1178</v>
      </c>
    </row>
    <row r="239" spans="1:3" x14ac:dyDescent="0.3">
      <c r="A239" t="s">
        <v>535</v>
      </c>
      <c r="B239" t="s">
        <v>1416</v>
      </c>
      <c r="C239" t="s">
        <v>1180</v>
      </c>
    </row>
    <row r="240" spans="1:3" x14ac:dyDescent="0.3">
      <c r="A240" t="s">
        <v>537</v>
      </c>
      <c r="B240" t="s">
        <v>1417</v>
      </c>
      <c r="C240" t="s">
        <v>1178</v>
      </c>
    </row>
    <row r="241" spans="1:3" x14ac:dyDescent="0.3">
      <c r="A241" t="s">
        <v>539</v>
      </c>
      <c r="B241" t="s">
        <v>1418</v>
      </c>
      <c r="C241" t="s">
        <v>1180</v>
      </c>
    </row>
    <row r="242" spans="1:3" x14ac:dyDescent="0.3">
      <c r="A242" t="s">
        <v>541</v>
      </c>
      <c r="B242" t="s">
        <v>1419</v>
      </c>
      <c r="C242" t="s">
        <v>1178</v>
      </c>
    </row>
    <row r="243" spans="1:3" x14ac:dyDescent="0.3">
      <c r="A243" t="s">
        <v>543</v>
      </c>
      <c r="B243" t="s">
        <v>1420</v>
      </c>
      <c r="C243" t="s">
        <v>1180</v>
      </c>
    </row>
    <row r="244" spans="1:3" x14ac:dyDescent="0.3">
      <c r="A244" t="s">
        <v>545</v>
      </c>
      <c r="B244" t="s">
        <v>1421</v>
      </c>
      <c r="C244" t="s">
        <v>1178</v>
      </c>
    </row>
    <row r="245" spans="1:3" x14ac:dyDescent="0.3">
      <c r="A245" t="s">
        <v>547</v>
      </c>
      <c r="B245" t="s">
        <v>1422</v>
      </c>
      <c r="C245" t="s">
        <v>1180</v>
      </c>
    </row>
    <row r="246" spans="1:3" x14ac:dyDescent="0.3">
      <c r="A246" t="s">
        <v>549</v>
      </c>
      <c r="B246" t="s">
        <v>1423</v>
      </c>
      <c r="C246" t="s">
        <v>1178</v>
      </c>
    </row>
    <row r="247" spans="1:3" x14ac:dyDescent="0.3">
      <c r="A247" t="s">
        <v>551</v>
      </c>
      <c r="B247" t="s">
        <v>1424</v>
      </c>
      <c r="C247" t="s">
        <v>1180</v>
      </c>
    </row>
    <row r="248" spans="1:3" x14ac:dyDescent="0.3">
      <c r="A248" t="s">
        <v>553</v>
      </c>
      <c r="B248" t="s">
        <v>1425</v>
      </c>
      <c r="C248" t="s">
        <v>1178</v>
      </c>
    </row>
    <row r="249" spans="1:3" x14ac:dyDescent="0.3">
      <c r="A249" t="s">
        <v>555</v>
      </c>
      <c r="B249" t="s">
        <v>1426</v>
      </c>
      <c r="C249" t="s">
        <v>1180</v>
      </c>
    </row>
    <row r="250" spans="1:3" x14ac:dyDescent="0.3">
      <c r="A250" t="s">
        <v>557</v>
      </c>
      <c r="B250" t="s">
        <v>1427</v>
      </c>
      <c r="C250" t="s">
        <v>1178</v>
      </c>
    </row>
    <row r="251" spans="1:3" x14ac:dyDescent="0.3">
      <c r="A251" t="s">
        <v>559</v>
      </c>
      <c r="B251" t="s">
        <v>1428</v>
      </c>
      <c r="C251" t="s">
        <v>1180</v>
      </c>
    </row>
    <row r="252" spans="1:3" x14ac:dyDescent="0.3">
      <c r="A252" t="s">
        <v>561</v>
      </c>
      <c r="B252" t="s">
        <v>1429</v>
      </c>
      <c r="C252" t="s">
        <v>1178</v>
      </c>
    </row>
    <row r="253" spans="1:3" x14ac:dyDescent="0.3">
      <c r="A253" t="s">
        <v>563</v>
      </c>
      <c r="B253" t="s">
        <v>1430</v>
      </c>
      <c r="C253" t="s">
        <v>1180</v>
      </c>
    </row>
    <row r="254" spans="1:3" x14ac:dyDescent="0.3">
      <c r="A254" t="s">
        <v>565</v>
      </c>
      <c r="B254" t="s">
        <v>1431</v>
      </c>
      <c r="C254" t="s">
        <v>1178</v>
      </c>
    </row>
    <row r="255" spans="1:3" x14ac:dyDescent="0.3">
      <c r="A255" t="s">
        <v>567</v>
      </c>
      <c r="B255" t="s">
        <v>1432</v>
      </c>
      <c r="C255" t="s">
        <v>1180</v>
      </c>
    </row>
    <row r="256" spans="1:3" x14ac:dyDescent="0.3">
      <c r="A256" t="s">
        <v>569</v>
      </c>
      <c r="B256" t="s">
        <v>1433</v>
      </c>
      <c r="C256" t="s">
        <v>1178</v>
      </c>
    </row>
    <row r="257" spans="1:3" x14ac:dyDescent="0.3">
      <c r="A257" t="s">
        <v>571</v>
      </c>
      <c r="B257" t="s">
        <v>1434</v>
      </c>
      <c r="C257" t="s">
        <v>1180</v>
      </c>
    </row>
    <row r="258" spans="1:3" x14ac:dyDescent="0.3">
      <c r="A258" t="s">
        <v>573</v>
      </c>
      <c r="B258" t="s">
        <v>1435</v>
      </c>
      <c r="C258" t="s">
        <v>1178</v>
      </c>
    </row>
    <row r="259" spans="1:3" x14ac:dyDescent="0.3">
      <c r="A259" t="s">
        <v>575</v>
      </c>
      <c r="B259" t="s">
        <v>1436</v>
      </c>
      <c r="C259" t="s">
        <v>1180</v>
      </c>
    </row>
    <row r="260" spans="1:3" x14ac:dyDescent="0.3">
      <c r="A260" t="s">
        <v>577</v>
      </c>
      <c r="B260" t="s">
        <v>1437</v>
      </c>
      <c r="C260" t="s">
        <v>1178</v>
      </c>
    </row>
    <row r="261" spans="1:3" x14ac:dyDescent="0.3">
      <c r="A261" t="s">
        <v>579</v>
      </c>
      <c r="B261" t="s">
        <v>1438</v>
      </c>
      <c r="C261" t="s">
        <v>1180</v>
      </c>
    </row>
    <row r="262" spans="1:3" x14ac:dyDescent="0.3">
      <c r="A262" t="s">
        <v>581</v>
      </c>
      <c r="B262" t="s">
        <v>1439</v>
      </c>
      <c r="C262" t="s">
        <v>1178</v>
      </c>
    </row>
    <row r="263" spans="1:3" x14ac:dyDescent="0.3">
      <c r="A263" t="s">
        <v>583</v>
      </c>
      <c r="B263" t="s">
        <v>1440</v>
      </c>
      <c r="C263" t="s">
        <v>1180</v>
      </c>
    </row>
    <row r="264" spans="1:3" x14ac:dyDescent="0.3">
      <c r="A264" t="s">
        <v>585</v>
      </c>
      <c r="B264" t="s">
        <v>1441</v>
      </c>
      <c r="C264" t="s">
        <v>1178</v>
      </c>
    </row>
    <row r="265" spans="1:3" x14ac:dyDescent="0.3">
      <c r="A265" t="s">
        <v>587</v>
      </c>
      <c r="B265" t="s">
        <v>1442</v>
      </c>
      <c r="C265" t="s">
        <v>1180</v>
      </c>
    </row>
    <row r="266" spans="1:3" x14ac:dyDescent="0.3">
      <c r="A266" t="s">
        <v>589</v>
      </c>
      <c r="B266" t="s">
        <v>1443</v>
      </c>
      <c r="C266" t="s">
        <v>1178</v>
      </c>
    </row>
    <row r="267" spans="1:3" x14ac:dyDescent="0.3">
      <c r="A267" t="s">
        <v>591</v>
      </c>
      <c r="B267" t="s">
        <v>1444</v>
      </c>
      <c r="C267" t="s">
        <v>1180</v>
      </c>
    </row>
    <row r="268" spans="1:3" x14ac:dyDescent="0.3">
      <c r="A268" t="s">
        <v>593</v>
      </c>
      <c r="B268" t="s">
        <v>1445</v>
      </c>
      <c r="C268" t="s">
        <v>1178</v>
      </c>
    </row>
    <row r="269" spans="1:3" x14ac:dyDescent="0.3">
      <c r="A269" t="s">
        <v>595</v>
      </c>
      <c r="B269" t="s">
        <v>1446</v>
      </c>
      <c r="C269" t="s">
        <v>1180</v>
      </c>
    </row>
    <row r="270" spans="1:3" x14ac:dyDescent="0.3">
      <c r="A270" t="s">
        <v>597</v>
      </c>
      <c r="B270" t="s">
        <v>1447</v>
      </c>
      <c r="C270" t="s">
        <v>1178</v>
      </c>
    </row>
    <row r="271" spans="1:3" x14ac:dyDescent="0.3">
      <c r="A271" t="s">
        <v>599</v>
      </c>
      <c r="B271" t="s">
        <v>1448</v>
      </c>
      <c r="C271" t="s">
        <v>1180</v>
      </c>
    </row>
    <row r="272" spans="1:3" x14ac:dyDescent="0.3">
      <c r="A272" t="s">
        <v>601</v>
      </c>
      <c r="B272" t="s">
        <v>1449</v>
      </c>
      <c r="C272" t="s">
        <v>1178</v>
      </c>
    </row>
    <row r="273" spans="1:3" x14ac:dyDescent="0.3">
      <c r="A273" t="s">
        <v>603</v>
      </c>
      <c r="B273" t="s">
        <v>1450</v>
      </c>
      <c r="C273" t="s">
        <v>1180</v>
      </c>
    </row>
    <row r="274" spans="1:3" x14ac:dyDescent="0.3">
      <c r="A274" t="s">
        <v>605</v>
      </c>
      <c r="B274" t="s">
        <v>1451</v>
      </c>
      <c r="C274" t="s">
        <v>1178</v>
      </c>
    </row>
    <row r="275" spans="1:3" x14ac:dyDescent="0.3">
      <c r="A275" t="s">
        <v>607</v>
      </c>
      <c r="B275" t="s">
        <v>1452</v>
      </c>
      <c r="C275" t="s">
        <v>1180</v>
      </c>
    </row>
    <row r="276" spans="1:3" x14ac:dyDescent="0.3">
      <c r="A276" t="s">
        <v>609</v>
      </c>
      <c r="B276" t="s">
        <v>1453</v>
      </c>
      <c r="C276" t="s">
        <v>1178</v>
      </c>
    </row>
    <row r="277" spans="1:3" x14ac:dyDescent="0.3">
      <c r="A277" t="s">
        <v>611</v>
      </c>
      <c r="B277" t="s">
        <v>1454</v>
      </c>
      <c r="C277" t="s">
        <v>1180</v>
      </c>
    </row>
    <row r="278" spans="1:3" x14ac:dyDescent="0.3">
      <c r="A278" t="s">
        <v>613</v>
      </c>
      <c r="B278" t="s">
        <v>1455</v>
      </c>
      <c r="C278" t="s">
        <v>1178</v>
      </c>
    </row>
    <row r="279" spans="1:3" x14ac:dyDescent="0.3">
      <c r="A279" t="s">
        <v>615</v>
      </c>
      <c r="B279" t="s">
        <v>1456</v>
      </c>
      <c r="C279" t="s">
        <v>1180</v>
      </c>
    </row>
    <row r="280" spans="1:3" x14ac:dyDescent="0.3">
      <c r="A280" t="s">
        <v>617</v>
      </c>
      <c r="B280" t="s">
        <v>1457</v>
      </c>
      <c r="C280" t="s">
        <v>1178</v>
      </c>
    </row>
    <row r="281" spans="1:3" x14ac:dyDescent="0.3">
      <c r="A281" t="s">
        <v>619</v>
      </c>
      <c r="B281" t="s">
        <v>1458</v>
      </c>
      <c r="C281" t="s">
        <v>1180</v>
      </c>
    </row>
    <row r="282" spans="1:3" x14ac:dyDescent="0.3">
      <c r="A282" t="s">
        <v>621</v>
      </c>
      <c r="B282" t="s">
        <v>1459</v>
      </c>
      <c r="C282" t="s">
        <v>1178</v>
      </c>
    </row>
    <row r="283" spans="1:3" x14ac:dyDescent="0.3">
      <c r="A283" t="s">
        <v>623</v>
      </c>
      <c r="B283" t="s">
        <v>1460</v>
      </c>
      <c r="C283" t="s">
        <v>1180</v>
      </c>
    </row>
    <row r="284" spans="1:3" x14ac:dyDescent="0.3">
      <c r="A284" t="s">
        <v>625</v>
      </c>
      <c r="B284" t="s">
        <v>1461</v>
      </c>
      <c r="C284" t="s">
        <v>1178</v>
      </c>
    </row>
    <row r="285" spans="1:3" x14ac:dyDescent="0.3">
      <c r="A285" t="s">
        <v>627</v>
      </c>
      <c r="B285" t="s">
        <v>1462</v>
      </c>
      <c r="C285" t="s">
        <v>1180</v>
      </c>
    </row>
    <row r="286" spans="1:3" x14ac:dyDescent="0.3">
      <c r="A286" t="s">
        <v>629</v>
      </c>
      <c r="B286" t="s">
        <v>1463</v>
      </c>
      <c r="C286" t="s">
        <v>1178</v>
      </c>
    </row>
    <row r="287" spans="1:3" x14ac:dyDescent="0.3">
      <c r="A287" t="s">
        <v>631</v>
      </c>
      <c r="B287" t="s">
        <v>1464</v>
      </c>
      <c r="C287" t="s">
        <v>1180</v>
      </c>
    </row>
    <row r="288" spans="1:3" x14ac:dyDescent="0.3">
      <c r="A288" t="s">
        <v>633</v>
      </c>
      <c r="B288" t="s">
        <v>1465</v>
      </c>
      <c r="C288" t="s">
        <v>1178</v>
      </c>
    </row>
    <row r="289" spans="1:3" x14ac:dyDescent="0.3">
      <c r="A289" t="s">
        <v>635</v>
      </c>
      <c r="B289" t="s">
        <v>1466</v>
      </c>
      <c r="C289" t="s">
        <v>1180</v>
      </c>
    </row>
    <row r="290" spans="1:3" x14ac:dyDescent="0.3">
      <c r="A290" t="s">
        <v>637</v>
      </c>
      <c r="B290" t="s">
        <v>1467</v>
      </c>
      <c r="C290" t="s">
        <v>1178</v>
      </c>
    </row>
    <row r="291" spans="1:3" x14ac:dyDescent="0.3">
      <c r="A291" t="s">
        <v>639</v>
      </c>
      <c r="B291" t="s">
        <v>1468</v>
      </c>
      <c r="C291" t="s">
        <v>1180</v>
      </c>
    </row>
    <row r="292" spans="1:3" x14ac:dyDescent="0.3">
      <c r="A292" t="s">
        <v>641</v>
      </c>
      <c r="B292" t="s">
        <v>1469</v>
      </c>
      <c r="C292" t="s">
        <v>1178</v>
      </c>
    </row>
    <row r="293" spans="1:3" x14ac:dyDescent="0.3">
      <c r="A293" t="s">
        <v>643</v>
      </c>
      <c r="B293" t="s">
        <v>1470</v>
      </c>
      <c r="C293" t="s">
        <v>1180</v>
      </c>
    </row>
    <row r="294" spans="1:3" x14ac:dyDescent="0.3">
      <c r="A294" t="s">
        <v>645</v>
      </c>
      <c r="B294" t="s">
        <v>1471</v>
      </c>
      <c r="C294" t="s">
        <v>1178</v>
      </c>
    </row>
    <row r="295" spans="1:3" x14ac:dyDescent="0.3">
      <c r="A295" t="s">
        <v>647</v>
      </c>
      <c r="B295" t="s">
        <v>1472</v>
      </c>
      <c r="C295" t="s">
        <v>1180</v>
      </c>
    </row>
    <row r="296" spans="1:3" x14ac:dyDescent="0.3">
      <c r="A296" t="s">
        <v>649</v>
      </c>
      <c r="B296" t="s">
        <v>1473</v>
      </c>
      <c r="C296" t="s">
        <v>1178</v>
      </c>
    </row>
    <row r="297" spans="1:3" x14ac:dyDescent="0.3">
      <c r="A297" t="s">
        <v>651</v>
      </c>
      <c r="B297" t="s">
        <v>1474</v>
      </c>
      <c r="C297" t="s">
        <v>1180</v>
      </c>
    </row>
    <row r="298" spans="1:3" x14ac:dyDescent="0.3">
      <c r="A298" t="s">
        <v>653</v>
      </c>
      <c r="B298" t="s">
        <v>1475</v>
      </c>
      <c r="C298" t="s">
        <v>1178</v>
      </c>
    </row>
    <row r="299" spans="1:3" x14ac:dyDescent="0.3">
      <c r="A299" t="s">
        <v>655</v>
      </c>
      <c r="B299" t="s">
        <v>1476</v>
      </c>
      <c r="C299" t="s">
        <v>1180</v>
      </c>
    </row>
    <row r="300" spans="1:3" x14ac:dyDescent="0.3">
      <c r="A300" t="s">
        <v>657</v>
      </c>
      <c r="B300" t="s">
        <v>1477</v>
      </c>
      <c r="C300" t="s">
        <v>1178</v>
      </c>
    </row>
    <row r="301" spans="1:3" x14ac:dyDescent="0.3">
      <c r="A301" t="s">
        <v>659</v>
      </c>
      <c r="B301" t="s">
        <v>1478</v>
      </c>
      <c r="C301" t="s">
        <v>1180</v>
      </c>
    </row>
    <row r="302" spans="1:3" x14ac:dyDescent="0.3">
      <c r="A302" t="s">
        <v>661</v>
      </c>
      <c r="B302" t="s">
        <v>1479</v>
      </c>
      <c r="C302" t="s">
        <v>1178</v>
      </c>
    </row>
    <row r="303" spans="1:3" x14ac:dyDescent="0.3">
      <c r="A303" t="s">
        <v>663</v>
      </c>
      <c r="B303" t="s">
        <v>1480</v>
      </c>
      <c r="C303" t="s">
        <v>1180</v>
      </c>
    </row>
    <row r="304" spans="1:3" x14ac:dyDescent="0.3">
      <c r="A304" t="s">
        <v>665</v>
      </c>
      <c r="B304" t="s">
        <v>1481</v>
      </c>
      <c r="C304" t="s">
        <v>1178</v>
      </c>
    </row>
    <row r="305" spans="1:3" x14ac:dyDescent="0.3">
      <c r="A305" t="s">
        <v>667</v>
      </c>
      <c r="B305" t="s">
        <v>1482</v>
      </c>
      <c r="C305" t="s">
        <v>1180</v>
      </c>
    </row>
    <row r="306" spans="1:3" x14ac:dyDescent="0.3">
      <c r="A306" t="s">
        <v>669</v>
      </c>
      <c r="B306" t="s">
        <v>1483</v>
      </c>
      <c r="C306" t="s">
        <v>1178</v>
      </c>
    </row>
    <row r="307" spans="1:3" x14ac:dyDescent="0.3">
      <c r="A307" t="s">
        <v>671</v>
      </c>
      <c r="B307" t="s">
        <v>1484</v>
      </c>
      <c r="C307" t="s">
        <v>1180</v>
      </c>
    </row>
    <row r="308" spans="1:3" x14ac:dyDescent="0.3">
      <c r="A308" t="s">
        <v>673</v>
      </c>
      <c r="B308" t="s">
        <v>1485</v>
      </c>
      <c r="C308" t="s">
        <v>1178</v>
      </c>
    </row>
    <row r="309" spans="1:3" x14ac:dyDescent="0.3">
      <c r="A309" t="s">
        <v>675</v>
      </c>
      <c r="B309" t="s">
        <v>1486</v>
      </c>
      <c r="C309" t="s">
        <v>1180</v>
      </c>
    </row>
    <row r="310" spans="1:3" x14ac:dyDescent="0.3">
      <c r="A310" t="s">
        <v>677</v>
      </c>
      <c r="B310" t="s">
        <v>1487</v>
      </c>
      <c r="C310" t="s">
        <v>1178</v>
      </c>
    </row>
    <row r="311" spans="1:3" x14ac:dyDescent="0.3">
      <c r="A311" t="s">
        <v>679</v>
      </c>
      <c r="B311" t="s">
        <v>1488</v>
      </c>
      <c r="C311" t="s">
        <v>1180</v>
      </c>
    </row>
    <row r="312" spans="1:3" x14ac:dyDescent="0.3">
      <c r="A312" t="s">
        <v>681</v>
      </c>
      <c r="B312" t="s">
        <v>1489</v>
      </c>
      <c r="C312" t="s">
        <v>1178</v>
      </c>
    </row>
    <row r="313" spans="1:3" x14ac:dyDescent="0.3">
      <c r="A313" t="s">
        <v>683</v>
      </c>
      <c r="B313" t="s">
        <v>1490</v>
      </c>
      <c r="C313" t="s">
        <v>1180</v>
      </c>
    </row>
    <row r="314" spans="1:3" x14ac:dyDescent="0.3">
      <c r="A314" t="s">
        <v>685</v>
      </c>
      <c r="B314" t="s">
        <v>1491</v>
      </c>
      <c r="C314" t="s">
        <v>1178</v>
      </c>
    </row>
    <row r="315" spans="1:3" x14ac:dyDescent="0.3">
      <c r="A315" t="s">
        <v>687</v>
      </c>
      <c r="B315" t="s">
        <v>1492</v>
      </c>
      <c r="C315" t="s">
        <v>1180</v>
      </c>
    </row>
    <row r="316" spans="1:3" x14ac:dyDescent="0.3">
      <c r="A316" t="s">
        <v>689</v>
      </c>
      <c r="B316" t="s">
        <v>1493</v>
      </c>
      <c r="C316" t="s">
        <v>1178</v>
      </c>
    </row>
    <row r="317" spans="1:3" x14ac:dyDescent="0.3">
      <c r="A317" t="s">
        <v>691</v>
      </c>
      <c r="B317" t="s">
        <v>1494</v>
      </c>
      <c r="C317" t="s">
        <v>1180</v>
      </c>
    </row>
    <row r="318" spans="1:3" x14ac:dyDescent="0.3">
      <c r="A318" t="s">
        <v>693</v>
      </c>
      <c r="B318" t="s">
        <v>1495</v>
      </c>
      <c r="C318" t="s">
        <v>1178</v>
      </c>
    </row>
    <row r="319" spans="1:3" x14ac:dyDescent="0.3">
      <c r="A319" t="s">
        <v>695</v>
      </c>
      <c r="B319" t="s">
        <v>1496</v>
      </c>
      <c r="C319" t="s">
        <v>1180</v>
      </c>
    </row>
    <row r="320" spans="1:3" x14ac:dyDescent="0.3">
      <c r="A320" t="s">
        <v>697</v>
      </c>
      <c r="B320" t="s">
        <v>1497</v>
      </c>
      <c r="C320" t="s">
        <v>1178</v>
      </c>
    </row>
    <row r="321" spans="1:3" x14ac:dyDescent="0.3">
      <c r="A321" t="s">
        <v>699</v>
      </c>
      <c r="B321" t="s">
        <v>1498</v>
      </c>
      <c r="C321" t="s">
        <v>1180</v>
      </c>
    </row>
    <row r="322" spans="1:3" x14ac:dyDescent="0.3">
      <c r="A322" t="s">
        <v>701</v>
      </c>
      <c r="B322" t="s">
        <v>1499</v>
      </c>
      <c r="C322" t="s">
        <v>1178</v>
      </c>
    </row>
    <row r="323" spans="1:3" x14ac:dyDescent="0.3">
      <c r="A323" t="s">
        <v>703</v>
      </c>
      <c r="B323" t="s">
        <v>1500</v>
      </c>
      <c r="C323" t="s">
        <v>1180</v>
      </c>
    </row>
    <row r="324" spans="1:3" x14ac:dyDescent="0.3">
      <c r="A324" t="s">
        <v>705</v>
      </c>
      <c r="B324" t="s">
        <v>1501</v>
      </c>
      <c r="C324" t="s">
        <v>1178</v>
      </c>
    </row>
    <row r="325" spans="1:3" x14ac:dyDescent="0.3">
      <c r="A325" t="s">
        <v>707</v>
      </c>
      <c r="B325" t="s">
        <v>1502</v>
      </c>
      <c r="C325" t="s">
        <v>1180</v>
      </c>
    </row>
    <row r="326" spans="1:3" x14ac:dyDescent="0.3">
      <c r="A326" t="s">
        <v>709</v>
      </c>
      <c r="B326" t="s">
        <v>1503</v>
      </c>
      <c r="C326" t="s">
        <v>1178</v>
      </c>
    </row>
    <row r="327" spans="1:3" x14ac:dyDescent="0.3">
      <c r="A327" t="s">
        <v>711</v>
      </c>
      <c r="B327" t="s">
        <v>1504</v>
      </c>
      <c r="C327" t="s">
        <v>1180</v>
      </c>
    </row>
    <row r="328" spans="1:3" x14ac:dyDescent="0.3">
      <c r="A328" t="s">
        <v>713</v>
      </c>
      <c r="B328" t="s">
        <v>1505</v>
      </c>
      <c r="C328" t="s">
        <v>1178</v>
      </c>
    </row>
    <row r="329" spans="1:3" x14ac:dyDescent="0.3">
      <c r="A329" t="s">
        <v>715</v>
      </c>
      <c r="B329" t="s">
        <v>1506</v>
      </c>
      <c r="C329" t="s">
        <v>1180</v>
      </c>
    </row>
    <row r="330" spans="1:3" x14ac:dyDescent="0.3">
      <c r="A330" t="s">
        <v>717</v>
      </c>
      <c r="B330" t="s">
        <v>1507</v>
      </c>
      <c r="C330" t="s">
        <v>1178</v>
      </c>
    </row>
    <row r="331" spans="1:3" x14ac:dyDescent="0.3">
      <c r="A331" t="s">
        <v>719</v>
      </c>
      <c r="B331" t="s">
        <v>1508</v>
      </c>
      <c r="C331" t="s">
        <v>1180</v>
      </c>
    </row>
    <row r="332" spans="1:3" x14ac:dyDescent="0.3">
      <c r="A332" t="s">
        <v>721</v>
      </c>
      <c r="B332" t="s">
        <v>1509</v>
      </c>
      <c r="C332" t="s">
        <v>1178</v>
      </c>
    </row>
    <row r="333" spans="1:3" x14ac:dyDescent="0.3">
      <c r="A333" t="s">
        <v>723</v>
      </c>
      <c r="B333" t="s">
        <v>1510</v>
      </c>
      <c r="C333" t="s">
        <v>1180</v>
      </c>
    </row>
    <row r="334" spans="1:3" x14ac:dyDescent="0.3">
      <c r="A334" t="s">
        <v>725</v>
      </c>
      <c r="B334" t="s">
        <v>1511</v>
      </c>
      <c r="C334" t="s">
        <v>1178</v>
      </c>
    </row>
    <row r="335" spans="1:3" x14ac:dyDescent="0.3">
      <c r="A335" t="s">
        <v>727</v>
      </c>
      <c r="B335" t="s">
        <v>1512</v>
      </c>
      <c r="C335" t="s">
        <v>1180</v>
      </c>
    </row>
    <row r="336" spans="1:3" x14ac:dyDescent="0.3">
      <c r="A336" t="s">
        <v>729</v>
      </c>
      <c r="B336" t="s">
        <v>1513</v>
      </c>
      <c r="C336" t="s">
        <v>1178</v>
      </c>
    </row>
    <row r="337" spans="1:3" x14ac:dyDescent="0.3">
      <c r="A337" t="s">
        <v>731</v>
      </c>
      <c r="B337" t="s">
        <v>1514</v>
      </c>
      <c r="C337" t="s">
        <v>1180</v>
      </c>
    </row>
    <row r="338" spans="1:3" x14ac:dyDescent="0.3">
      <c r="A338" t="s">
        <v>733</v>
      </c>
      <c r="B338" t="s">
        <v>1515</v>
      </c>
      <c r="C338" t="s">
        <v>1178</v>
      </c>
    </row>
    <row r="339" spans="1:3" x14ac:dyDescent="0.3">
      <c r="A339" t="s">
        <v>735</v>
      </c>
      <c r="B339" t="s">
        <v>1516</v>
      </c>
      <c r="C339" t="s">
        <v>1180</v>
      </c>
    </row>
    <row r="340" spans="1:3" x14ac:dyDescent="0.3">
      <c r="A340" t="s">
        <v>737</v>
      </c>
      <c r="B340" t="s">
        <v>1517</v>
      </c>
      <c r="C340" t="s">
        <v>1178</v>
      </c>
    </row>
    <row r="341" spans="1:3" x14ac:dyDescent="0.3">
      <c r="A341" t="s">
        <v>739</v>
      </c>
      <c r="B341" t="s">
        <v>1518</v>
      </c>
      <c r="C341" t="s">
        <v>1180</v>
      </c>
    </row>
    <row r="342" spans="1:3" x14ac:dyDescent="0.3">
      <c r="A342" t="s">
        <v>741</v>
      </c>
      <c r="B342" t="s">
        <v>1519</v>
      </c>
      <c r="C342" t="s">
        <v>1178</v>
      </c>
    </row>
    <row r="343" spans="1:3" x14ac:dyDescent="0.3">
      <c r="A343" t="s">
        <v>743</v>
      </c>
      <c r="B343" t="s">
        <v>1520</v>
      </c>
      <c r="C343" t="s">
        <v>1180</v>
      </c>
    </row>
    <row r="344" spans="1:3" x14ac:dyDescent="0.3">
      <c r="A344" t="s">
        <v>745</v>
      </c>
      <c r="B344" t="s">
        <v>1521</v>
      </c>
      <c r="C344" t="s">
        <v>1178</v>
      </c>
    </row>
    <row r="345" spans="1:3" x14ac:dyDescent="0.3">
      <c r="A345" t="s">
        <v>747</v>
      </c>
      <c r="B345" t="s">
        <v>1522</v>
      </c>
      <c r="C345" t="s">
        <v>1180</v>
      </c>
    </row>
    <row r="346" spans="1:3" x14ac:dyDescent="0.3">
      <c r="A346" t="s">
        <v>749</v>
      </c>
      <c r="B346" t="s">
        <v>1523</v>
      </c>
      <c r="C346" t="s">
        <v>1178</v>
      </c>
    </row>
    <row r="347" spans="1:3" x14ac:dyDescent="0.3">
      <c r="A347" t="s">
        <v>751</v>
      </c>
      <c r="B347" t="s">
        <v>1524</v>
      </c>
      <c r="C347" t="s">
        <v>1180</v>
      </c>
    </row>
    <row r="348" spans="1:3" x14ac:dyDescent="0.3">
      <c r="A348" t="s">
        <v>753</v>
      </c>
      <c r="B348" t="s">
        <v>1525</v>
      </c>
      <c r="C348" t="s">
        <v>1178</v>
      </c>
    </row>
    <row r="349" spans="1:3" x14ac:dyDescent="0.3">
      <c r="A349" t="s">
        <v>755</v>
      </c>
      <c r="B349" t="s">
        <v>1526</v>
      </c>
      <c r="C349" t="s">
        <v>1180</v>
      </c>
    </row>
    <row r="350" spans="1:3" x14ac:dyDescent="0.3">
      <c r="A350" t="s">
        <v>757</v>
      </c>
      <c r="B350" t="s">
        <v>1527</v>
      </c>
      <c r="C350" t="s">
        <v>1178</v>
      </c>
    </row>
    <row r="351" spans="1:3" x14ac:dyDescent="0.3">
      <c r="A351" t="s">
        <v>759</v>
      </c>
      <c r="B351" t="s">
        <v>1528</v>
      </c>
      <c r="C351" t="s">
        <v>1180</v>
      </c>
    </row>
    <row r="352" spans="1:3" x14ac:dyDescent="0.3">
      <c r="A352" t="s">
        <v>761</v>
      </c>
      <c r="B352" t="s">
        <v>1529</v>
      </c>
      <c r="C352" t="s">
        <v>1178</v>
      </c>
    </row>
    <row r="353" spans="1:3" x14ac:dyDescent="0.3">
      <c r="A353" t="s">
        <v>763</v>
      </c>
      <c r="B353" t="s">
        <v>1530</v>
      </c>
      <c r="C353" t="s">
        <v>1180</v>
      </c>
    </row>
    <row r="354" spans="1:3" x14ac:dyDescent="0.3">
      <c r="A354" t="s">
        <v>765</v>
      </c>
      <c r="B354" t="s">
        <v>1531</v>
      </c>
      <c r="C354" t="s">
        <v>1178</v>
      </c>
    </row>
    <row r="355" spans="1:3" x14ac:dyDescent="0.3">
      <c r="A355" t="s">
        <v>767</v>
      </c>
      <c r="B355" t="s">
        <v>1532</v>
      </c>
      <c r="C355" t="s">
        <v>1180</v>
      </c>
    </row>
    <row r="356" spans="1:3" x14ac:dyDescent="0.3">
      <c r="A356" t="s">
        <v>769</v>
      </c>
      <c r="B356" t="s">
        <v>1533</v>
      </c>
      <c r="C356" t="s">
        <v>1178</v>
      </c>
    </row>
    <row r="357" spans="1:3" x14ac:dyDescent="0.3">
      <c r="A357" t="s">
        <v>771</v>
      </c>
      <c r="B357" t="s">
        <v>1534</v>
      </c>
      <c r="C357" t="s">
        <v>1180</v>
      </c>
    </row>
    <row r="358" spans="1:3" x14ac:dyDescent="0.3">
      <c r="A358" t="s">
        <v>773</v>
      </c>
      <c r="B358" t="s">
        <v>1535</v>
      </c>
      <c r="C358" t="s">
        <v>1178</v>
      </c>
    </row>
    <row r="359" spans="1:3" x14ac:dyDescent="0.3">
      <c r="A359" t="s">
        <v>775</v>
      </c>
      <c r="B359" t="s">
        <v>1536</v>
      </c>
      <c r="C359" t="s">
        <v>1180</v>
      </c>
    </row>
    <row r="360" spans="1:3" x14ac:dyDescent="0.3">
      <c r="A360" t="s">
        <v>777</v>
      </c>
      <c r="B360" t="s">
        <v>1537</v>
      </c>
      <c r="C360" t="s">
        <v>1178</v>
      </c>
    </row>
    <row r="361" spans="1:3" x14ac:dyDescent="0.3">
      <c r="A361" t="s">
        <v>779</v>
      </c>
      <c r="B361" t="s">
        <v>1538</v>
      </c>
      <c r="C361" t="s">
        <v>1180</v>
      </c>
    </row>
    <row r="362" spans="1:3" x14ac:dyDescent="0.3">
      <c r="A362" t="s">
        <v>781</v>
      </c>
      <c r="B362" t="s">
        <v>1539</v>
      </c>
      <c r="C362" t="s">
        <v>1178</v>
      </c>
    </row>
    <row r="363" spans="1:3" x14ac:dyDescent="0.3">
      <c r="A363" t="s">
        <v>783</v>
      </c>
      <c r="B363" t="s">
        <v>1540</v>
      </c>
      <c r="C363" t="s">
        <v>1180</v>
      </c>
    </row>
    <row r="364" spans="1:3" x14ac:dyDescent="0.3">
      <c r="A364" t="s">
        <v>785</v>
      </c>
      <c r="B364" t="s">
        <v>1541</v>
      </c>
      <c r="C364" t="s">
        <v>1178</v>
      </c>
    </row>
    <row r="365" spans="1:3" x14ac:dyDescent="0.3">
      <c r="A365" t="s">
        <v>787</v>
      </c>
      <c r="B365" t="s">
        <v>1542</v>
      </c>
      <c r="C365" t="s">
        <v>1180</v>
      </c>
    </row>
    <row r="366" spans="1:3" x14ac:dyDescent="0.3">
      <c r="A366" t="s">
        <v>789</v>
      </c>
      <c r="B366" t="s">
        <v>1543</v>
      </c>
      <c r="C366" t="s">
        <v>1178</v>
      </c>
    </row>
    <row r="367" spans="1:3" x14ac:dyDescent="0.3">
      <c r="A367" t="s">
        <v>791</v>
      </c>
      <c r="B367" t="s">
        <v>1544</v>
      </c>
      <c r="C367" t="s">
        <v>1180</v>
      </c>
    </row>
    <row r="368" spans="1:3" x14ac:dyDescent="0.3">
      <c r="A368" t="s">
        <v>793</v>
      </c>
      <c r="B368" t="s">
        <v>1545</v>
      </c>
      <c r="C368" t="s">
        <v>1178</v>
      </c>
    </row>
    <row r="369" spans="1:3" x14ac:dyDescent="0.3">
      <c r="A369" t="s">
        <v>795</v>
      </c>
      <c r="B369" t="s">
        <v>1546</v>
      </c>
      <c r="C369" t="s">
        <v>1180</v>
      </c>
    </row>
    <row r="370" spans="1:3" x14ac:dyDescent="0.3">
      <c r="A370" t="s">
        <v>797</v>
      </c>
      <c r="B370" t="s">
        <v>1547</v>
      </c>
      <c r="C370" t="s">
        <v>1178</v>
      </c>
    </row>
    <row r="371" spans="1:3" x14ac:dyDescent="0.3">
      <c r="A371" t="s">
        <v>799</v>
      </c>
      <c r="B371" t="s">
        <v>1548</v>
      </c>
      <c r="C371" t="s">
        <v>1180</v>
      </c>
    </row>
    <row r="372" spans="1:3" x14ac:dyDescent="0.3">
      <c r="A372" t="s">
        <v>801</v>
      </c>
      <c r="B372" t="s">
        <v>1549</v>
      </c>
      <c r="C372" t="s">
        <v>1178</v>
      </c>
    </row>
    <row r="373" spans="1:3" x14ac:dyDescent="0.3">
      <c r="A373" t="s">
        <v>803</v>
      </c>
      <c r="B373" t="s">
        <v>1550</v>
      </c>
      <c r="C373" t="s">
        <v>1180</v>
      </c>
    </row>
    <row r="374" spans="1:3" x14ac:dyDescent="0.3">
      <c r="A374" t="s">
        <v>805</v>
      </c>
      <c r="B374" t="s">
        <v>1551</v>
      </c>
      <c r="C374" t="s">
        <v>1178</v>
      </c>
    </row>
    <row r="375" spans="1:3" x14ac:dyDescent="0.3">
      <c r="A375" t="s">
        <v>807</v>
      </c>
      <c r="B375" t="s">
        <v>1552</v>
      </c>
      <c r="C375" t="s">
        <v>1180</v>
      </c>
    </row>
    <row r="376" spans="1:3" x14ac:dyDescent="0.3">
      <c r="A376" t="s">
        <v>809</v>
      </c>
      <c r="B376" t="s">
        <v>1553</v>
      </c>
      <c r="C376" t="s">
        <v>1178</v>
      </c>
    </row>
    <row r="377" spans="1:3" x14ac:dyDescent="0.3">
      <c r="A377" t="s">
        <v>811</v>
      </c>
      <c r="B377" t="s">
        <v>1554</v>
      </c>
      <c r="C377" t="s">
        <v>1180</v>
      </c>
    </row>
    <row r="378" spans="1:3" x14ac:dyDescent="0.3">
      <c r="A378" t="s">
        <v>813</v>
      </c>
      <c r="B378" t="s">
        <v>1555</v>
      </c>
      <c r="C378" t="s">
        <v>1178</v>
      </c>
    </row>
    <row r="379" spans="1:3" x14ac:dyDescent="0.3">
      <c r="A379" t="s">
        <v>815</v>
      </c>
      <c r="B379" t="s">
        <v>1556</v>
      </c>
      <c r="C379" t="s">
        <v>1180</v>
      </c>
    </row>
    <row r="380" spans="1:3" x14ac:dyDescent="0.3">
      <c r="A380" t="s">
        <v>817</v>
      </c>
      <c r="B380" t="s">
        <v>1557</v>
      </c>
      <c r="C380" t="s">
        <v>1178</v>
      </c>
    </row>
    <row r="381" spans="1:3" x14ac:dyDescent="0.3">
      <c r="A381" t="s">
        <v>819</v>
      </c>
      <c r="B381" t="s">
        <v>1558</v>
      </c>
      <c r="C381" t="s">
        <v>1180</v>
      </c>
    </row>
    <row r="382" spans="1:3" x14ac:dyDescent="0.3">
      <c r="A382" t="s">
        <v>821</v>
      </c>
      <c r="B382" t="s">
        <v>1559</v>
      </c>
      <c r="C382" t="s">
        <v>1178</v>
      </c>
    </row>
    <row r="383" spans="1:3" x14ac:dyDescent="0.3">
      <c r="A383" t="s">
        <v>823</v>
      </c>
      <c r="B383" t="s">
        <v>1560</v>
      </c>
      <c r="C383" t="s">
        <v>1180</v>
      </c>
    </row>
    <row r="384" spans="1:3" x14ac:dyDescent="0.3">
      <c r="A384" t="s">
        <v>825</v>
      </c>
      <c r="B384" t="s">
        <v>1561</v>
      </c>
      <c r="C384" t="s">
        <v>1178</v>
      </c>
    </row>
    <row r="385" spans="1:3" x14ac:dyDescent="0.3">
      <c r="A385" t="s">
        <v>827</v>
      </c>
      <c r="B385" t="s">
        <v>1562</v>
      </c>
      <c r="C385" t="s">
        <v>1180</v>
      </c>
    </row>
    <row r="386" spans="1:3" x14ac:dyDescent="0.3">
      <c r="A386" t="s">
        <v>829</v>
      </c>
      <c r="B386" t="s">
        <v>1563</v>
      </c>
      <c r="C386" t="s">
        <v>1178</v>
      </c>
    </row>
    <row r="387" spans="1:3" x14ac:dyDescent="0.3">
      <c r="A387" t="s">
        <v>831</v>
      </c>
      <c r="B387" t="s">
        <v>1564</v>
      </c>
      <c r="C387" t="s">
        <v>1180</v>
      </c>
    </row>
    <row r="388" spans="1:3" x14ac:dyDescent="0.3">
      <c r="A388" t="s">
        <v>833</v>
      </c>
      <c r="B388" t="s">
        <v>1565</v>
      </c>
      <c r="C388" t="s">
        <v>1178</v>
      </c>
    </row>
    <row r="389" spans="1:3" x14ac:dyDescent="0.3">
      <c r="A389" t="s">
        <v>835</v>
      </c>
      <c r="B389" t="s">
        <v>1566</v>
      </c>
      <c r="C389" t="s">
        <v>1180</v>
      </c>
    </row>
    <row r="390" spans="1:3" x14ac:dyDescent="0.3">
      <c r="A390" t="s">
        <v>837</v>
      </c>
      <c r="B390" t="s">
        <v>1567</v>
      </c>
      <c r="C390" t="s">
        <v>1178</v>
      </c>
    </row>
    <row r="391" spans="1:3" x14ac:dyDescent="0.3">
      <c r="A391" t="s">
        <v>839</v>
      </c>
      <c r="B391" t="s">
        <v>1568</v>
      </c>
      <c r="C391" t="s">
        <v>1180</v>
      </c>
    </row>
    <row r="392" spans="1:3" x14ac:dyDescent="0.3">
      <c r="A392" t="s">
        <v>841</v>
      </c>
      <c r="B392" t="s">
        <v>1569</v>
      </c>
      <c r="C392" t="s">
        <v>1178</v>
      </c>
    </row>
    <row r="393" spans="1:3" x14ac:dyDescent="0.3">
      <c r="A393" t="s">
        <v>843</v>
      </c>
      <c r="B393" t="s">
        <v>1570</v>
      </c>
      <c r="C393" t="s">
        <v>1180</v>
      </c>
    </row>
    <row r="394" spans="1:3" x14ac:dyDescent="0.3">
      <c r="A394" t="s">
        <v>845</v>
      </c>
      <c r="B394" t="s">
        <v>1571</v>
      </c>
      <c r="C394" t="s">
        <v>1178</v>
      </c>
    </row>
    <row r="395" spans="1:3" x14ac:dyDescent="0.3">
      <c r="A395" t="s">
        <v>847</v>
      </c>
      <c r="B395" t="s">
        <v>1572</v>
      </c>
      <c r="C395" t="s">
        <v>1180</v>
      </c>
    </row>
    <row r="396" spans="1:3" x14ac:dyDescent="0.3">
      <c r="A396" t="s">
        <v>849</v>
      </c>
      <c r="B396" t="s">
        <v>1573</v>
      </c>
      <c r="C396" t="s">
        <v>1178</v>
      </c>
    </row>
    <row r="397" spans="1:3" x14ac:dyDescent="0.3">
      <c r="A397" t="s">
        <v>851</v>
      </c>
      <c r="B397" t="s">
        <v>1574</v>
      </c>
      <c r="C397" t="s">
        <v>1180</v>
      </c>
    </row>
    <row r="398" spans="1:3" x14ac:dyDescent="0.3">
      <c r="A398" t="s">
        <v>853</v>
      </c>
      <c r="B398" t="s">
        <v>1575</v>
      </c>
      <c r="C398" t="s">
        <v>1178</v>
      </c>
    </row>
    <row r="399" spans="1:3" x14ac:dyDescent="0.3">
      <c r="A399" t="s">
        <v>855</v>
      </c>
      <c r="B399" t="s">
        <v>1576</v>
      </c>
      <c r="C399" t="s">
        <v>1180</v>
      </c>
    </row>
    <row r="400" spans="1:3" x14ac:dyDescent="0.3">
      <c r="A400" t="s">
        <v>857</v>
      </c>
      <c r="B400" t="s">
        <v>1577</v>
      </c>
      <c r="C400" t="s">
        <v>1178</v>
      </c>
    </row>
    <row r="401" spans="1:3" x14ac:dyDescent="0.3">
      <c r="A401" t="s">
        <v>859</v>
      </c>
      <c r="B401" t="s">
        <v>1578</v>
      </c>
      <c r="C401" t="s">
        <v>1180</v>
      </c>
    </row>
    <row r="402" spans="1:3" x14ac:dyDescent="0.3">
      <c r="A402" t="s">
        <v>861</v>
      </c>
      <c r="B402" t="s">
        <v>1579</v>
      </c>
      <c r="C402" t="s">
        <v>1178</v>
      </c>
    </row>
    <row r="403" spans="1:3" x14ac:dyDescent="0.3">
      <c r="A403" t="s">
        <v>863</v>
      </c>
      <c r="B403" t="s">
        <v>1580</v>
      </c>
      <c r="C403" t="s">
        <v>1180</v>
      </c>
    </row>
    <row r="404" spans="1:3" x14ac:dyDescent="0.3">
      <c r="A404" t="s">
        <v>865</v>
      </c>
      <c r="B404" t="s">
        <v>1581</v>
      </c>
      <c r="C404" t="s">
        <v>1178</v>
      </c>
    </row>
    <row r="405" spans="1:3" x14ac:dyDescent="0.3">
      <c r="A405" t="s">
        <v>867</v>
      </c>
      <c r="B405" t="s">
        <v>1582</v>
      </c>
      <c r="C405" t="s">
        <v>1180</v>
      </c>
    </row>
    <row r="406" spans="1:3" x14ac:dyDescent="0.3">
      <c r="A406" t="s">
        <v>869</v>
      </c>
      <c r="B406" t="s">
        <v>1583</v>
      </c>
      <c r="C406" t="s">
        <v>1178</v>
      </c>
    </row>
    <row r="407" spans="1:3" x14ac:dyDescent="0.3">
      <c r="A407" t="s">
        <v>871</v>
      </c>
      <c r="B407" t="s">
        <v>1584</v>
      </c>
      <c r="C407" t="s">
        <v>1180</v>
      </c>
    </row>
    <row r="408" spans="1:3" x14ac:dyDescent="0.3">
      <c r="A408" t="s">
        <v>873</v>
      </c>
      <c r="B408" t="s">
        <v>1585</v>
      </c>
      <c r="C408" t="s">
        <v>1178</v>
      </c>
    </row>
    <row r="409" spans="1:3" x14ac:dyDescent="0.3">
      <c r="A409" t="s">
        <v>875</v>
      </c>
      <c r="B409" t="s">
        <v>1586</v>
      </c>
      <c r="C409" t="s">
        <v>1180</v>
      </c>
    </row>
    <row r="410" spans="1:3" x14ac:dyDescent="0.3">
      <c r="A410" t="s">
        <v>877</v>
      </c>
      <c r="B410" t="s">
        <v>1587</v>
      </c>
      <c r="C410" t="s">
        <v>1178</v>
      </c>
    </row>
    <row r="411" spans="1:3" x14ac:dyDescent="0.3">
      <c r="A411" t="s">
        <v>879</v>
      </c>
      <c r="B411" t="s">
        <v>1588</v>
      </c>
      <c r="C411" t="s">
        <v>1180</v>
      </c>
    </row>
    <row r="412" spans="1:3" x14ac:dyDescent="0.3">
      <c r="A412" t="s">
        <v>881</v>
      </c>
      <c r="B412" t="s">
        <v>1589</v>
      </c>
      <c r="C412" t="s">
        <v>1178</v>
      </c>
    </row>
    <row r="413" spans="1:3" x14ac:dyDescent="0.3">
      <c r="A413" t="s">
        <v>883</v>
      </c>
      <c r="B413" t="s">
        <v>1590</v>
      </c>
      <c r="C413" t="s">
        <v>1180</v>
      </c>
    </row>
    <row r="414" spans="1:3" x14ac:dyDescent="0.3">
      <c r="A414" t="s">
        <v>885</v>
      </c>
      <c r="B414" t="s">
        <v>1591</v>
      </c>
      <c r="C414" t="s">
        <v>1178</v>
      </c>
    </row>
    <row r="415" spans="1:3" x14ac:dyDescent="0.3">
      <c r="A415" t="s">
        <v>887</v>
      </c>
      <c r="B415" t="s">
        <v>1592</v>
      </c>
      <c r="C415" t="s">
        <v>1180</v>
      </c>
    </row>
    <row r="416" spans="1:3" x14ac:dyDescent="0.3">
      <c r="A416" t="s">
        <v>889</v>
      </c>
      <c r="B416" t="s">
        <v>1593</v>
      </c>
      <c r="C416" t="s">
        <v>1178</v>
      </c>
    </row>
    <row r="417" spans="1:3" x14ac:dyDescent="0.3">
      <c r="A417" t="s">
        <v>891</v>
      </c>
      <c r="B417" t="s">
        <v>1594</v>
      </c>
      <c r="C417" t="s">
        <v>1180</v>
      </c>
    </row>
    <row r="418" spans="1:3" x14ac:dyDescent="0.3">
      <c r="A418" t="s">
        <v>893</v>
      </c>
      <c r="B418" t="s">
        <v>1595</v>
      </c>
      <c r="C418" t="s">
        <v>1178</v>
      </c>
    </row>
    <row r="419" spans="1:3" x14ac:dyDescent="0.3">
      <c r="A419" t="s">
        <v>895</v>
      </c>
      <c r="B419" t="s">
        <v>1596</v>
      </c>
      <c r="C419" t="s">
        <v>1180</v>
      </c>
    </row>
    <row r="420" spans="1:3" x14ac:dyDescent="0.3">
      <c r="A420" t="s">
        <v>897</v>
      </c>
      <c r="B420" t="s">
        <v>1597</v>
      </c>
      <c r="C420" t="s">
        <v>1178</v>
      </c>
    </row>
    <row r="421" spans="1:3" x14ac:dyDescent="0.3">
      <c r="A421" t="s">
        <v>899</v>
      </c>
      <c r="B421" t="s">
        <v>1598</v>
      </c>
      <c r="C421" t="s">
        <v>1180</v>
      </c>
    </row>
    <row r="422" spans="1:3" x14ac:dyDescent="0.3">
      <c r="A422" t="s">
        <v>901</v>
      </c>
      <c r="B422" t="s">
        <v>1599</v>
      </c>
      <c r="C422" t="s">
        <v>1178</v>
      </c>
    </row>
    <row r="423" spans="1:3" x14ac:dyDescent="0.3">
      <c r="A423" t="s">
        <v>903</v>
      </c>
      <c r="B423" t="s">
        <v>1600</v>
      </c>
      <c r="C423" t="s">
        <v>1180</v>
      </c>
    </row>
    <row r="424" spans="1:3" x14ac:dyDescent="0.3">
      <c r="A424" t="s">
        <v>905</v>
      </c>
      <c r="B424" t="s">
        <v>1601</v>
      </c>
      <c r="C424" t="s">
        <v>1178</v>
      </c>
    </row>
    <row r="425" spans="1:3" x14ac:dyDescent="0.3">
      <c r="A425" t="s">
        <v>907</v>
      </c>
      <c r="B425" t="s">
        <v>1602</v>
      </c>
      <c r="C425" t="s">
        <v>1180</v>
      </c>
    </row>
    <row r="426" spans="1:3" x14ac:dyDescent="0.3">
      <c r="A426" t="s">
        <v>909</v>
      </c>
      <c r="B426" t="s">
        <v>1603</v>
      </c>
      <c r="C426" t="s">
        <v>1178</v>
      </c>
    </row>
    <row r="427" spans="1:3" x14ac:dyDescent="0.3">
      <c r="A427" t="s">
        <v>911</v>
      </c>
      <c r="B427" t="s">
        <v>1604</v>
      </c>
      <c r="C427" t="s">
        <v>1180</v>
      </c>
    </row>
    <row r="428" spans="1:3" x14ac:dyDescent="0.3">
      <c r="A428" t="s">
        <v>913</v>
      </c>
      <c r="B428" t="s">
        <v>1605</v>
      </c>
      <c r="C428" t="s">
        <v>1178</v>
      </c>
    </row>
    <row r="429" spans="1:3" x14ac:dyDescent="0.3">
      <c r="A429" t="s">
        <v>915</v>
      </c>
      <c r="B429" t="s">
        <v>1606</v>
      </c>
      <c r="C429" t="s">
        <v>1180</v>
      </c>
    </row>
    <row r="430" spans="1:3" x14ac:dyDescent="0.3">
      <c r="A430" t="s">
        <v>917</v>
      </c>
      <c r="B430" t="s">
        <v>1607</v>
      </c>
      <c r="C430" t="s">
        <v>1178</v>
      </c>
    </row>
    <row r="431" spans="1:3" x14ac:dyDescent="0.3">
      <c r="A431" t="s">
        <v>919</v>
      </c>
      <c r="B431" t="s">
        <v>1608</v>
      </c>
      <c r="C431" t="s">
        <v>1180</v>
      </c>
    </row>
    <row r="432" spans="1:3" x14ac:dyDescent="0.3">
      <c r="A432" t="s">
        <v>921</v>
      </c>
      <c r="B432" t="s">
        <v>1609</v>
      </c>
      <c r="C432" t="s">
        <v>1178</v>
      </c>
    </row>
    <row r="433" spans="1:3" x14ac:dyDescent="0.3">
      <c r="A433" t="s">
        <v>923</v>
      </c>
      <c r="B433" t="s">
        <v>1610</v>
      </c>
      <c r="C433" t="s">
        <v>1180</v>
      </c>
    </row>
    <row r="434" spans="1:3" x14ac:dyDescent="0.3">
      <c r="A434" t="s">
        <v>925</v>
      </c>
      <c r="B434" t="s">
        <v>1611</v>
      </c>
      <c r="C434" t="s">
        <v>1178</v>
      </c>
    </row>
    <row r="435" spans="1:3" x14ac:dyDescent="0.3">
      <c r="A435" t="s">
        <v>927</v>
      </c>
      <c r="B435" t="s">
        <v>1612</v>
      </c>
      <c r="C435" t="s">
        <v>1180</v>
      </c>
    </row>
    <row r="436" spans="1:3" x14ac:dyDescent="0.3">
      <c r="A436" t="s">
        <v>929</v>
      </c>
      <c r="B436" t="s">
        <v>1613</v>
      </c>
      <c r="C436" t="s">
        <v>1178</v>
      </c>
    </row>
    <row r="437" spans="1:3" x14ac:dyDescent="0.3">
      <c r="A437" t="s">
        <v>931</v>
      </c>
      <c r="B437" t="s">
        <v>1614</v>
      </c>
      <c r="C437" t="s">
        <v>1180</v>
      </c>
    </row>
    <row r="438" spans="1:3" x14ac:dyDescent="0.3">
      <c r="A438" t="s">
        <v>933</v>
      </c>
      <c r="B438" t="s">
        <v>1615</v>
      </c>
      <c r="C438" t="s">
        <v>1178</v>
      </c>
    </row>
    <row r="439" spans="1:3" x14ac:dyDescent="0.3">
      <c r="A439" t="s">
        <v>935</v>
      </c>
      <c r="B439" t="s">
        <v>1616</v>
      </c>
      <c r="C439" t="s">
        <v>1180</v>
      </c>
    </row>
    <row r="440" spans="1:3" x14ac:dyDescent="0.3">
      <c r="A440" t="s">
        <v>937</v>
      </c>
      <c r="B440" t="s">
        <v>1617</v>
      </c>
      <c r="C440" t="s">
        <v>1178</v>
      </c>
    </row>
    <row r="441" spans="1:3" x14ac:dyDescent="0.3">
      <c r="A441" t="s">
        <v>939</v>
      </c>
      <c r="B441" t="s">
        <v>1618</v>
      </c>
      <c r="C441" t="s">
        <v>1180</v>
      </c>
    </row>
    <row r="442" spans="1:3" x14ac:dyDescent="0.3">
      <c r="A442" t="s">
        <v>941</v>
      </c>
      <c r="B442" t="s">
        <v>1619</v>
      </c>
      <c r="C442" t="s">
        <v>1178</v>
      </c>
    </row>
    <row r="443" spans="1:3" x14ac:dyDescent="0.3">
      <c r="A443" t="s">
        <v>943</v>
      </c>
      <c r="B443" t="s">
        <v>1620</v>
      </c>
      <c r="C443" t="s">
        <v>1180</v>
      </c>
    </row>
    <row r="444" spans="1:3" x14ac:dyDescent="0.3">
      <c r="A444" t="s">
        <v>945</v>
      </c>
      <c r="B444" t="s">
        <v>1621</v>
      </c>
      <c r="C444" t="s">
        <v>1178</v>
      </c>
    </row>
    <row r="445" spans="1:3" x14ac:dyDescent="0.3">
      <c r="A445" t="s">
        <v>947</v>
      </c>
      <c r="B445" t="s">
        <v>1622</v>
      </c>
      <c r="C445" t="s">
        <v>1180</v>
      </c>
    </row>
    <row r="446" spans="1:3" x14ac:dyDescent="0.3">
      <c r="A446" t="s">
        <v>949</v>
      </c>
      <c r="B446" t="s">
        <v>1623</v>
      </c>
      <c r="C446" t="s">
        <v>1178</v>
      </c>
    </row>
    <row r="447" spans="1:3" x14ac:dyDescent="0.3">
      <c r="A447" t="s">
        <v>951</v>
      </c>
      <c r="B447" t="s">
        <v>1624</v>
      </c>
      <c r="C447" t="s">
        <v>1180</v>
      </c>
    </row>
    <row r="448" spans="1:3" x14ac:dyDescent="0.3">
      <c r="A448" t="s">
        <v>953</v>
      </c>
      <c r="B448" t="s">
        <v>1625</v>
      </c>
      <c r="C448" t="s">
        <v>1178</v>
      </c>
    </row>
    <row r="449" spans="1:3" x14ac:dyDescent="0.3">
      <c r="A449" t="s">
        <v>955</v>
      </c>
      <c r="B449" t="s">
        <v>1626</v>
      </c>
      <c r="C449" t="s">
        <v>1180</v>
      </c>
    </row>
    <row r="450" spans="1:3" x14ac:dyDescent="0.3">
      <c r="A450" t="s">
        <v>957</v>
      </c>
      <c r="B450" t="s">
        <v>1627</v>
      </c>
      <c r="C450" t="s">
        <v>1178</v>
      </c>
    </row>
    <row r="451" spans="1:3" x14ac:dyDescent="0.3">
      <c r="A451" t="s">
        <v>959</v>
      </c>
      <c r="B451" t="s">
        <v>1628</v>
      </c>
      <c r="C451" t="s">
        <v>1180</v>
      </c>
    </row>
    <row r="452" spans="1:3" x14ac:dyDescent="0.3">
      <c r="A452" t="s">
        <v>961</v>
      </c>
      <c r="B452" t="s">
        <v>1629</v>
      </c>
      <c r="C452" t="s">
        <v>1178</v>
      </c>
    </row>
    <row r="453" spans="1:3" x14ac:dyDescent="0.3">
      <c r="A453" t="s">
        <v>963</v>
      </c>
      <c r="B453" t="s">
        <v>1630</v>
      </c>
      <c r="C453" t="s">
        <v>1180</v>
      </c>
    </row>
    <row r="454" spans="1:3" x14ac:dyDescent="0.3">
      <c r="A454" t="s">
        <v>965</v>
      </c>
      <c r="B454" t="s">
        <v>1631</v>
      </c>
      <c r="C454" t="s">
        <v>1178</v>
      </c>
    </row>
    <row r="455" spans="1:3" x14ac:dyDescent="0.3">
      <c r="A455" t="s">
        <v>967</v>
      </c>
      <c r="B455" t="s">
        <v>1632</v>
      </c>
      <c r="C455" t="s">
        <v>1180</v>
      </c>
    </row>
    <row r="456" spans="1:3" x14ac:dyDescent="0.3">
      <c r="A456" t="s">
        <v>969</v>
      </c>
      <c r="B456" t="s">
        <v>1633</v>
      </c>
      <c r="C456" t="s">
        <v>1178</v>
      </c>
    </row>
    <row r="457" spans="1:3" x14ac:dyDescent="0.3">
      <c r="A457" t="s">
        <v>971</v>
      </c>
      <c r="B457" t="s">
        <v>1634</v>
      </c>
      <c r="C457" t="s">
        <v>1180</v>
      </c>
    </row>
    <row r="458" spans="1:3" x14ac:dyDescent="0.3">
      <c r="A458" t="s">
        <v>973</v>
      </c>
      <c r="B458" t="s">
        <v>1635</v>
      </c>
      <c r="C458" t="s">
        <v>1178</v>
      </c>
    </row>
    <row r="459" spans="1:3" x14ac:dyDescent="0.3">
      <c r="A459" t="s">
        <v>975</v>
      </c>
      <c r="B459" t="s">
        <v>1636</v>
      </c>
      <c r="C459" t="s">
        <v>1180</v>
      </c>
    </row>
    <row r="460" spans="1:3" x14ac:dyDescent="0.3">
      <c r="A460" t="s">
        <v>977</v>
      </c>
      <c r="B460" t="s">
        <v>1637</v>
      </c>
      <c r="C460" t="s">
        <v>1178</v>
      </c>
    </row>
    <row r="461" spans="1:3" x14ac:dyDescent="0.3">
      <c r="A461" t="s">
        <v>979</v>
      </c>
      <c r="B461" t="s">
        <v>1638</v>
      </c>
      <c r="C461" t="s">
        <v>1180</v>
      </c>
    </row>
    <row r="462" spans="1:3" x14ac:dyDescent="0.3">
      <c r="A462" t="s">
        <v>981</v>
      </c>
      <c r="B462" t="s">
        <v>1639</v>
      </c>
      <c r="C462" t="s">
        <v>1178</v>
      </c>
    </row>
    <row r="463" spans="1:3" x14ac:dyDescent="0.3">
      <c r="A463" t="s">
        <v>983</v>
      </c>
      <c r="B463" t="s">
        <v>1640</v>
      </c>
      <c r="C463" t="s">
        <v>1180</v>
      </c>
    </row>
    <row r="464" spans="1:3" x14ac:dyDescent="0.3">
      <c r="A464" t="s">
        <v>985</v>
      </c>
      <c r="B464" t="s">
        <v>1641</v>
      </c>
      <c r="C464" t="s">
        <v>1178</v>
      </c>
    </row>
    <row r="465" spans="1:3" x14ac:dyDescent="0.3">
      <c r="A465" t="s">
        <v>987</v>
      </c>
      <c r="B465" t="s">
        <v>1642</v>
      </c>
      <c r="C465" t="s">
        <v>1180</v>
      </c>
    </row>
    <row r="466" spans="1:3" x14ac:dyDescent="0.3">
      <c r="A466" t="s">
        <v>989</v>
      </c>
      <c r="B466" t="s">
        <v>1643</v>
      </c>
      <c r="C466" t="s">
        <v>1178</v>
      </c>
    </row>
    <row r="467" spans="1:3" x14ac:dyDescent="0.3">
      <c r="A467" t="s">
        <v>991</v>
      </c>
      <c r="B467" t="s">
        <v>1644</v>
      </c>
      <c r="C467" t="s">
        <v>1180</v>
      </c>
    </row>
    <row r="468" spans="1:3" x14ac:dyDescent="0.3">
      <c r="A468" t="s">
        <v>993</v>
      </c>
      <c r="B468" t="s">
        <v>1645</v>
      </c>
      <c r="C468" t="s">
        <v>1178</v>
      </c>
    </row>
    <row r="469" spans="1:3" x14ac:dyDescent="0.3">
      <c r="A469" t="s">
        <v>995</v>
      </c>
      <c r="B469" t="s">
        <v>1646</v>
      </c>
      <c r="C469" t="s">
        <v>1180</v>
      </c>
    </row>
    <row r="470" spans="1:3" x14ac:dyDescent="0.3">
      <c r="A470" t="s">
        <v>997</v>
      </c>
      <c r="B470" t="s">
        <v>1647</v>
      </c>
      <c r="C470" t="s">
        <v>1178</v>
      </c>
    </row>
    <row r="471" spans="1:3" x14ac:dyDescent="0.3">
      <c r="A471" t="s">
        <v>999</v>
      </c>
      <c r="B471" t="s">
        <v>1648</v>
      </c>
      <c r="C471" t="s">
        <v>1180</v>
      </c>
    </row>
    <row r="472" spans="1:3" x14ac:dyDescent="0.3">
      <c r="A472" t="s">
        <v>1001</v>
      </c>
      <c r="B472" t="s">
        <v>1649</v>
      </c>
      <c r="C472" t="s">
        <v>1178</v>
      </c>
    </row>
    <row r="473" spans="1:3" x14ac:dyDescent="0.3">
      <c r="A473" t="s">
        <v>1003</v>
      </c>
      <c r="B473" t="s">
        <v>1650</v>
      </c>
      <c r="C473" t="s">
        <v>1180</v>
      </c>
    </row>
    <row r="474" spans="1:3" x14ac:dyDescent="0.3">
      <c r="A474" t="s">
        <v>1005</v>
      </c>
      <c r="B474" t="s">
        <v>1651</v>
      </c>
      <c r="C474" t="s">
        <v>1178</v>
      </c>
    </row>
    <row r="475" spans="1:3" x14ac:dyDescent="0.3">
      <c r="A475" t="s">
        <v>1007</v>
      </c>
      <c r="B475" t="s">
        <v>1652</v>
      </c>
      <c r="C475" t="s">
        <v>1180</v>
      </c>
    </row>
    <row r="476" spans="1:3" x14ac:dyDescent="0.3">
      <c r="A476" t="s">
        <v>1009</v>
      </c>
      <c r="B476" t="s">
        <v>1653</v>
      </c>
      <c r="C476" t="s">
        <v>1178</v>
      </c>
    </row>
    <row r="477" spans="1:3" x14ac:dyDescent="0.3">
      <c r="A477" t="s">
        <v>1011</v>
      </c>
      <c r="B477" t="s">
        <v>1654</v>
      </c>
      <c r="C477" t="s">
        <v>1180</v>
      </c>
    </row>
    <row r="478" spans="1:3" x14ac:dyDescent="0.3">
      <c r="A478" t="s">
        <v>1013</v>
      </c>
      <c r="B478" t="s">
        <v>1655</v>
      </c>
      <c r="C478" t="s">
        <v>1178</v>
      </c>
    </row>
    <row r="479" spans="1:3" x14ac:dyDescent="0.3">
      <c r="A479" t="s">
        <v>1015</v>
      </c>
      <c r="B479" t="s">
        <v>1656</v>
      </c>
      <c r="C479" t="s">
        <v>1180</v>
      </c>
    </row>
    <row r="480" spans="1:3" x14ac:dyDescent="0.3">
      <c r="A480" t="s">
        <v>1017</v>
      </c>
      <c r="B480" t="s">
        <v>1657</v>
      </c>
      <c r="C480" t="s">
        <v>1178</v>
      </c>
    </row>
    <row r="481" spans="1:3" x14ac:dyDescent="0.3">
      <c r="A481" t="s">
        <v>1019</v>
      </c>
      <c r="B481" t="s">
        <v>1658</v>
      </c>
      <c r="C481" t="s">
        <v>1180</v>
      </c>
    </row>
    <row r="482" spans="1:3" x14ac:dyDescent="0.3">
      <c r="A482" t="s">
        <v>1021</v>
      </c>
      <c r="B482" t="s">
        <v>1659</v>
      </c>
      <c r="C482" t="s">
        <v>1178</v>
      </c>
    </row>
    <row r="483" spans="1:3" x14ac:dyDescent="0.3">
      <c r="A483" t="s">
        <v>1023</v>
      </c>
      <c r="B483" t="s">
        <v>1660</v>
      </c>
      <c r="C483" t="s">
        <v>1180</v>
      </c>
    </row>
    <row r="484" spans="1:3" x14ac:dyDescent="0.3">
      <c r="A484" t="s">
        <v>1025</v>
      </c>
      <c r="B484" t="s">
        <v>1661</v>
      </c>
      <c r="C484" t="s">
        <v>1178</v>
      </c>
    </row>
    <row r="485" spans="1:3" x14ac:dyDescent="0.3">
      <c r="A485" t="s">
        <v>1027</v>
      </c>
      <c r="B485" t="s">
        <v>1662</v>
      </c>
      <c r="C485" t="s">
        <v>1180</v>
      </c>
    </row>
    <row r="486" spans="1:3" x14ac:dyDescent="0.3">
      <c r="A486" t="s">
        <v>1029</v>
      </c>
      <c r="B486" t="s">
        <v>1663</v>
      </c>
      <c r="C486" t="s">
        <v>1178</v>
      </c>
    </row>
    <row r="487" spans="1:3" x14ac:dyDescent="0.3">
      <c r="A487" t="s">
        <v>1031</v>
      </c>
      <c r="B487" t="s">
        <v>1664</v>
      </c>
      <c r="C487" t="s">
        <v>1180</v>
      </c>
    </row>
    <row r="488" spans="1:3" x14ac:dyDescent="0.3">
      <c r="A488" t="s">
        <v>1033</v>
      </c>
      <c r="B488" t="s">
        <v>1665</v>
      </c>
      <c r="C488" t="s">
        <v>1178</v>
      </c>
    </row>
    <row r="489" spans="1:3" x14ac:dyDescent="0.3">
      <c r="A489" t="s">
        <v>1035</v>
      </c>
      <c r="B489" t="s">
        <v>1666</v>
      </c>
      <c r="C489" t="s">
        <v>1180</v>
      </c>
    </row>
    <row r="490" spans="1:3" x14ac:dyDescent="0.3">
      <c r="A490" t="s">
        <v>1037</v>
      </c>
      <c r="B490" t="s">
        <v>1667</v>
      </c>
      <c r="C490" t="s">
        <v>1178</v>
      </c>
    </row>
    <row r="491" spans="1:3" x14ac:dyDescent="0.3">
      <c r="A491" t="s">
        <v>1039</v>
      </c>
      <c r="B491" t="s">
        <v>1668</v>
      </c>
      <c r="C491" t="s">
        <v>1180</v>
      </c>
    </row>
    <row r="492" spans="1:3" x14ac:dyDescent="0.3">
      <c r="A492" t="s">
        <v>1041</v>
      </c>
      <c r="B492" t="s">
        <v>1669</v>
      </c>
      <c r="C492" t="s">
        <v>1178</v>
      </c>
    </row>
    <row r="493" spans="1:3" x14ac:dyDescent="0.3">
      <c r="A493" t="s">
        <v>1043</v>
      </c>
      <c r="B493" t="s">
        <v>1670</v>
      </c>
      <c r="C493" t="s">
        <v>1180</v>
      </c>
    </row>
    <row r="494" spans="1:3" x14ac:dyDescent="0.3">
      <c r="A494" t="s">
        <v>1045</v>
      </c>
      <c r="B494" t="s">
        <v>1671</v>
      </c>
      <c r="C494" t="s">
        <v>1178</v>
      </c>
    </row>
    <row r="495" spans="1:3" x14ac:dyDescent="0.3">
      <c r="A495" t="s">
        <v>1047</v>
      </c>
      <c r="B495" t="s">
        <v>1672</v>
      </c>
      <c r="C495" t="s">
        <v>1180</v>
      </c>
    </row>
    <row r="496" spans="1:3" x14ac:dyDescent="0.3">
      <c r="A496" t="s">
        <v>1049</v>
      </c>
      <c r="B496" t="s">
        <v>1673</v>
      </c>
      <c r="C496" t="s">
        <v>1178</v>
      </c>
    </row>
    <row r="497" spans="1:3" x14ac:dyDescent="0.3">
      <c r="A497" t="s">
        <v>1051</v>
      </c>
      <c r="B497" t="s">
        <v>1674</v>
      </c>
      <c r="C497" t="s">
        <v>1180</v>
      </c>
    </row>
    <row r="498" spans="1:3" x14ac:dyDescent="0.3">
      <c r="A498" t="s">
        <v>1053</v>
      </c>
      <c r="B498" t="s">
        <v>1675</v>
      </c>
      <c r="C498" t="s">
        <v>1178</v>
      </c>
    </row>
    <row r="499" spans="1:3" x14ac:dyDescent="0.3">
      <c r="A499" t="s">
        <v>1055</v>
      </c>
      <c r="B499" t="s">
        <v>1676</v>
      </c>
      <c r="C499" t="s">
        <v>1180</v>
      </c>
    </row>
    <row r="500" spans="1:3" x14ac:dyDescent="0.3">
      <c r="A500" t="s">
        <v>1057</v>
      </c>
      <c r="B500" t="s">
        <v>1677</v>
      </c>
      <c r="C500" t="s">
        <v>1178</v>
      </c>
    </row>
    <row r="501" spans="1:3" x14ac:dyDescent="0.3">
      <c r="A501" t="s">
        <v>1059</v>
      </c>
      <c r="B501" t="s">
        <v>1678</v>
      </c>
      <c r="C501"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0F9183-1E5F-46D9-89FC-E34411CA45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TABLE</vt:lpstr>
      <vt:lpstr>KPI, CHARTS, SLICERS</vt:lpstr>
      <vt:lpstr>Cleaned Dataset</vt:lpstr>
      <vt:lpstr>Raw Data</vt:lpstr>
      <vt:lpstr>Analysis</vt:lpstr>
      <vt:lpstr>Lookup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Okata George (APR) NHS Coventry &amp; Rugby GP Alliance</dc:creator>
  <cp:lastModifiedBy>Chukwuemeka Onyekaodiri</cp:lastModifiedBy>
  <dcterms:created xsi:type="dcterms:W3CDTF">2026-06-12T11:48:22Z</dcterms:created>
  <dcterms:modified xsi:type="dcterms:W3CDTF">2026-07-17T02:44:13Z</dcterms:modified>
</cp:coreProperties>
</file>